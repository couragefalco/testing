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p.frantz/Documents/"/>
    </mc:Choice>
  </mc:AlternateContent>
  <xr:revisionPtr revIDLastSave="0" documentId="8_{DF32A054-1E5A-F14A-B064-9DD334C07117}" xr6:coauthVersionLast="47" xr6:coauthVersionMax="47" xr10:uidLastSave="{00000000-0000-0000-0000-000000000000}"/>
  <bookViews>
    <workbookView xWindow="0" yWindow="0" windowWidth="35840" windowHeight="22400" xr2:uid="{25299EDE-9E38-4954-9958-95CB28A2BE0D}"/>
  </bookViews>
  <sheets>
    <sheet name="Solution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45661.5885416667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5" i="1" l="1"/>
  <c r="B89" i="1" s="1"/>
  <c r="B86" i="1"/>
  <c r="B87" i="1"/>
  <c r="B91" i="1"/>
  <c r="B92" i="1"/>
  <c r="B93" i="1"/>
  <c r="B95" i="1" s="1"/>
</calcChain>
</file>

<file path=xl/sharedStrings.xml><?xml version="1.0" encoding="utf-8"?>
<sst xmlns="http://schemas.openxmlformats.org/spreadsheetml/2006/main" count="81" uniqueCount="78">
  <si>
    <t>Balance Sheet</t>
  </si>
  <si>
    <t xml:space="preserve">Balance Sheet as of:
</t>
  </si>
  <si>
    <t>Currency</t>
  </si>
  <si>
    <t>EUR</t>
  </si>
  <si>
    <t>ASSETS</t>
  </si>
  <si>
    <t>Cash And Equivalents</t>
  </si>
  <si>
    <t>Short Term Investments</t>
  </si>
  <si>
    <t>-</t>
  </si>
  <si>
    <t xml:space="preserve">  Total Cash &amp; ST Investments</t>
  </si>
  <si>
    <t>Accounts Receivable</t>
  </si>
  <si>
    <t>Other Receivables</t>
  </si>
  <si>
    <t xml:space="preserve">  Total Receivables</t>
  </si>
  <si>
    <t>Inventory</t>
  </si>
  <si>
    <t>Prepaid Exp.</t>
  </si>
  <si>
    <t>Other Current Assets</t>
  </si>
  <si>
    <t xml:space="preserve">  Total Current Assets</t>
  </si>
  <si>
    <t>Gross Property, Plant &amp; Equipment</t>
  </si>
  <si>
    <t>Accumulated Depreciation</t>
  </si>
  <si>
    <t xml:space="preserve">  Net Property, Plant &amp; Equipment</t>
  </si>
  <si>
    <t>Long-term Investments</t>
  </si>
  <si>
    <t>Goodwill</t>
  </si>
  <si>
    <t>Other Intangibles</t>
  </si>
  <si>
    <t>Loans Receivable Long-Term</t>
  </si>
  <si>
    <t>Deferred Tax Assets, LT</t>
  </si>
  <si>
    <t>Other Long-Term Assets</t>
  </si>
  <si>
    <t>Total Assets</t>
  </si>
  <si>
    <t>LIABILITIES</t>
  </si>
  <si>
    <t>Accounts Payable</t>
  </si>
  <si>
    <t>Accrued Exp.</t>
  </si>
  <si>
    <t>Short-term Borrowings</t>
  </si>
  <si>
    <t>Curr. Port. of LT Debt</t>
  </si>
  <si>
    <t>Curr. Port. of Leases</t>
  </si>
  <si>
    <t>Curr. Income Taxes Payable</t>
  </si>
  <si>
    <t>Other Current Liabilities</t>
  </si>
  <si>
    <t xml:space="preserve">  Total Current Liabilities</t>
  </si>
  <si>
    <t>Long-Term Debt</t>
  </si>
  <si>
    <t>Long-Term Leases</t>
  </si>
  <si>
    <t>Pension &amp; Other Post-Retire. Benefits</t>
  </si>
  <si>
    <t>Def. Tax Liability, Non-Curr.</t>
  </si>
  <si>
    <t>Other Non-Current Liabilities</t>
  </si>
  <si>
    <t>Total Liabilities</t>
  </si>
  <si>
    <t>Common Stock</t>
  </si>
  <si>
    <t>Additional Paid In Capital</t>
  </si>
  <si>
    <t>Retained Earnings</t>
  </si>
  <si>
    <t>Treasury Stock</t>
  </si>
  <si>
    <t>Comprehensive Inc. and Other</t>
  </si>
  <si>
    <t xml:space="preserve">  Total Common Equity</t>
  </si>
  <si>
    <t>Minority Interest</t>
  </si>
  <si>
    <t>Total Equity</t>
  </si>
  <si>
    <t>Total Liabilities And Equity</t>
  </si>
  <si>
    <t>Supplemental Items</t>
  </si>
  <si>
    <t>Total Shares Out. on Filing Date</t>
  </si>
  <si>
    <t>Total Shares Out. on Balance Sheet Date</t>
  </si>
  <si>
    <t>Book Value/Share</t>
  </si>
  <si>
    <t>Tangible Book Value</t>
  </si>
  <si>
    <t>Tangible Book Value/Share</t>
  </si>
  <si>
    <t>Total Debt</t>
  </si>
  <si>
    <t>Net Debt</t>
  </si>
  <si>
    <t>Debt Equiv. of Unfunded Proj. Benefit Obligation</t>
  </si>
  <si>
    <t>Total Minority Interest</t>
  </si>
  <si>
    <t>Equity Method Investments</t>
  </si>
  <si>
    <t>Inventory Method</t>
  </si>
  <si>
    <t>Avg Cost</t>
  </si>
  <si>
    <t>Raw Materials Inventory</t>
  </si>
  <si>
    <t>Finished Goods Inventory</t>
  </si>
  <si>
    <t>Land</t>
  </si>
  <si>
    <t>Machinery</t>
  </si>
  <si>
    <t>Full Time Employees</t>
  </si>
  <si>
    <t>Accum. Allowance for Doubtful Accts</t>
  </si>
  <si>
    <t>Filing Date</t>
  </si>
  <si>
    <t xml:space="preserve">
               </t>
  </si>
  <si>
    <t>Fixed assets</t>
  </si>
  <si>
    <t>NWC</t>
  </si>
  <si>
    <t>______</t>
  </si>
  <si>
    <t>Total</t>
  </si>
  <si>
    <t>Equity</t>
  </si>
  <si>
    <t>Provisions</t>
  </si>
  <si>
    <t>Net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</si>
</sst>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9"/>
      <name val="Verdana"/>
      <family val="2"/>
    </font>
    <font>
      <sz val="1"/>
      <color indexed="9"/>
      <name val="Symbol"/>
      <family val="1"/>
      <charset val="2"/>
    </font>
    <font>
      <b/>
      <sz val="8"/>
      <color indexed="8"/>
      <name val="Arial"/>
      <family val="2"/>
    </font>
    <font>
      <b/>
      <i/>
      <sz val="8"/>
      <color indexed="8"/>
      <name val="Arial"/>
      <family val="2"/>
    </font>
    <font>
      <b/>
      <u val="double"/>
      <sz val="8"/>
      <color indexed="8"/>
      <name val="Arial"/>
      <family val="2"/>
    </font>
    <font>
      <b/>
      <u/>
      <sz val="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8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Alignment="0"/>
  </cellStyleXfs>
  <cellXfs count="35">
    <xf numFmtId="0" fontId="0" fillId="0" borderId="0" xfId="0"/>
    <xf numFmtId="164" fontId="2" fillId="0" borderId="0" xfId="1" applyNumberFormat="1" applyFont="1"/>
    <xf numFmtId="164" fontId="3" fillId="0" borderId="0" xfId="1" applyNumberFormat="1" applyFont="1" applyAlignment="1">
      <alignment horizontal="left" vertical="top"/>
    </xf>
    <xf numFmtId="164" fontId="4" fillId="2" borderId="0" xfId="1" applyNumberFormat="1" applyFont="1" applyFill="1"/>
    <xf numFmtId="164" fontId="5" fillId="0" borderId="0" xfId="2" applyNumberFormat="1" applyAlignment="1"/>
    <xf numFmtId="164" fontId="6" fillId="0" borderId="0" xfId="1" applyNumberFormat="1" applyFont="1" applyAlignment="1">
      <alignment horizontal="left" vertical="top"/>
    </xf>
    <xf numFmtId="164" fontId="3" fillId="0" borderId="0" xfId="1" applyNumberFormat="1" applyFont="1" applyAlignment="1">
      <alignment horizontal="right" vertical="top" wrapText="1"/>
    </xf>
    <xf numFmtId="164" fontId="6" fillId="0" borderId="1" xfId="1" applyNumberFormat="1" applyFont="1" applyBorder="1" applyAlignment="1">
      <alignment horizontal="right" vertical="top" wrapText="1"/>
    </xf>
    <xf numFmtId="164" fontId="6" fillId="3" borderId="1" xfId="1" applyNumberFormat="1" applyFont="1" applyFill="1" applyBorder="1" applyAlignment="1">
      <alignment horizontal="right" vertical="top" wrapText="1"/>
    </xf>
    <xf numFmtId="164" fontId="6" fillId="4" borderId="1" xfId="1" applyNumberFormat="1" applyFont="1" applyFill="1" applyBorder="1" applyAlignment="1">
      <alignment horizontal="right" vertical="top" wrapText="1"/>
    </xf>
    <xf numFmtId="164" fontId="3" fillId="4" borderId="0" xfId="1" applyNumberFormat="1" applyFont="1" applyFill="1" applyAlignment="1">
      <alignment horizontal="right" vertical="top" wrapText="1"/>
    </xf>
    <xf numFmtId="164" fontId="6" fillId="5" borderId="1" xfId="1" applyNumberFormat="1" applyFont="1" applyFill="1" applyBorder="1" applyAlignment="1">
      <alignment horizontal="right" vertical="top" wrapText="1"/>
    </xf>
    <xf numFmtId="164" fontId="3" fillId="5" borderId="0" xfId="1" applyNumberFormat="1" applyFont="1" applyFill="1" applyAlignment="1">
      <alignment horizontal="right" vertical="top" wrapText="1"/>
    </xf>
    <xf numFmtId="164" fontId="3" fillId="6" borderId="0" xfId="1" applyNumberFormat="1" applyFont="1" applyFill="1" applyAlignment="1">
      <alignment horizontal="right" vertical="top" wrapText="1"/>
    </xf>
    <xf numFmtId="164" fontId="8" fillId="0" borderId="1" xfId="1" applyNumberFormat="1" applyFont="1" applyBorder="1" applyAlignment="1">
      <alignment horizontal="right" vertical="top" wrapText="1"/>
    </xf>
    <xf numFmtId="164" fontId="3" fillId="3" borderId="0" xfId="1" applyNumberFormat="1" applyFont="1" applyFill="1" applyAlignment="1">
      <alignment horizontal="right" vertical="top" wrapText="1"/>
    </xf>
    <xf numFmtId="164" fontId="3" fillId="7" borderId="0" xfId="1" applyNumberFormat="1" applyFont="1" applyFill="1" applyAlignment="1">
      <alignment horizontal="right" vertical="top" wrapText="1"/>
    </xf>
    <xf numFmtId="164" fontId="9" fillId="8" borderId="0" xfId="1" applyNumberFormat="1" applyFont="1" applyFill="1" applyAlignment="1">
      <alignment horizontal="right" vertical="top" wrapText="1"/>
    </xf>
    <xf numFmtId="164" fontId="8" fillId="0" borderId="0" xfId="1" applyNumberFormat="1" applyFont="1" applyAlignment="1">
      <alignment horizontal="right" vertical="top" wrapText="1"/>
    </xf>
    <xf numFmtId="164" fontId="6" fillId="3" borderId="0" xfId="1" applyNumberFormat="1" applyFont="1" applyFill="1" applyAlignment="1">
      <alignment horizontal="left" vertical="top"/>
    </xf>
    <xf numFmtId="164" fontId="6" fillId="3" borderId="0" xfId="1" applyNumberFormat="1" applyFont="1" applyFill="1" applyAlignment="1">
      <alignment horizontal="right" vertical="top" wrapText="1"/>
    </xf>
    <xf numFmtId="14" fontId="3" fillId="0" borderId="0" xfId="1" applyNumberFormat="1" applyFont="1" applyAlignment="1">
      <alignment horizontal="right" vertical="top" wrapText="1"/>
    </xf>
    <xf numFmtId="164" fontId="2" fillId="0" borderId="0" xfId="1" applyNumberFormat="1" applyFont="1" applyAlignment="1">
      <alignment vertical="top" wrapText="1"/>
    </xf>
    <xf numFmtId="164" fontId="3" fillId="0" borderId="0" xfId="1" applyNumberFormat="1" applyFont="1" applyAlignment="1">
      <alignment horizontal="center" vertical="center"/>
    </xf>
    <xf numFmtId="164" fontId="2" fillId="5" borderId="0" xfId="1" applyNumberFormat="1" applyFont="1" applyFill="1"/>
    <xf numFmtId="164" fontId="2" fillId="6" borderId="0" xfId="1" applyNumberFormat="1" applyFont="1" applyFill="1"/>
    <xf numFmtId="164" fontId="2" fillId="4" borderId="0" xfId="1" applyNumberFormat="1" applyFont="1" applyFill="1"/>
    <xf numFmtId="164" fontId="2" fillId="0" borderId="0" xfId="1" applyNumberFormat="1" applyFont="1" applyAlignment="1">
      <alignment horizontal="right"/>
    </xf>
    <xf numFmtId="164" fontId="2" fillId="8" borderId="0" xfId="1" applyNumberFormat="1" applyFont="1" applyFill="1"/>
    <xf numFmtId="164" fontId="2" fillId="7" borderId="0" xfId="1" applyNumberFormat="1" applyFont="1" applyFill="1"/>
    <xf numFmtId="164" fontId="2" fillId="3" borderId="0" xfId="1" applyNumberFormat="1" applyFont="1" applyFill="1"/>
    <xf numFmtId="164" fontId="6" fillId="0" borderId="0" xfId="1" applyNumberFormat="1" applyFont="1" applyAlignment="1">
      <alignment wrapText="1"/>
    </xf>
    <xf numFmtId="164" fontId="7" fillId="0" borderId="0" xfId="1" applyNumberFormat="1" applyFont="1" applyAlignment="1">
      <alignment wrapText="1"/>
    </xf>
    <xf numFmtId="164" fontId="7" fillId="0" borderId="0" xfId="1" applyNumberFormat="1" applyFont="1" applyAlignment="1">
      <alignment horizontal="right" wrapText="1"/>
    </xf>
    <xf numFmtId="14" fontId="6" fillId="0" borderId="0" xfId="1" applyNumberFormat="1" applyFont="1" applyAlignment="1">
      <alignment horizontal="right" wrapText="1"/>
    </xf>
  </cellXfs>
  <cellStyles count="3">
    <cellStyle name="Invisible" xfId="2" xr:uid="{1673A831-30AA-4048-A266-294DA95CDECF}"/>
    <cellStyle name="Normal" xfId="0" builtinId="0"/>
    <cellStyle name="Normal 2" xfId="1" xr:uid="{1DC979DD-0027-484D-B928-CD88C8D12D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45</xdr:row>
      <xdr:rowOff>115137</xdr:rowOff>
    </xdr:from>
    <xdr:to>
      <xdr:col>2</xdr:col>
      <xdr:colOff>15700</xdr:colOff>
      <xdr:row>56</xdr:row>
      <xdr:rowOff>10467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C522643-3490-4C88-9EE5-F4B0A8BD3310}"/>
            </a:ext>
          </a:extLst>
        </xdr:cNvPr>
        <xdr:cNvSpPr/>
      </xdr:nvSpPr>
      <xdr:spPr bwMode="auto">
        <a:xfrm>
          <a:off x="2266950" y="7778000"/>
          <a:ext cx="1072975" cy="1309792"/>
        </a:xfrm>
        <a:prstGeom prst="rect">
          <a:avLst/>
        </a:prstGeom>
        <a:noFill/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none" lIns="18288" tIns="0" rIns="0" bIns="0" rtlCol="0" anchor="ctr" upright="1">
          <a:spAutoFit/>
        </a:bodyPr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2DCF3-E233-42C3-9DDA-04641825E9E3}">
  <sheetPr>
    <tabColor rgb="FFFF0000"/>
  </sheetPr>
  <dimension ref="A1:IP95"/>
  <sheetViews>
    <sheetView tabSelected="1" topLeftCell="A46" workbookViewId="0">
      <selection activeCell="B85" sqref="B85"/>
    </sheetView>
  </sheetViews>
  <sheetFormatPr baseColWidth="10" defaultColWidth="9.1640625" defaultRowHeight="11" x14ac:dyDescent="0.15"/>
  <cols>
    <col min="1" max="1" width="30.6640625" style="1" customWidth="1" collapsed="1"/>
    <col min="2" max="2" width="14.6640625" style="1" customWidth="1"/>
    <col min="3" max="251" width="9.1640625" style="1"/>
    <col min="252" max="252" width="31.6640625" style="1" customWidth="1"/>
    <col min="253" max="256" width="0" style="1" hidden="1" customWidth="1"/>
    <col min="257" max="257" width="14.6640625" style="1" customWidth="1"/>
    <col min="258" max="258" width="0" style="1" hidden="1" customWidth="1"/>
    <col min="259" max="507" width="9.1640625" style="1"/>
    <col min="508" max="508" width="31.6640625" style="1" customWidth="1"/>
    <col min="509" max="512" width="0" style="1" hidden="1" customWidth="1"/>
    <col min="513" max="513" width="14.6640625" style="1" customWidth="1"/>
    <col min="514" max="514" width="0" style="1" hidden="1" customWidth="1"/>
    <col min="515" max="763" width="9.1640625" style="1"/>
    <col min="764" max="764" width="31.6640625" style="1" customWidth="1"/>
    <col min="765" max="768" width="0" style="1" hidden="1" customWidth="1"/>
    <col min="769" max="769" width="14.6640625" style="1" customWidth="1"/>
    <col min="770" max="770" width="0" style="1" hidden="1" customWidth="1"/>
    <col min="771" max="1019" width="9.1640625" style="1"/>
    <col min="1020" max="1020" width="31.6640625" style="1" customWidth="1"/>
    <col min="1021" max="1024" width="0" style="1" hidden="1" customWidth="1"/>
    <col min="1025" max="1025" width="14.6640625" style="1" customWidth="1"/>
    <col min="1026" max="1026" width="0" style="1" hidden="1" customWidth="1"/>
    <col min="1027" max="1275" width="9.1640625" style="1"/>
    <col min="1276" max="1276" width="31.6640625" style="1" customWidth="1"/>
    <col min="1277" max="1280" width="0" style="1" hidden="1" customWidth="1"/>
    <col min="1281" max="1281" width="14.6640625" style="1" customWidth="1"/>
    <col min="1282" max="1282" width="0" style="1" hidden="1" customWidth="1"/>
    <col min="1283" max="1531" width="9.1640625" style="1"/>
    <col min="1532" max="1532" width="31.6640625" style="1" customWidth="1"/>
    <col min="1533" max="1536" width="0" style="1" hidden="1" customWidth="1"/>
    <col min="1537" max="1537" width="14.6640625" style="1" customWidth="1"/>
    <col min="1538" max="1538" width="0" style="1" hidden="1" customWidth="1"/>
    <col min="1539" max="1787" width="9.1640625" style="1"/>
    <col min="1788" max="1788" width="31.6640625" style="1" customWidth="1"/>
    <col min="1789" max="1792" width="0" style="1" hidden="1" customWidth="1"/>
    <col min="1793" max="1793" width="14.6640625" style="1" customWidth="1"/>
    <col min="1794" max="1794" width="0" style="1" hidden="1" customWidth="1"/>
    <col min="1795" max="2043" width="9.1640625" style="1"/>
    <col min="2044" max="2044" width="31.6640625" style="1" customWidth="1"/>
    <col min="2045" max="2048" width="0" style="1" hidden="1" customWidth="1"/>
    <col min="2049" max="2049" width="14.6640625" style="1" customWidth="1"/>
    <col min="2050" max="2050" width="0" style="1" hidden="1" customWidth="1"/>
    <col min="2051" max="2299" width="9.1640625" style="1"/>
    <col min="2300" max="2300" width="31.6640625" style="1" customWidth="1"/>
    <col min="2301" max="2304" width="0" style="1" hidden="1" customWidth="1"/>
    <col min="2305" max="2305" width="14.6640625" style="1" customWidth="1"/>
    <col min="2306" max="2306" width="0" style="1" hidden="1" customWidth="1"/>
    <col min="2307" max="2555" width="9.1640625" style="1"/>
    <col min="2556" max="2556" width="31.6640625" style="1" customWidth="1"/>
    <col min="2557" max="2560" width="0" style="1" hidden="1" customWidth="1"/>
    <col min="2561" max="2561" width="14.6640625" style="1" customWidth="1"/>
    <col min="2562" max="2562" width="0" style="1" hidden="1" customWidth="1"/>
    <col min="2563" max="2811" width="9.1640625" style="1"/>
    <col min="2812" max="2812" width="31.6640625" style="1" customWidth="1"/>
    <col min="2813" max="2816" width="0" style="1" hidden="1" customWidth="1"/>
    <col min="2817" max="2817" width="14.6640625" style="1" customWidth="1"/>
    <col min="2818" max="2818" width="0" style="1" hidden="1" customWidth="1"/>
    <col min="2819" max="3067" width="9.1640625" style="1"/>
    <col min="3068" max="3068" width="31.6640625" style="1" customWidth="1"/>
    <col min="3069" max="3072" width="0" style="1" hidden="1" customWidth="1"/>
    <col min="3073" max="3073" width="14.6640625" style="1" customWidth="1"/>
    <col min="3074" max="3074" width="0" style="1" hidden="1" customWidth="1"/>
    <col min="3075" max="3323" width="9.1640625" style="1"/>
    <col min="3324" max="3324" width="31.6640625" style="1" customWidth="1"/>
    <col min="3325" max="3328" width="0" style="1" hidden="1" customWidth="1"/>
    <col min="3329" max="3329" width="14.6640625" style="1" customWidth="1"/>
    <col min="3330" max="3330" width="0" style="1" hidden="1" customWidth="1"/>
    <col min="3331" max="3579" width="9.1640625" style="1"/>
    <col min="3580" max="3580" width="31.6640625" style="1" customWidth="1"/>
    <col min="3581" max="3584" width="0" style="1" hidden="1" customWidth="1"/>
    <col min="3585" max="3585" width="14.6640625" style="1" customWidth="1"/>
    <col min="3586" max="3586" width="0" style="1" hidden="1" customWidth="1"/>
    <col min="3587" max="3835" width="9.1640625" style="1"/>
    <col min="3836" max="3836" width="31.6640625" style="1" customWidth="1"/>
    <col min="3837" max="3840" width="0" style="1" hidden="1" customWidth="1"/>
    <col min="3841" max="3841" width="14.6640625" style="1" customWidth="1"/>
    <col min="3842" max="3842" width="0" style="1" hidden="1" customWidth="1"/>
    <col min="3843" max="4091" width="9.1640625" style="1"/>
    <col min="4092" max="4092" width="31.6640625" style="1" customWidth="1"/>
    <col min="4093" max="4096" width="0" style="1" hidden="1" customWidth="1"/>
    <col min="4097" max="4097" width="14.6640625" style="1" customWidth="1"/>
    <col min="4098" max="4098" width="0" style="1" hidden="1" customWidth="1"/>
    <col min="4099" max="4347" width="9.1640625" style="1"/>
    <col min="4348" max="4348" width="31.6640625" style="1" customWidth="1"/>
    <col min="4349" max="4352" width="0" style="1" hidden="1" customWidth="1"/>
    <col min="4353" max="4353" width="14.6640625" style="1" customWidth="1"/>
    <col min="4354" max="4354" width="0" style="1" hidden="1" customWidth="1"/>
    <col min="4355" max="4603" width="9.1640625" style="1"/>
    <col min="4604" max="4604" width="31.6640625" style="1" customWidth="1"/>
    <col min="4605" max="4608" width="0" style="1" hidden="1" customWidth="1"/>
    <col min="4609" max="4609" width="14.6640625" style="1" customWidth="1"/>
    <col min="4610" max="4610" width="0" style="1" hidden="1" customWidth="1"/>
    <col min="4611" max="4859" width="9.1640625" style="1"/>
    <col min="4860" max="4860" width="31.6640625" style="1" customWidth="1"/>
    <col min="4861" max="4864" width="0" style="1" hidden="1" customWidth="1"/>
    <col min="4865" max="4865" width="14.6640625" style="1" customWidth="1"/>
    <col min="4866" max="4866" width="0" style="1" hidden="1" customWidth="1"/>
    <col min="4867" max="5115" width="9.1640625" style="1"/>
    <col min="5116" max="5116" width="31.6640625" style="1" customWidth="1"/>
    <col min="5117" max="5120" width="0" style="1" hidden="1" customWidth="1"/>
    <col min="5121" max="5121" width="14.6640625" style="1" customWidth="1"/>
    <col min="5122" max="5122" width="0" style="1" hidden="1" customWidth="1"/>
    <col min="5123" max="5371" width="9.1640625" style="1"/>
    <col min="5372" max="5372" width="31.6640625" style="1" customWidth="1"/>
    <col min="5373" max="5376" width="0" style="1" hidden="1" customWidth="1"/>
    <col min="5377" max="5377" width="14.6640625" style="1" customWidth="1"/>
    <col min="5378" max="5378" width="0" style="1" hidden="1" customWidth="1"/>
    <col min="5379" max="5627" width="9.1640625" style="1"/>
    <col min="5628" max="5628" width="31.6640625" style="1" customWidth="1"/>
    <col min="5629" max="5632" width="0" style="1" hidden="1" customWidth="1"/>
    <col min="5633" max="5633" width="14.6640625" style="1" customWidth="1"/>
    <col min="5634" max="5634" width="0" style="1" hidden="1" customWidth="1"/>
    <col min="5635" max="5883" width="9.1640625" style="1"/>
    <col min="5884" max="5884" width="31.6640625" style="1" customWidth="1"/>
    <col min="5885" max="5888" width="0" style="1" hidden="1" customWidth="1"/>
    <col min="5889" max="5889" width="14.6640625" style="1" customWidth="1"/>
    <col min="5890" max="5890" width="0" style="1" hidden="1" customWidth="1"/>
    <col min="5891" max="6139" width="9.1640625" style="1"/>
    <col min="6140" max="6140" width="31.6640625" style="1" customWidth="1"/>
    <col min="6141" max="6144" width="0" style="1" hidden="1" customWidth="1"/>
    <col min="6145" max="6145" width="14.6640625" style="1" customWidth="1"/>
    <col min="6146" max="6146" width="0" style="1" hidden="1" customWidth="1"/>
    <col min="6147" max="6395" width="9.1640625" style="1"/>
    <col min="6396" max="6396" width="31.6640625" style="1" customWidth="1"/>
    <col min="6397" max="6400" width="0" style="1" hidden="1" customWidth="1"/>
    <col min="6401" max="6401" width="14.6640625" style="1" customWidth="1"/>
    <col min="6402" max="6402" width="0" style="1" hidden="1" customWidth="1"/>
    <col min="6403" max="6651" width="9.1640625" style="1"/>
    <col min="6652" max="6652" width="31.6640625" style="1" customWidth="1"/>
    <col min="6653" max="6656" width="0" style="1" hidden="1" customWidth="1"/>
    <col min="6657" max="6657" width="14.6640625" style="1" customWidth="1"/>
    <col min="6658" max="6658" width="0" style="1" hidden="1" customWidth="1"/>
    <col min="6659" max="6907" width="9.1640625" style="1"/>
    <col min="6908" max="6908" width="31.6640625" style="1" customWidth="1"/>
    <col min="6909" max="6912" width="0" style="1" hidden="1" customWidth="1"/>
    <col min="6913" max="6913" width="14.6640625" style="1" customWidth="1"/>
    <col min="6914" max="6914" width="0" style="1" hidden="1" customWidth="1"/>
    <col min="6915" max="7163" width="9.1640625" style="1"/>
    <col min="7164" max="7164" width="31.6640625" style="1" customWidth="1"/>
    <col min="7165" max="7168" width="0" style="1" hidden="1" customWidth="1"/>
    <col min="7169" max="7169" width="14.6640625" style="1" customWidth="1"/>
    <col min="7170" max="7170" width="0" style="1" hidden="1" customWidth="1"/>
    <col min="7171" max="7419" width="9.1640625" style="1"/>
    <col min="7420" max="7420" width="31.6640625" style="1" customWidth="1"/>
    <col min="7421" max="7424" width="0" style="1" hidden="1" customWidth="1"/>
    <col min="7425" max="7425" width="14.6640625" style="1" customWidth="1"/>
    <col min="7426" max="7426" width="0" style="1" hidden="1" customWidth="1"/>
    <col min="7427" max="7675" width="9.1640625" style="1"/>
    <col min="7676" max="7676" width="31.6640625" style="1" customWidth="1"/>
    <col min="7677" max="7680" width="0" style="1" hidden="1" customWidth="1"/>
    <col min="7681" max="7681" width="14.6640625" style="1" customWidth="1"/>
    <col min="7682" max="7682" width="0" style="1" hidden="1" customWidth="1"/>
    <col min="7683" max="7931" width="9.1640625" style="1"/>
    <col min="7932" max="7932" width="31.6640625" style="1" customWidth="1"/>
    <col min="7933" max="7936" width="0" style="1" hidden="1" customWidth="1"/>
    <col min="7937" max="7937" width="14.6640625" style="1" customWidth="1"/>
    <col min="7938" max="7938" width="0" style="1" hidden="1" customWidth="1"/>
    <col min="7939" max="8187" width="9.1640625" style="1"/>
    <col min="8188" max="8188" width="31.6640625" style="1" customWidth="1"/>
    <col min="8189" max="8192" width="0" style="1" hidden="1" customWidth="1"/>
    <col min="8193" max="8193" width="14.6640625" style="1" customWidth="1"/>
    <col min="8194" max="8194" width="0" style="1" hidden="1" customWidth="1"/>
    <col min="8195" max="8443" width="9.1640625" style="1"/>
    <col min="8444" max="8444" width="31.6640625" style="1" customWidth="1"/>
    <col min="8445" max="8448" width="0" style="1" hidden="1" customWidth="1"/>
    <col min="8449" max="8449" width="14.6640625" style="1" customWidth="1"/>
    <col min="8450" max="8450" width="0" style="1" hidden="1" customWidth="1"/>
    <col min="8451" max="8699" width="9.1640625" style="1"/>
    <col min="8700" max="8700" width="31.6640625" style="1" customWidth="1"/>
    <col min="8701" max="8704" width="0" style="1" hidden="1" customWidth="1"/>
    <col min="8705" max="8705" width="14.6640625" style="1" customWidth="1"/>
    <col min="8706" max="8706" width="0" style="1" hidden="1" customWidth="1"/>
    <col min="8707" max="8955" width="9.1640625" style="1"/>
    <col min="8956" max="8956" width="31.6640625" style="1" customWidth="1"/>
    <col min="8957" max="8960" width="0" style="1" hidden="1" customWidth="1"/>
    <col min="8961" max="8961" width="14.6640625" style="1" customWidth="1"/>
    <col min="8962" max="8962" width="0" style="1" hidden="1" customWidth="1"/>
    <col min="8963" max="9211" width="9.1640625" style="1"/>
    <col min="9212" max="9212" width="31.6640625" style="1" customWidth="1"/>
    <col min="9213" max="9216" width="0" style="1" hidden="1" customWidth="1"/>
    <col min="9217" max="9217" width="14.6640625" style="1" customWidth="1"/>
    <col min="9218" max="9218" width="0" style="1" hidden="1" customWidth="1"/>
    <col min="9219" max="9467" width="9.1640625" style="1"/>
    <col min="9468" max="9468" width="31.6640625" style="1" customWidth="1"/>
    <col min="9469" max="9472" width="0" style="1" hidden="1" customWidth="1"/>
    <col min="9473" max="9473" width="14.6640625" style="1" customWidth="1"/>
    <col min="9474" max="9474" width="0" style="1" hidden="1" customWidth="1"/>
    <col min="9475" max="9723" width="9.1640625" style="1"/>
    <col min="9724" max="9724" width="31.6640625" style="1" customWidth="1"/>
    <col min="9725" max="9728" width="0" style="1" hidden="1" customWidth="1"/>
    <col min="9729" max="9729" width="14.6640625" style="1" customWidth="1"/>
    <col min="9730" max="9730" width="0" style="1" hidden="1" customWidth="1"/>
    <col min="9731" max="9979" width="9.1640625" style="1"/>
    <col min="9980" max="9980" width="31.6640625" style="1" customWidth="1"/>
    <col min="9981" max="9984" width="0" style="1" hidden="1" customWidth="1"/>
    <col min="9985" max="9985" width="14.6640625" style="1" customWidth="1"/>
    <col min="9986" max="9986" width="0" style="1" hidden="1" customWidth="1"/>
    <col min="9987" max="10235" width="9.1640625" style="1"/>
    <col min="10236" max="10236" width="31.6640625" style="1" customWidth="1"/>
    <col min="10237" max="10240" width="0" style="1" hidden="1" customWidth="1"/>
    <col min="10241" max="10241" width="14.6640625" style="1" customWidth="1"/>
    <col min="10242" max="10242" width="0" style="1" hidden="1" customWidth="1"/>
    <col min="10243" max="10491" width="9.1640625" style="1"/>
    <col min="10492" max="10492" width="31.6640625" style="1" customWidth="1"/>
    <col min="10493" max="10496" width="0" style="1" hidden="1" customWidth="1"/>
    <col min="10497" max="10497" width="14.6640625" style="1" customWidth="1"/>
    <col min="10498" max="10498" width="0" style="1" hidden="1" customWidth="1"/>
    <col min="10499" max="10747" width="9.1640625" style="1"/>
    <col min="10748" max="10748" width="31.6640625" style="1" customWidth="1"/>
    <col min="10749" max="10752" width="0" style="1" hidden="1" customWidth="1"/>
    <col min="10753" max="10753" width="14.6640625" style="1" customWidth="1"/>
    <col min="10754" max="10754" width="0" style="1" hidden="1" customWidth="1"/>
    <col min="10755" max="11003" width="9.1640625" style="1"/>
    <col min="11004" max="11004" width="31.6640625" style="1" customWidth="1"/>
    <col min="11005" max="11008" width="0" style="1" hidden="1" customWidth="1"/>
    <col min="11009" max="11009" width="14.6640625" style="1" customWidth="1"/>
    <col min="11010" max="11010" width="0" style="1" hidden="1" customWidth="1"/>
    <col min="11011" max="11259" width="9.1640625" style="1"/>
    <col min="11260" max="11260" width="31.6640625" style="1" customWidth="1"/>
    <col min="11261" max="11264" width="0" style="1" hidden="1" customWidth="1"/>
    <col min="11265" max="11265" width="14.6640625" style="1" customWidth="1"/>
    <col min="11266" max="11266" width="0" style="1" hidden="1" customWidth="1"/>
    <col min="11267" max="11515" width="9.1640625" style="1"/>
    <col min="11516" max="11516" width="31.6640625" style="1" customWidth="1"/>
    <col min="11517" max="11520" width="0" style="1" hidden="1" customWidth="1"/>
    <col min="11521" max="11521" width="14.6640625" style="1" customWidth="1"/>
    <col min="11522" max="11522" width="0" style="1" hidden="1" customWidth="1"/>
    <col min="11523" max="11771" width="9.1640625" style="1"/>
    <col min="11772" max="11772" width="31.6640625" style="1" customWidth="1"/>
    <col min="11773" max="11776" width="0" style="1" hidden="1" customWidth="1"/>
    <col min="11777" max="11777" width="14.6640625" style="1" customWidth="1"/>
    <col min="11778" max="11778" width="0" style="1" hidden="1" customWidth="1"/>
    <col min="11779" max="12027" width="9.1640625" style="1"/>
    <col min="12028" max="12028" width="31.6640625" style="1" customWidth="1"/>
    <col min="12029" max="12032" width="0" style="1" hidden="1" customWidth="1"/>
    <col min="12033" max="12033" width="14.6640625" style="1" customWidth="1"/>
    <col min="12034" max="12034" width="0" style="1" hidden="1" customWidth="1"/>
    <col min="12035" max="12283" width="9.1640625" style="1"/>
    <col min="12284" max="12284" width="31.6640625" style="1" customWidth="1"/>
    <col min="12285" max="12288" width="0" style="1" hidden="1" customWidth="1"/>
    <col min="12289" max="12289" width="14.6640625" style="1" customWidth="1"/>
    <col min="12290" max="12290" width="0" style="1" hidden="1" customWidth="1"/>
    <col min="12291" max="12539" width="9.1640625" style="1"/>
    <col min="12540" max="12540" width="31.6640625" style="1" customWidth="1"/>
    <col min="12541" max="12544" width="0" style="1" hidden="1" customWidth="1"/>
    <col min="12545" max="12545" width="14.6640625" style="1" customWidth="1"/>
    <col min="12546" max="12546" width="0" style="1" hidden="1" customWidth="1"/>
    <col min="12547" max="12795" width="9.1640625" style="1"/>
    <col min="12796" max="12796" width="31.6640625" style="1" customWidth="1"/>
    <col min="12797" max="12800" width="0" style="1" hidden="1" customWidth="1"/>
    <col min="12801" max="12801" width="14.6640625" style="1" customWidth="1"/>
    <col min="12802" max="12802" width="0" style="1" hidden="1" customWidth="1"/>
    <col min="12803" max="13051" width="9.1640625" style="1"/>
    <col min="13052" max="13052" width="31.6640625" style="1" customWidth="1"/>
    <col min="13053" max="13056" width="0" style="1" hidden="1" customWidth="1"/>
    <col min="13057" max="13057" width="14.6640625" style="1" customWidth="1"/>
    <col min="13058" max="13058" width="0" style="1" hidden="1" customWidth="1"/>
    <col min="13059" max="13307" width="9.1640625" style="1"/>
    <col min="13308" max="13308" width="31.6640625" style="1" customWidth="1"/>
    <col min="13309" max="13312" width="0" style="1" hidden="1" customWidth="1"/>
    <col min="13313" max="13313" width="14.6640625" style="1" customWidth="1"/>
    <col min="13314" max="13314" width="0" style="1" hidden="1" customWidth="1"/>
    <col min="13315" max="13563" width="9.1640625" style="1"/>
    <col min="13564" max="13564" width="31.6640625" style="1" customWidth="1"/>
    <col min="13565" max="13568" width="0" style="1" hidden="1" customWidth="1"/>
    <col min="13569" max="13569" width="14.6640625" style="1" customWidth="1"/>
    <col min="13570" max="13570" width="0" style="1" hidden="1" customWidth="1"/>
    <col min="13571" max="13819" width="9.1640625" style="1"/>
    <col min="13820" max="13820" width="31.6640625" style="1" customWidth="1"/>
    <col min="13821" max="13824" width="0" style="1" hidden="1" customWidth="1"/>
    <col min="13825" max="13825" width="14.6640625" style="1" customWidth="1"/>
    <col min="13826" max="13826" width="0" style="1" hidden="1" customWidth="1"/>
    <col min="13827" max="14075" width="9.1640625" style="1"/>
    <col min="14076" max="14076" width="31.6640625" style="1" customWidth="1"/>
    <col min="14077" max="14080" width="0" style="1" hidden="1" customWidth="1"/>
    <col min="14081" max="14081" width="14.6640625" style="1" customWidth="1"/>
    <col min="14082" max="14082" width="0" style="1" hidden="1" customWidth="1"/>
    <col min="14083" max="14331" width="9.1640625" style="1"/>
    <col min="14332" max="14332" width="31.6640625" style="1" customWidth="1"/>
    <col min="14333" max="14336" width="0" style="1" hidden="1" customWidth="1"/>
    <col min="14337" max="14337" width="14.6640625" style="1" customWidth="1"/>
    <col min="14338" max="14338" width="0" style="1" hidden="1" customWidth="1"/>
    <col min="14339" max="14587" width="9.1640625" style="1"/>
    <col min="14588" max="14588" width="31.6640625" style="1" customWidth="1"/>
    <col min="14589" max="14592" width="0" style="1" hidden="1" customWidth="1"/>
    <col min="14593" max="14593" width="14.6640625" style="1" customWidth="1"/>
    <col min="14594" max="14594" width="0" style="1" hidden="1" customWidth="1"/>
    <col min="14595" max="14843" width="9.1640625" style="1"/>
    <col min="14844" max="14844" width="31.6640625" style="1" customWidth="1"/>
    <col min="14845" max="14848" width="0" style="1" hidden="1" customWidth="1"/>
    <col min="14849" max="14849" width="14.6640625" style="1" customWidth="1"/>
    <col min="14850" max="14850" width="0" style="1" hidden="1" customWidth="1"/>
    <col min="14851" max="15099" width="9.1640625" style="1"/>
    <col min="15100" max="15100" width="31.6640625" style="1" customWidth="1"/>
    <col min="15101" max="15104" width="0" style="1" hidden="1" customWidth="1"/>
    <col min="15105" max="15105" width="14.6640625" style="1" customWidth="1"/>
    <col min="15106" max="15106" width="0" style="1" hidden="1" customWidth="1"/>
    <col min="15107" max="15355" width="9.1640625" style="1"/>
    <col min="15356" max="15356" width="31.6640625" style="1" customWidth="1"/>
    <col min="15357" max="15360" width="0" style="1" hidden="1" customWidth="1"/>
    <col min="15361" max="15361" width="14.6640625" style="1" customWidth="1"/>
    <col min="15362" max="15362" width="0" style="1" hidden="1" customWidth="1"/>
    <col min="15363" max="15611" width="9.1640625" style="1"/>
    <col min="15612" max="15612" width="31.6640625" style="1" customWidth="1"/>
    <col min="15613" max="15616" width="0" style="1" hidden="1" customWidth="1"/>
    <col min="15617" max="15617" width="14.6640625" style="1" customWidth="1"/>
    <col min="15618" max="15618" width="0" style="1" hidden="1" customWidth="1"/>
    <col min="15619" max="15867" width="9.1640625" style="1"/>
    <col min="15868" max="15868" width="31.6640625" style="1" customWidth="1"/>
    <col min="15869" max="15872" width="0" style="1" hidden="1" customWidth="1"/>
    <col min="15873" max="15873" width="14.6640625" style="1" customWidth="1"/>
    <col min="15874" max="15874" width="0" style="1" hidden="1" customWidth="1"/>
    <col min="15875" max="16123" width="9.1640625" style="1"/>
    <col min="16124" max="16124" width="31.6640625" style="1" customWidth="1"/>
    <col min="16125" max="16128" width="0" style="1" hidden="1" customWidth="1"/>
    <col min="16129" max="16129" width="14.6640625" style="1" customWidth="1"/>
    <col min="16130" max="16130" width="0" style="1" hidden="1" customWidth="1"/>
    <col min="16131" max="16384" width="9.1640625" style="1"/>
  </cols>
  <sheetData>
    <row r="1" spans="1:250" x14ac:dyDescent="0.15">
      <c r="A1" s="3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</row>
    <row r="2" spans="1:250" ht="24" x14ac:dyDescent="0.15">
      <c r="A2" s="31" t="s">
        <v>1</v>
      </c>
      <c r="B2" s="34">
        <v>45291</v>
      </c>
    </row>
    <row r="3" spans="1:250" ht="12" x14ac:dyDescent="0.15">
      <c r="A3" s="32" t="s">
        <v>2</v>
      </c>
      <c r="B3" s="33" t="s">
        <v>3</v>
      </c>
    </row>
    <row r="4" spans="1:250" x14ac:dyDescent="0.15">
      <c r="A4" s="5" t="s">
        <v>4</v>
      </c>
      <c r="B4" s="2"/>
    </row>
    <row r="5" spans="1:250" x14ac:dyDescent="0.15">
      <c r="A5" s="2" t="s">
        <v>5</v>
      </c>
      <c r="B5" s="6">
        <v>4288.1000000000004</v>
      </c>
    </row>
    <row r="6" spans="1:250" x14ac:dyDescent="0.15">
      <c r="A6" s="2" t="s">
        <v>6</v>
      </c>
      <c r="B6" s="6">
        <v>33.1</v>
      </c>
    </row>
    <row r="7" spans="1:250" x14ac:dyDescent="0.15">
      <c r="A7" s="5" t="s">
        <v>8</v>
      </c>
      <c r="B7" s="8">
        <v>4321.2</v>
      </c>
    </row>
    <row r="8" spans="1:250" x14ac:dyDescent="0.15">
      <c r="A8" s="2"/>
      <c r="B8" s="2"/>
    </row>
    <row r="9" spans="1:250" x14ac:dyDescent="0.15">
      <c r="A9" s="2" t="s">
        <v>9</v>
      </c>
      <c r="B9" s="6">
        <v>5092.7</v>
      </c>
    </row>
    <row r="10" spans="1:250" x14ac:dyDescent="0.15">
      <c r="A10" s="2" t="s">
        <v>10</v>
      </c>
      <c r="B10" s="6">
        <v>1056</v>
      </c>
    </row>
    <row r="11" spans="1:250" x14ac:dyDescent="0.15">
      <c r="A11" s="5" t="s">
        <v>11</v>
      </c>
      <c r="B11" s="9">
        <v>6148.7</v>
      </c>
    </row>
    <row r="12" spans="1:250" x14ac:dyDescent="0.15">
      <c r="A12" s="2"/>
      <c r="B12" s="2"/>
    </row>
    <row r="13" spans="1:250" x14ac:dyDescent="0.15">
      <c r="A13" s="2" t="s">
        <v>12</v>
      </c>
      <c r="B13" s="10">
        <v>4482.3999999999996</v>
      </c>
    </row>
    <row r="14" spans="1:250" x14ac:dyDescent="0.15">
      <c r="A14" s="2" t="s">
        <v>13</v>
      </c>
      <c r="B14" s="10">
        <v>655.8</v>
      </c>
    </row>
    <row r="15" spans="1:250" x14ac:dyDescent="0.15">
      <c r="A15" s="2" t="s">
        <v>14</v>
      </c>
      <c r="B15" s="10">
        <v>717.3</v>
      </c>
    </row>
    <row r="16" spans="1:250" x14ac:dyDescent="0.15">
      <c r="A16" s="5" t="s">
        <v>15</v>
      </c>
      <c r="B16" s="7">
        <v>16325.4</v>
      </c>
    </row>
    <row r="17" spans="1:2" x14ac:dyDescent="0.15">
      <c r="A17" s="2"/>
      <c r="B17" s="2"/>
    </row>
    <row r="18" spans="1:2" x14ac:dyDescent="0.15">
      <c r="A18" s="2" t="s">
        <v>16</v>
      </c>
      <c r="B18" s="6">
        <v>12698.2</v>
      </c>
    </row>
    <row r="19" spans="1:2" x14ac:dyDescent="0.15">
      <c r="A19" s="2" t="s">
        <v>17</v>
      </c>
      <c r="B19" s="6">
        <v>-7138.1</v>
      </c>
    </row>
    <row r="20" spans="1:2" x14ac:dyDescent="0.15">
      <c r="A20" s="5" t="s">
        <v>18</v>
      </c>
      <c r="B20" s="11">
        <v>5560.1</v>
      </c>
    </row>
    <row r="21" spans="1:2" x14ac:dyDescent="0.15">
      <c r="A21" s="2"/>
      <c r="B21" s="2"/>
    </row>
    <row r="22" spans="1:2" x14ac:dyDescent="0.15">
      <c r="A22" s="2" t="s">
        <v>19</v>
      </c>
      <c r="B22" s="12">
        <v>11158.2</v>
      </c>
    </row>
    <row r="23" spans="1:2" x14ac:dyDescent="0.15">
      <c r="A23" s="2" t="s">
        <v>20</v>
      </c>
      <c r="B23" s="13">
        <v>13102.6</v>
      </c>
    </row>
    <row r="24" spans="1:2" x14ac:dyDescent="0.15">
      <c r="A24" s="2" t="s">
        <v>21</v>
      </c>
      <c r="B24" s="12">
        <v>4287.1000000000004</v>
      </c>
    </row>
    <row r="25" spans="1:2" x14ac:dyDescent="0.15">
      <c r="A25" s="2" t="s">
        <v>22</v>
      </c>
      <c r="B25" s="12">
        <v>171</v>
      </c>
    </row>
    <row r="26" spans="1:2" x14ac:dyDescent="0.15">
      <c r="A26" s="2" t="s">
        <v>23</v>
      </c>
      <c r="B26" s="12">
        <v>921.2</v>
      </c>
    </row>
    <row r="27" spans="1:2" x14ac:dyDescent="0.15">
      <c r="A27" s="2" t="s">
        <v>24</v>
      </c>
      <c r="B27" s="12">
        <v>329.5</v>
      </c>
    </row>
    <row r="28" spans="1:2" x14ac:dyDescent="0.15">
      <c r="A28" s="5" t="s">
        <v>25</v>
      </c>
      <c r="B28" s="14">
        <v>51855.1</v>
      </c>
    </row>
    <row r="29" spans="1:2" x14ac:dyDescent="0.15">
      <c r="A29" s="2"/>
      <c r="B29" s="2"/>
    </row>
    <row r="30" spans="1:2" x14ac:dyDescent="0.15">
      <c r="A30" s="5" t="s">
        <v>26</v>
      </c>
      <c r="B30" s="2"/>
    </row>
    <row r="31" spans="1:2" x14ac:dyDescent="0.15">
      <c r="A31" s="2" t="s">
        <v>27</v>
      </c>
      <c r="B31" s="10">
        <v>6347</v>
      </c>
    </row>
    <row r="32" spans="1:2" x14ac:dyDescent="0.15">
      <c r="A32" s="2" t="s">
        <v>28</v>
      </c>
      <c r="B32" s="10">
        <v>2176.5</v>
      </c>
    </row>
    <row r="33" spans="1:2" x14ac:dyDescent="0.15">
      <c r="A33" s="2" t="s">
        <v>29</v>
      </c>
      <c r="B33" s="15">
        <v>67</v>
      </c>
    </row>
    <row r="34" spans="1:2" x14ac:dyDescent="0.15">
      <c r="A34" s="2" t="s">
        <v>30</v>
      </c>
      <c r="B34" s="15">
        <v>2024.5</v>
      </c>
    </row>
    <row r="35" spans="1:2" x14ac:dyDescent="0.15">
      <c r="A35" s="2" t="s">
        <v>31</v>
      </c>
      <c r="B35" s="15">
        <v>459.8</v>
      </c>
    </row>
    <row r="36" spans="1:2" x14ac:dyDescent="0.15">
      <c r="A36" s="2" t="s">
        <v>32</v>
      </c>
      <c r="B36" s="10">
        <v>208.1</v>
      </c>
    </row>
    <row r="37" spans="1:2" x14ac:dyDescent="0.15">
      <c r="A37" s="2" t="s">
        <v>33</v>
      </c>
      <c r="B37" s="10">
        <v>3616.8</v>
      </c>
    </row>
    <row r="38" spans="1:2" x14ac:dyDescent="0.15">
      <c r="A38" s="5" t="s">
        <v>34</v>
      </c>
      <c r="B38" s="7">
        <v>14899.7</v>
      </c>
    </row>
    <row r="39" spans="1:2" x14ac:dyDescent="0.15">
      <c r="A39" s="2"/>
      <c r="B39" s="2"/>
    </row>
    <row r="40" spans="1:2" x14ac:dyDescent="0.15">
      <c r="A40" s="2" t="s">
        <v>35</v>
      </c>
      <c r="B40" s="15">
        <v>4746.7</v>
      </c>
    </row>
    <row r="41" spans="1:2" x14ac:dyDescent="0.15">
      <c r="A41" s="2" t="s">
        <v>36</v>
      </c>
      <c r="B41" s="15">
        <v>1394.2</v>
      </c>
    </row>
    <row r="42" spans="1:2" x14ac:dyDescent="0.15">
      <c r="A42" s="2" t="s">
        <v>37</v>
      </c>
      <c r="B42" s="16">
        <v>562</v>
      </c>
    </row>
    <row r="43" spans="1:2" x14ac:dyDescent="0.15">
      <c r="A43" s="2" t="s">
        <v>38</v>
      </c>
      <c r="B43" s="10">
        <v>846.6</v>
      </c>
    </row>
    <row r="44" spans="1:2" x14ac:dyDescent="0.15">
      <c r="A44" s="2" t="s">
        <v>39</v>
      </c>
      <c r="B44" s="10">
        <v>324.3</v>
      </c>
    </row>
    <row r="45" spans="1:2" x14ac:dyDescent="0.15">
      <c r="A45" s="5" t="s">
        <v>40</v>
      </c>
      <c r="B45" s="7">
        <v>22773.5</v>
      </c>
    </row>
    <row r="46" spans="1:2" x14ac:dyDescent="0.15">
      <c r="A46" s="2"/>
      <c r="B46" s="2"/>
    </row>
    <row r="47" spans="1:2" x14ac:dyDescent="0.15">
      <c r="A47" s="2" t="s">
        <v>41</v>
      </c>
      <c r="B47" s="6">
        <v>106.9</v>
      </c>
    </row>
    <row r="48" spans="1:2" x14ac:dyDescent="0.15">
      <c r="A48" s="2" t="s">
        <v>42</v>
      </c>
      <c r="B48" s="6">
        <v>3370.2</v>
      </c>
    </row>
    <row r="49" spans="1:2" x14ac:dyDescent="0.15">
      <c r="A49" s="2" t="s">
        <v>43</v>
      </c>
      <c r="B49" s="6">
        <v>19983.099999999999</v>
      </c>
    </row>
    <row r="50" spans="1:2" ht="12" x14ac:dyDescent="0.15">
      <c r="A50" s="2" t="s">
        <v>44</v>
      </c>
      <c r="B50" s="6" t="s">
        <v>7</v>
      </c>
    </row>
    <row r="51" spans="1:2" x14ac:dyDescent="0.15">
      <c r="A51" s="2" t="s">
        <v>45</v>
      </c>
      <c r="B51" s="6">
        <v>5614.1</v>
      </c>
    </row>
    <row r="52" spans="1:2" x14ac:dyDescent="0.15">
      <c r="A52" s="5" t="s">
        <v>46</v>
      </c>
      <c r="B52" s="7">
        <v>29074.3</v>
      </c>
    </row>
    <row r="53" spans="1:2" x14ac:dyDescent="0.15">
      <c r="A53" s="2"/>
      <c r="B53" s="2"/>
    </row>
    <row r="54" spans="1:2" x14ac:dyDescent="0.15">
      <c r="A54" s="2" t="s">
        <v>47</v>
      </c>
      <c r="B54" s="6">
        <v>7.3</v>
      </c>
    </row>
    <row r="55" spans="1:2" x14ac:dyDescent="0.15">
      <c r="A55" s="2"/>
      <c r="B55" s="2"/>
    </row>
    <row r="56" spans="1:2" x14ac:dyDescent="0.15">
      <c r="A56" s="5" t="s">
        <v>48</v>
      </c>
      <c r="B56" s="17">
        <v>29081.599999999999</v>
      </c>
    </row>
    <row r="57" spans="1:2" x14ac:dyDescent="0.15">
      <c r="A57" s="2"/>
      <c r="B57" s="2"/>
    </row>
    <row r="58" spans="1:2" x14ac:dyDescent="0.15">
      <c r="A58" s="5" t="s">
        <v>49</v>
      </c>
      <c r="B58" s="18">
        <v>51855.1</v>
      </c>
    </row>
    <row r="59" spans="1:2" x14ac:dyDescent="0.15">
      <c r="A59" s="2"/>
      <c r="B59" s="2"/>
    </row>
    <row r="60" spans="1:2" x14ac:dyDescent="0.15">
      <c r="A60" s="5" t="s">
        <v>50</v>
      </c>
      <c r="B60" s="2"/>
    </row>
    <row r="61" spans="1:2" x14ac:dyDescent="0.15">
      <c r="A61" s="2" t="s">
        <v>51</v>
      </c>
      <c r="B61" s="6">
        <v>534.72547499999996</v>
      </c>
    </row>
    <row r="62" spans="1:2" x14ac:dyDescent="0.15">
      <c r="A62" s="2" t="s">
        <v>52</v>
      </c>
      <c r="B62" s="6">
        <v>534.72547499999996</v>
      </c>
    </row>
    <row r="63" spans="1:2" x14ac:dyDescent="0.15">
      <c r="A63" s="2" t="s">
        <v>53</v>
      </c>
      <c r="B63" s="6">
        <v>54.372385999999999</v>
      </c>
    </row>
    <row r="64" spans="1:2" x14ac:dyDescent="0.15">
      <c r="A64" s="2" t="s">
        <v>54</v>
      </c>
      <c r="B64" s="6">
        <v>11684.6</v>
      </c>
    </row>
    <row r="65" spans="1:2" x14ac:dyDescent="0.15">
      <c r="A65" s="2" t="s">
        <v>55</v>
      </c>
      <c r="B65" s="6">
        <v>21.851586000000001</v>
      </c>
    </row>
    <row r="66" spans="1:2" x14ac:dyDescent="0.15">
      <c r="A66" s="2" t="s">
        <v>56</v>
      </c>
      <c r="B66" s="6">
        <v>8692.2000000000007</v>
      </c>
    </row>
    <row r="67" spans="1:2" x14ac:dyDescent="0.15">
      <c r="A67" s="19" t="s">
        <v>57</v>
      </c>
      <c r="B67" s="20">
        <v>4371</v>
      </c>
    </row>
    <row r="68" spans="1:2" x14ac:dyDescent="0.15">
      <c r="A68" s="2" t="s">
        <v>58</v>
      </c>
      <c r="B68" s="6">
        <v>232.5</v>
      </c>
    </row>
    <row r="69" spans="1:2" x14ac:dyDescent="0.15">
      <c r="A69" s="2" t="s">
        <v>59</v>
      </c>
      <c r="B69" s="6">
        <v>7.3</v>
      </c>
    </row>
    <row r="70" spans="1:2" x14ac:dyDescent="0.15">
      <c r="A70" s="2" t="s">
        <v>60</v>
      </c>
      <c r="B70" s="6">
        <v>27</v>
      </c>
    </row>
    <row r="71" spans="1:2" ht="12" x14ac:dyDescent="0.15">
      <c r="A71" s="2" t="s">
        <v>61</v>
      </c>
      <c r="B71" s="6" t="s">
        <v>62</v>
      </c>
    </row>
    <row r="72" spans="1:2" x14ac:dyDescent="0.15">
      <c r="A72" s="2" t="s">
        <v>63</v>
      </c>
      <c r="B72" s="6">
        <v>1156.0999999999999</v>
      </c>
    </row>
    <row r="73" spans="1:2" x14ac:dyDescent="0.15">
      <c r="A73" s="2" t="s">
        <v>64</v>
      </c>
      <c r="B73" s="6">
        <v>3826.9</v>
      </c>
    </row>
    <row r="74" spans="1:2" x14ac:dyDescent="0.15">
      <c r="A74" s="2" t="s">
        <v>65</v>
      </c>
      <c r="B74" s="6">
        <v>2662.4</v>
      </c>
    </row>
    <row r="75" spans="1:2" x14ac:dyDescent="0.15">
      <c r="A75" s="2" t="s">
        <v>66</v>
      </c>
      <c r="B75" s="6">
        <v>4100.6000000000004</v>
      </c>
    </row>
    <row r="76" spans="1:2" x14ac:dyDescent="0.15">
      <c r="A76" s="2" t="s">
        <v>67</v>
      </c>
      <c r="B76" s="6">
        <v>94605</v>
      </c>
    </row>
    <row r="77" spans="1:2" x14ac:dyDescent="0.15">
      <c r="A77" s="2" t="s">
        <v>68</v>
      </c>
      <c r="B77" s="6">
        <v>32.799999999999997</v>
      </c>
    </row>
    <row r="78" spans="1:2" x14ac:dyDescent="0.15">
      <c r="A78" s="2" t="s">
        <v>69</v>
      </c>
      <c r="B78" s="21">
        <v>45338</v>
      </c>
    </row>
    <row r="79" spans="1:2" x14ac:dyDescent="0.15">
      <c r="A79" s="2"/>
      <c r="B79" s="6"/>
    </row>
    <row r="80" spans="1:2" x14ac:dyDescent="0.15">
      <c r="A80" s="2"/>
      <c r="B80" s="6"/>
    </row>
    <row r="81" spans="1:2" x14ac:dyDescent="0.15">
      <c r="A81" s="2"/>
      <c r="B81" s="2"/>
    </row>
    <row r="82" spans="1:2" x14ac:dyDescent="0.15">
      <c r="A82" s="22"/>
      <c r="B82" s="22"/>
    </row>
    <row r="84" spans="1:2" x14ac:dyDescent="0.15">
      <c r="A84" s="23" t="s">
        <v>70</v>
      </c>
    </row>
    <row r="85" spans="1:2" x14ac:dyDescent="0.15">
      <c r="A85" s="24" t="s">
        <v>71</v>
      </c>
      <c r="B85" s="24">
        <f>B20+B22+SUM(B24:B27)</f>
        <v>22427.100000000002</v>
      </c>
    </row>
    <row r="86" spans="1:2" x14ac:dyDescent="0.15">
      <c r="A86" s="25" t="s">
        <v>20</v>
      </c>
      <c r="B86" s="25">
        <f>B23</f>
        <v>13102.6</v>
      </c>
    </row>
    <row r="87" spans="1:2" x14ac:dyDescent="0.15">
      <c r="A87" s="26" t="s">
        <v>72</v>
      </c>
      <c r="B87" s="26">
        <f>SUM(B11:B15)-B31-B32-B36-B37-B43-B44</f>
        <v>-1515.1000000000029</v>
      </c>
    </row>
    <row r="88" spans="1:2" x14ac:dyDescent="0.15">
      <c r="B88" s="27" t="s">
        <v>73</v>
      </c>
    </row>
    <row r="89" spans="1:2" x14ac:dyDescent="0.15">
      <c r="A89" s="1" t="s">
        <v>74</v>
      </c>
      <c r="B89" s="1">
        <f>SUM(B85:B87)</f>
        <v>34014.6</v>
      </c>
    </row>
    <row r="91" spans="1:2" x14ac:dyDescent="0.15">
      <c r="A91" s="28" t="s">
        <v>75</v>
      </c>
      <c r="B91" s="28">
        <f>B56</f>
        <v>29081.599999999999</v>
      </c>
    </row>
    <row r="92" spans="1:2" x14ac:dyDescent="0.15">
      <c r="A92" s="29" t="s">
        <v>76</v>
      </c>
      <c r="B92" s="29">
        <f>B42</f>
        <v>562</v>
      </c>
    </row>
    <row r="93" spans="1:2" x14ac:dyDescent="0.15">
      <c r="A93" s="30" t="s">
        <v>77</v>
      </c>
      <c r="B93" s="30">
        <f>SUM(B40:B41)+SUM(B33:B35)-B7</f>
        <v>4371.0000000000009</v>
      </c>
    </row>
    <row r="94" spans="1:2" x14ac:dyDescent="0.15">
      <c r="B94" s="27" t="s">
        <v>73</v>
      </c>
    </row>
    <row r="95" spans="1:2" x14ac:dyDescent="0.15">
      <c r="A95" s="1" t="s">
        <v>74</v>
      </c>
      <c r="B95" s="1">
        <f>SUM(B91:B93)</f>
        <v>34014.6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Levyne</dc:creator>
  <cp:lastModifiedBy>Pascal Frantz</cp:lastModifiedBy>
  <dcterms:created xsi:type="dcterms:W3CDTF">2024-10-24T22:09:10Z</dcterms:created>
  <dcterms:modified xsi:type="dcterms:W3CDTF">2026-03-17T14:28:41Z</dcterms:modified>
</cp:coreProperties>
</file>