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frantz/Documents/"/>
    </mc:Choice>
  </mc:AlternateContent>
  <xr:revisionPtr revIDLastSave="0" documentId="8_{C91E3A7E-D98C-244B-9547-ECD6C8F6E593}" xr6:coauthVersionLast="47" xr6:coauthVersionMax="47" xr10:uidLastSave="{00000000-0000-0000-0000-000000000000}"/>
  <bookViews>
    <workbookView xWindow="0" yWindow="500" windowWidth="35840" windowHeight="20340" xr2:uid="{F82D860E-E176-4442-8FC6-C7EE36D3E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K36" i="1" s="1"/>
  <c r="J26" i="1"/>
  <c r="J36" i="1" s="1"/>
  <c r="K25" i="1"/>
  <c r="K35" i="1" s="1"/>
  <c r="J25" i="1"/>
  <c r="J35" i="1" s="1"/>
  <c r="K24" i="1"/>
  <c r="K34" i="1" s="1"/>
  <c r="J24" i="1"/>
  <c r="J34" i="1" s="1"/>
  <c r="J21" i="1"/>
  <c r="J31" i="1" s="1"/>
  <c r="K15" i="1"/>
  <c r="K23" i="1" s="1"/>
  <c r="K33" i="1" s="1"/>
  <c r="J15" i="1"/>
  <c r="J23" i="1" s="1"/>
  <c r="J33" i="1" s="1"/>
  <c r="I15" i="1"/>
  <c r="H15" i="1"/>
  <c r="H23" i="1" s="1"/>
  <c r="H33" i="1" s="1"/>
  <c r="G15" i="1"/>
  <c r="K14" i="1"/>
  <c r="K22" i="1" s="1"/>
  <c r="K32" i="1" s="1"/>
  <c r="J14" i="1"/>
  <c r="J22" i="1" s="1"/>
  <c r="J32" i="1" s="1"/>
  <c r="I14" i="1"/>
  <c r="H14" i="1"/>
  <c r="H22" i="1" s="1"/>
  <c r="H32" i="1" s="1"/>
  <c r="G14" i="1"/>
  <c r="K13" i="1"/>
  <c r="K21" i="1" s="1"/>
  <c r="K31" i="1" s="1"/>
  <c r="J13" i="1"/>
  <c r="I13" i="1"/>
  <c r="H13" i="1"/>
  <c r="G13" i="1"/>
  <c r="B21" i="1"/>
  <c r="B9" i="1"/>
  <c r="B11" i="1" s="1"/>
  <c r="H26" i="1" l="1"/>
  <c r="H36" i="1" s="1"/>
  <c r="H25" i="1"/>
  <c r="H35" i="1" s="1"/>
  <c r="H24" i="1"/>
  <c r="H34" i="1" s="1"/>
  <c r="B13" i="1"/>
  <c r="H21" i="1"/>
  <c r="H31" i="1" s="1"/>
  <c r="I21" i="1"/>
  <c r="I31" i="1" s="1"/>
  <c r="I26" i="1" l="1"/>
  <c r="I36" i="1" s="1"/>
  <c r="I25" i="1"/>
  <c r="I35" i="1" s="1"/>
  <c r="I24" i="1"/>
  <c r="I34" i="1" s="1"/>
  <c r="B15" i="1"/>
  <c r="B17" i="1" s="1"/>
  <c r="I23" i="1"/>
  <c r="I33" i="1" s="1"/>
  <c r="I22" i="1"/>
  <c r="I32" i="1" s="1"/>
  <c r="G26" i="1" l="1"/>
  <c r="G36" i="1" s="1"/>
  <c r="G25" i="1"/>
  <c r="G35" i="1" s="1"/>
  <c r="G24" i="1"/>
  <c r="G34" i="1" s="1"/>
  <c r="G23" i="1"/>
  <c r="G33" i="1" s="1"/>
  <c r="G21" i="1"/>
  <c r="G31" i="1" s="1"/>
  <c r="G22" i="1"/>
  <c r="G32" i="1" s="1"/>
</calcChain>
</file>

<file path=xl/sharedStrings.xml><?xml version="1.0" encoding="utf-8"?>
<sst xmlns="http://schemas.openxmlformats.org/spreadsheetml/2006/main" count="59" uniqueCount="32">
  <si>
    <t>AB InBev</t>
  </si>
  <si>
    <t>Revenue</t>
  </si>
  <si>
    <t>Gross Profit</t>
  </si>
  <si>
    <t>Operating Expenses</t>
  </si>
  <si>
    <t>Cost of Goods Sold</t>
  </si>
  <si>
    <t>EBITDA</t>
  </si>
  <si>
    <t>Depreciation &amp; Amortization</t>
  </si>
  <si>
    <t>EBIT</t>
  </si>
  <si>
    <t>Financial Expense</t>
  </si>
  <si>
    <t>EBT</t>
  </si>
  <si>
    <t>Tax Expense</t>
  </si>
  <si>
    <t>Net Income</t>
  </si>
  <si>
    <t>Book Value of Equity (CSE)</t>
  </si>
  <si>
    <t>Net Operating Assets (NOA)</t>
  </si>
  <si>
    <t>PE</t>
  </si>
  <si>
    <t>EV/EBITDA</t>
  </si>
  <si>
    <t>EV/EBIT</t>
  </si>
  <si>
    <t>EV/Revenue</t>
  </si>
  <si>
    <t>P/CSE</t>
  </si>
  <si>
    <t>AB inBev</t>
  </si>
  <si>
    <t>Heineken</t>
  </si>
  <si>
    <t>Carlsberg</t>
  </si>
  <si>
    <t>Diageo</t>
  </si>
  <si>
    <t>All</t>
  </si>
  <si>
    <t>All ex AB InBev</t>
  </si>
  <si>
    <t>Heineken &amp; Carlsberg</t>
  </si>
  <si>
    <t>VE</t>
  </si>
  <si>
    <t>EV</t>
  </si>
  <si>
    <t>P/Share</t>
  </si>
  <si>
    <t># Shares</t>
  </si>
  <si>
    <t>(€m)</t>
  </si>
  <si>
    <t>Net Debt (NFO)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</si>
</sst>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Fill="1"/>
    <xf numFmtId="0" fontId="1" fillId="0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32C3-DC2B-2D49-A81A-5802D78B5898}">
  <dimension ref="A4:K36"/>
  <sheetViews>
    <sheetView tabSelected="1" workbookViewId="0">
      <selection activeCell="I43" sqref="I43"/>
    </sheetView>
  </sheetViews>
  <sheetFormatPr baseColWidth="10" defaultRowHeight="16" x14ac:dyDescent="0.2"/>
  <cols>
    <col min="1" max="1" width="24.33203125" bestFit="1" customWidth="1"/>
    <col min="6" max="6" width="18.6640625" bestFit="1" customWidth="1"/>
  </cols>
  <sheetData>
    <row r="4" spans="1:11" x14ac:dyDescent="0.2">
      <c r="A4" s="1" t="s">
        <v>0</v>
      </c>
    </row>
    <row r="6" spans="1:11" x14ac:dyDescent="0.2">
      <c r="A6" t="s">
        <v>30</v>
      </c>
      <c r="B6" s="1">
        <v>2018</v>
      </c>
      <c r="G6" s="2" t="s">
        <v>14</v>
      </c>
      <c r="H6" s="8" t="s">
        <v>15</v>
      </c>
      <c r="I6" s="2" t="s">
        <v>16</v>
      </c>
      <c r="J6" s="2" t="s">
        <v>17</v>
      </c>
      <c r="K6" s="2" t="s">
        <v>18</v>
      </c>
    </row>
    <row r="7" spans="1:11" x14ac:dyDescent="0.2">
      <c r="A7" t="s">
        <v>1</v>
      </c>
      <c r="B7" s="7">
        <v>54619</v>
      </c>
      <c r="F7" t="s">
        <v>19</v>
      </c>
      <c r="G7" s="3">
        <v>19.3</v>
      </c>
      <c r="H7" s="3">
        <v>12.7</v>
      </c>
      <c r="I7" s="3">
        <v>15.9</v>
      </c>
      <c r="J7" s="3">
        <v>5.4</v>
      </c>
      <c r="K7" s="3">
        <v>2.6</v>
      </c>
    </row>
    <row r="8" spans="1:11" x14ac:dyDescent="0.2">
      <c r="A8" t="s">
        <v>4</v>
      </c>
      <c r="B8">
        <v>17451</v>
      </c>
      <c r="F8" t="s">
        <v>20</v>
      </c>
      <c r="G8" s="3">
        <v>20.5</v>
      </c>
      <c r="H8" s="3">
        <v>12.3</v>
      </c>
      <c r="I8" s="3">
        <v>17.2</v>
      </c>
      <c r="J8" s="3">
        <v>2.9</v>
      </c>
      <c r="K8" s="3">
        <v>3.6</v>
      </c>
    </row>
    <row r="9" spans="1:11" x14ac:dyDescent="0.2">
      <c r="A9" t="s">
        <v>2</v>
      </c>
      <c r="B9">
        <f>B7-B8</f>
        <v>37168</v>
      </c>
      <c r="F9" t="s">
        <v>21</v>
      </c>
      <c r="G9" s="3">
        <v>22.8</v>
      </c>
      <c r="H9" s="3">
        <v>11.5</v>
      </c>
      <c r="I9" s="3">
        <v>16</v>
      </c>
      <c r="J9" s="3">
        <v>2.6</v>
      </c>
      <c r="K9" s="3">
        <v>3.4</v>
      </c>
    </row>
    <row r="10" spans="1:11" x14ac:dyDescent="0.2">
      <c r="A10" t="s">
        <v>3</v>
      </c>
      <c r="B10">
        <v>16264</v>
      </c>
      <c r="F10" t="s">
        <v>22</v>
      </c>
      <c r="G10" s="3">
        <v>24</v>
      </c>
      <c r="H10" s="3">
        <v>19.100000000000001</v>
      </c>
      <c r="I10" s="3">
        <v>21.1</v>
      </c>
      <c r="J10" s="3">
        <v>6.8</v>
      </c>
      <c r="K10" s="3">
        <v>9.9</v>
      </c>
    </row>
    <row r="11" spans="1:11" x14ac:dyDescent="0.2">
      <c r="A11" t="s">
        <v>5</v>
      </c>
      <c r="B11">
        <f>B9-B10</f>
        <v>20904</v>
      </c>
    </row>
    <row r="12" spans="1:11" x14ac:dyDescent="0.2">
      <c r="A12" t="s">
        <v>6</v>
      </c>
      <c r="B12">
        <v>2908</v>
      </c>
      <c r="G12" s="2" t="s">
        <v>14</v>
      </c>
      <c r="H12" s="9" t="s">
        <v>15</v>
      </c>
      <c r="I12" s="2" t="s">
        <v>16</v>
      </c>
      <c r="J12" s="2" t="s">
        <v>17</v>
      </c>
      <c r="K12" s="2" t="s">
        <v>18</v>
      </c>
    </row>
    <row r="13" spans="1:11" x14ac:dyDescent="0.2">
      <c r="A13" t="s">
        <v>7</v>
      </c>
      <c r="B13">
        <f>B11-B12</f>
        <v>17996</v>
      </c>
      <c r="F13" t="s">
        <v>23</v>
      </c>
      <c r="G13" s="3">
        <f>AVERAGE(G$7:G$10)</f>
        <v>21.65</v>
      </c>
      <c r="H13" s="3">
        <f t="shared" ref="H13:K13" si="0">AVERAGE(H$7:H$10)</f>
        <v>13.9</v>
      </c>
      <c r="I13" s="3">
        <f t="shared" si="0"/>
        <v>17.55</v>
      </c>
      <c r="J13" s="3">
        <f t="shared" si="0"/>
        <v>4.4249999999999998</v>
      </c>
      <c r="K13" s="3">
        <f t="shared" si="0"/>
        <v>4.875</v>
      </c>
    </row>
    <row r="14" spans="1:11" x14ac:dyDescent="0.2">
      <c r="A14" t="s">
        <v>8</v>
      </c>
      <c r="B14">
        <v>9401</v>
      </c>
      <c r="F14" t="s">
        <v>24</v>
      </c>
      <c r="G14" s="3">
        <f>AVERAGE(G8:G10)</f>
        <v>22.433333333333334</v>
      </c>
      <c r="H14" s="3">
        <f t="shared" ref="H14:K14" si="1">AVERAGE(H8:H10)</f>
        <v>14.300000000000002</v>
      </c>
      <c r="I14" s="3">
        <f t="shared" si="1"/>
        <v>18.100000000000001</v>
      </c>
      <c r="J14" s="3">
        <f t="shared" si="1"/>
        <v>4.1000000000000005</v>
      </c>
      <c r="K14" s="3">
        <f t="shared" si="1"/>
        <v>5.6333333333333329</v>
      </c>
    </row>
    <row r="15" spans="1:11" x14ac:dyDescent="0.2">
      <c r="A15" t="s">
        <v>9</v>
      </c>
      <c r="B15">
        <f>B13-B14</f>
        <v>8595</v>
      </c>
      <c r="F15" s="5" t="s">
        <v>25</v>
      </c>
      <c r="G15">
        <f>(G8+G9)/2</f>
        <v>21.65</v>
      </c>
      <c r="H15" s="5">
        <f t="shared" ref="H15:K15" si="2">(H8+H9)/2</f>
        <v>11.9</v>
      </c>
      <c r="I15">
        <f t="shared" si="2"/>
        <v>16.600000000000001</v>
      </c>
      <c r="J15">
        <f t="shared" si="2"/>
        <v>2.75</v>
      </c>
      <c r="K15">
        <f t="shared" si="2"/>
        <v>3.5</v>
      </c>
    </row>
    <row r="16" spans="1:11" x14ac:dyDescent="0.2">
      <c r="A16" t="s">
        <v>10</v>
      </c>
      <c r="B16">
        <v>2922</v>
      </c>
      <c r="F16" t="s">
        <v>20</v>
      </c>
      <c r="G16" s="3">
        <v>20.5</v>
      </c>
      <c r="H16" s="3">
        <v>12.3</v>
      </c>
      <c r="I16" s="3">
        <v>17.2</v>
      </c>
      <c r="J16" s="3">
        <v>2.9</v>
      </c>
      <c r="K16" s="3">
        <v>3.6</v>
      </c>
    </row>
    <row r="17" spans="1:11" x14ac:dyDescent="0.2">
      <c r="A17" t="s">
        <v>11</v>
      </c>
      <c r="B17">
        <f>B15-B16</f>
        <v>5673</v>
      </c>
      <c r="F17" t="s">
        <v>21</v>
      </c>
      <c r="G17" s="3">
        <v>22.8</v>
      </c>
      <c r="H17" s="3">
        <v>11.5</v>
      </c>
      <c r="I17" s="3">
        <v>16</v>
      </c>
      <c r="J17" s="3">
        <v>2.6</v>
      </c>
      <c r="K17" s="3">
        <v>3.4</v>
      </c>
    </row>
    <row r="18" spans="1:11" x14ac:dyDescent="0.2">
      <c r="F18" t="s">
        <v>22</v>
      </c>
      <c r="G18" s="3">
        <v>24</v>
      </c>
      <c r="H18" s="3">
        <v>19.100000000000001</v>
      </c>
      <c r="I18" s="3">
        <v>21.1</v>
      </c>
      <c r="J18" s="3">
        <v>6.8</v>
      </c>
      <c r="K18" s="3">
        <v>9.9</v>
      </c>
    </row>
    <row r="19" spans="1:11" x14ac:dyDescent="0.2">
      <c r="A19" t="s">
        <v>12</v>
      </c>
      <c r="B19">
        <v>71904</v>
      </c>
      <c r="G19" s="3"/>
      <c r="H19" s="3"/>
      <c r="I19" s="3"/>
      <c r="J19" s="3"/>
      <c r="K19" s="3"/>
    </row>
    <row r="20" spans="1:11" x14ac:dyDescent="0.2">
      <c r="A20" t="s">
        <v>31</v>
      </c>
      <c r="B20">
        <v>118700</v>
      </c>
      <c r="G20" s="2" t="s">
        <v>26</v>
      </c>
      <c r="H20" s="2" t="s">
        <v>27</v>
      </c>
      <c r="I20" s="2" t="s">
        <v>27</v>
      </c>
      <c r="J20" s="2" t="s">
        <v>27</v>
      </c>
      <c r="K20" s="2" t="s">
        <v>26</v>
      </c>
    </row>
    <row r="21" spans="1:11" x14ac:dyDescent="0.2">
      <c r="A21" t="s">
        <v>13</v>
      </c>
      <c r="B21">
        <f>B19+B20</f>
        <v>190604</v>
      </c>
      <c r="F21" t="s">
        <v>23</v>
      </c>
      <c r="G21" s="4">
        <f>G13*$B$17</f>
        <v>122820.45</v>
      </c>
      <c r="H21" s="4">
        <f>H13*$B$11</f>
        <v>290565.60000000003</v>
      </c>
      <c r="I21" s="4">
        <f>I13*$B$13</f>
        <v>315829.8</v>
      </c>
      <c r="J21" s="4">
        <f>J13*$B$7</f>
        <v>241689.07499999998</v>
      </c>
      <c r="K21" s="4">
        <f>K13*$B$19</f>
        <v>350532</v>
      </c>
    </row>
    <row r="22" spans="1:11" x14ac:dyDescent="0.2">
      <c r="F22" t="s">
        <v>24</v>
      </c>
      <c r="G22" s="4">
        <f t="shared" ref="G22:G26" si="3">G14*$B$17</f>
        <v>127264.3</v>
      </c>
      <c r="H22" s="4">
        <f t="shared" ref="H22:H26" si="4">H14*$B$11</f>
        <v>298927.20000000007</v>
      </c>
      <c r="I22" s="4">
        <f t="shared" ref="I22:I26" si="5">I14*$B$13</f>
        <v>325727.60000000003</v>
      </c>
      <c r="J22" s="4">
        <f t="shared" ref="J22:J26" si="6">J14*$B$7</f>
        <v>223937.90000000002</v>
      </c>
      <c r="K22" s="4">
        <f t="shared" ref="K22:K26" si="7">K14*$B$19</f>
        <v>405059.19999999995</v>
      </c>
    </row>
    <row r="23" spans="1:11" x14ac:dyDescent="0.2">
      <c r="A23" t="s">
        <v>29</v>
      </c>
      <c r="B23">
        <v>2019</v>
      </c>
      <c r="F23" t="s">
        <v>25</v>
      </c>
      <c r="G23" s="4">
        <f t="shared" si="3"/>
        <v>122820.45</v>
      </c>
      <c r="H23" s="4">
        <f t="shared" si="4"/>
        <v>248757.6</v>
      </c>
      <c r="I23" s="4">
        <f t="shared" si="5"/>
        <v>298733.60000000003</v>
      </c>
      <c r="J23" s="4">
        <f t="shared" si="6"/>
        <v>150202.25</v>
      </c>
      <c r="K23" s="4">
        <f t="shared" si="7"/>
        <v>251664</v>
      </c>
    </row>
    <row r="24" spans="1:11" x14ac:dyDescent="0.2">
      <c r="F24" t="s">
        <v>20</v>
      </c>
      <c r="G24" s="4">
        <f t="shared" si="3"/>
        <v>116296.5</v>
      </c>
      <c r="H24" s="4">
        <f t="shared" si="4"/>
        <v>257119.2</v>
      </c>
      <c r="I24" s="4">
        <f t="shared" si="5"/>
        <v>309531.2</v>
      </c>
      <c r="J24" s="4">
        <f t="shared" si="6"/>
        <v>158395.1</v>
      </c>
      <c r="K24" s="4">
        <f t="shared" si="7"/>
        <v>258854.39999999999</v>
      </c>
    </row>
    <row r="25" spans="1:11" x14ac:dyDescent="0.2">
      <c r="F25" t="s">
        <v>21</v>
      </c>
      <c r="G25" s="4">
        <f t="shared" si="3"/>
        <v>129344.40000000001</v>
      </c>
      <c r="H25" s="4">
        <f t="shared" si="4"/>
        <v>240396</v>
      </c>
      <c r="I25" s="4">
        <f t="shared" si="5"/>
        <v>287936</v>
      </c>
      <c r="J25" s="4">
        <f t="shared" si="6"/>
        <v>142009.4</v>
      </c>
      <c r="K25" s="4">
        <f t="shared" si="7"/>
        <v>244473.60000000001</v>
      </c>
    </row>
    <row r="26" spans="1:11" x14ac:dyDescent="0.2">
      <c r="F26" t="s">
        <v>22</v>
      </c>
      <c r="G26" s="4">
        <f t="shared" si="3"/>
        <v>136152</v>
      </c>
      <c r="H26" s="4">
        <f t="shared" si="4"/>
        <v>399266.4</v>
      </c>
      <c r="I26" s="4">
        <f t="shared" si="5"/>
        <v>379715.60000000003</v>
      </c>
      <c r="J26" s="4">
        <f t="shared" si="6"/>
        <v>371409.2</v>
      </c>
      <c r="K26" s="4">
        <f t="shared" si="7"/>
        <v>711849.6</v>
      </c>
    </row>
    <row r="30" spans="1:11" x14ac:dyDescent="0.2">
      <c r="G30" s="2" t="s">
        <v>28</v>
      </c>
      <c r="H30" s="2" t="s">
        <v>28</v>
      </c>
      <c r="I30" s="2" t="s">
        <v>28</v>
      </c>
      <c r="J30" s="2" t="s">
        <v>28</v>
      </c>
      <c r="K30" s="2" t="s">
        <v>28</v>
      </c>
    </row>
    <row r="31" spans="1:11" x14ac:dyDescent="0.2">
      <c r="F31" t="s">
        <v>23</v>
      </c>
      <c r="G31" s="3">
        <f>G21/$B$23</f>
        <v>60.832317979197619</v>
      </c>
      <c r="H31" s="3">
        <f>(H21-$B$20)/$B$23</f>
        <v>85.124120851906895</v>
      </c>
      <c r="I31" s="3">
        <f t="shared" ref="I31:J31" si="8">(I21-$B$20)/$B$23</f>
        <v>97.637345220406132</v>
      </c>
      <c r="J31" s="3">
        <f t="shared" si="8"/>
        <v>60.915837048043578</v>
      </c>
      <c r="K31" s="3">
        <f>K21/$B$23</f>
        <v>173.61664190193164</v>
      </c>
    </row>
    <row r="32" spans="1:11" x14ac:dyDescent="0.2">
      <c r="F32" t="s">
        <v>24</v>
      </c>
      <c r="G32" s="3">
        <f t="shared" ref="G32:G36" si="9">G22/$B$23</f>
        <v>63.033333333333331</v>
      </c>
      <c r="H32" s="3">
        <f t="shared" ref="H32:J32" si="10">(H22-$B$20)/$B$23</f>
        <v>89.265577018325942</v>
      </c>
      <c r="I32" s="3">
        <f t="shared" si="10"/>
        <v>102.53967310549778</v>
      </c>
      <c r="J32" s="3">
        <f t="shared" si="10"/>
        <v>52.12377414561665</v>
      </c>
      <c r="K32" s="3">
        <f t="shared" ref="K32:K36" si="11">K22/$B$23</f>
        <v>200.62367508667654</v>
      </c>
    </row>
    <row r="33" spans="6:11" x14ac:dyDescent="0.2">
      <c r="F33" s="5" t="s">
        <v>25</v>
      </c>
      <c r="G33" s="3">
        <f t="shared" si="9"/>
        <v>60.832317979197619</v>
      </c>
      <c r="H33" s="6">
        <f t="shared" ref="H33:J33" si="12">(H23-$B$20)/$B$23</f>
        <v>64.416840019811787</v>
      </c>
      <c r="I33" s="3">
        <f t="shared" si="12"/>
        <v>89.169687964338806</v>
      </c>
      <c r="J33" s="3">
        <f t="shared" si="12"/>
        <v>15.602897473997029</v>
      </c>
      <c r="K33" s="3">
        <f t="shared" si="11"/>
        <v>124.64784546805349</v>
      </c>
    </row>
    <row r="34" spans="6:11" x14ac:dyDescent="0.2">
      <c r="F34" t="s">
        <v>20</v>
      </c>
      <c r="G34" s="3">
        <f t="shared" si="9"/>
        <v>57.601040118870728</v>
      </c>
      <c r="H34" s="3">
        <f t="shared" ref="H34:J34" si="13">(H24-$B$20)/$B$23</f>
        <v>68.55829618623082</v>
      </c>
      <c r="I34" s="3">
        <f t="shared" si="13"/>
        <v>94.517682020802383</v>
      </c>
      <c r="J34" s="3">
        <f t="shared" si="13"/>
        <v>19.660772659732544</v>
      </c>
      <c r="K34" s="3">
        <f t="shared" si="11"/>
        <v>128.20921248142645</v>
      </c>
    </row>
    <row r="35" spans="6:11" x14ac:dyDescent="0.2">
      <c r="F35" t="s">
        <v>21</v>
      </c>
      <c r="G35" s="3">
        <f t="shared" si="9"/>
        <v>64.063595839524524</v>
      </c>
      <c r="H35" s="3">
        <f t="shared" ref="H35:J35" si="14">(H25-$B$20)/$B$23</f>
        <v>60.275383853392768</v>
      </c>
      <c r="I35" s="3">
        <f t="shared" si="14"/>
        <v>83.821693907875186</v>
      </c>
      <c r="J35" s="3">
        <f t="shared" si="14"/>
        <v>11.545022288261512</v>
      </c>
      <c r="K35" s="3">
        <f t="shared" si="11"/>
        <v>121.08647845468053</v>
      </c>
    </row>
    <row r="36" spans="6:11" x14ac:dyDescent="0.2">
      <c r="F36" t="s">
        <v>22</v>
      </c>
      <c r="G36" s="3">
        <f t="shared" si="9"/>
        <v>67.435364041604757</v>
      </c>
      <c r="H36" s="3">
        <f t="shared" ref="H36:J36" si="15">(H26-$B$20)/$B$23</f>
        <v>138.96305101535415</v>
      </c>
      <c r="I36" s="3">
        <f t="shared" si="15"/>
        <v>129.27964338781578</v>
      </c>
      <c r="J36" s="3">
        <f t="shared" si="15"/>
        <v>125.16552748885587</v>
      </c>
      <c r="K36" s="3">
        <f t="shared" si="11"/>
        <v>352.57533432392273</v>
      </c>
    </row>
  </sheetData>
  <pageMargins left="0.7" right="0.7" top="0.75" bottom="0.75" header="0.3" footer="0.3"/>
  <ignoredErrors>
    <ignoredError sqref="G14 H14:K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Frantz</dc:creator>
  <cp:lastModifiedBy>Pascal Frantz</cp:lastModifiedBy>
  <dcterms:created xsi:type="dcterms:W3CDTF">2026-02-16T15:16:24Z</dcterms:created>
  <dcterms:modified xsi:type="dcterms:W3CDTF">2026-02-19T14:30:34Z</dcterms:modified>
</cp:coreProperties>
</file>