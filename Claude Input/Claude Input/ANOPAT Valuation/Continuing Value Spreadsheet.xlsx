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.frantz/Documents/"/>
    </mc:Choice>
  </mc:AlternateContent>
  <xr:revisionPtr revIDLastSave="0" documentId="13_ncr:1_{F09611C4-2E13-DB42-8972-1DA5268D1CB8}" xr6:coauthVersionLast="47" xr6:coauthVersionMax="47" xr10:uidLastSave="{00000000-0000-0000-0000-000000000000}"/>
  <bookViews>
    <workbookView xWindow="0" yWindow="0" windowWidth="35840" windowHeight="22400" activeTab="1" xr2:uid="{BFB8F2C2-FEAA-4149-B7E1-0D5108D01ABC}"/>
  </bookViews>
  <sheets>
    <sheet name="Modified" sheetId="1" r:id="rId1"/>
    <sheet name="Original" sheetId="2" r:id="rId2"/>
  </sheets>
  <calcPr calcId="181029" iterate="1" iterateDelta="9.999999999999445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1" l="1"/>
  <c r="H41" i="1"/>
  <c r="I7" i="1"/>
  <c r="D34" i="2"/>
  <c r="E34" i="2" s="1"/>
  <c r="F34" i="2" s="1"/>
  <c r="G34" i="2" s="1"/>
  <c r="H34" i="2" s="1"/>
  <c r="B38" i="1" l="1"/>
  <c r="B35" i="1"/>
  <c r="B44" i="2"/>
  <c r="B36" i="2"/>
  <c r="F11" i="2"/>
  <c r="E11" i="2"/>
  <c r="D11" i="2"/>
  <c r="H10" i="2"/>
  <c r="G10" i="2"/>
  <c r="F10" i="2"/>
  <c r="E10" i="2"/>
  <c r="D10" i="2"/>
  <c r="F9" i="2"/>
  <c r="E9" i="2"/>
  <c r="D9" i="2"/>
  <c r="F8" i="2"/>
  <c r="E8" i="2"/>
  <c r="D8" i="2"/>
  <c r="G7" i="2"/>
  <c r="G8" i="2" s="1"/>
  <c r="F7" i="2"/>
  <c r="E7" i="2"/>
  <c r="D7" i="2"/>
  <c r="F6" i="2"/>
  <c r="E6" i="2"/>
  <c r="D6" i="2"/>
  <c r="H5" i="2"/>
  <c r="G5" i="2"/>
  <c r="F5" i="2"/>
  <c r="E5" i="2"/>
  <c r="D5" i="2"/>
  <c r="H3" i="2"/>
  <c r="G3" i="2"/>
  <c r="F3" i="2"/>
  <c r="E3" i="2"/>
  <c r="D3" i="2"/>
  <c r="C11" i="2"/>
  <c r="C10" i="2"/>
  <c r="C9" i="2"/>
  <c r="C8" i="2"/>
  <c r="C7" i="2"/>
  <c r="C6" i="2"/>
  <c r="C5" i="2"/>
  <c r="C3" i="2"/>
  <c r="H2" i="2"/>
  <c r="G2" i="2"/>
  <c r="F2" i="2"/>
  <c r="E2" i="2"/>
  <c r="D2" i="2"/>
  <c r="C2" i="2"/>
  <c r="C37" i="2" l="1"/>
  <c r="C38" i="2" s="1"/>
  <c r="C36" i="2"/>
  <c r="D36" i="2"/>
  <c r="E36" i="2" s="1"/>
  <c r="F36" i="2" s="1"/>
  <c r="G36" i="2" s="1"/>
  <c r="D37" i="2"/>
  <c r="D38" i="2" s="1"/>
  <c r="F49" i="2"/>
  <c r="G9" i="2"/>
  <c r="D49" i="2"/>
  <c r="G49" i="2"/>
  <c r="E49" i="2"/>
  <c r="D14" i="2"/>
  <c r="E14" i="2"/>
  <c r="F14" i="2"/>
  <c r="G14" i="2"/>
  <c r="H14" i="2"/>
  <c r="H8" i="2" s="1"/>
  <c r="H49" i="2"/>
  <c r="H37" i="2" l="1"/>
  <c r="B42" i="2" s="1"/>
  <c r="B43" i="2" s="1"/>
  <c r="F37" i="2"/>
  <c r="F38" i="2" s="1"/>
  <c r="E19" i="2"/>
  <c r="E37" i="2"/>
  <c r="E38" i="2" s="1"/>
  <c r="G37" i="2"/>
  <c r="G38" i="2" s="1"/>
  <c r="B41" i="2" l="1"/>
  <c r="B45" i="2" s="1"/>
  <c r="H9" i="2"/>
  <c r="B19" i="2" l="1"/>
  <c r="B26" i="2"/>
  <c r="B27" i="2" s="1"/>
  <c r="G18" i="1" l="1"/>
  <c r="F18" i="1"/>
  <c r="E18" i="1"/>
  <c r="D18" i="1"/>
  <c r="G17" i="1"/>
  <c r="F17" i="1"/>
  <c r="E17" i="1"/>
  <c r="B30" i="1"/>
  <c r="C31" i="1" s="1"/>
  <c r="C32" i="1" s="1"/>
  <c r="F7" i="1"/>
  <c r="E7" i="1"/>
  <c r="D7" i="1"/>
  <c r="C7" i="1"/>
  <c r="C8" i="1" s="1"/>
  <c r="D15" i="1"/>
  <c r="E15" i="1" s="1"/>
  <c r="F15" i="1" s="1"/>
  <c r="D9" i="1"/>
  <c r="C9" i="1"/>
  <c r="D4" i="1"/>
  <c r="D17" i="1" s="1"/>
  <c r="C41" i="1" l="1"/>
  <c r="C30" i="1"/>
  <c r="D8" i="1"/>
  <c r="C10" i="1"/>
  <c r="G15" i="1"/>
  <c r="F9" i="1"/>
  <c r="E9" i="1"/>
  <c r="D10" i="1"/>
  <c r="E4" i="1"/>
  <c r="D31" i="1" l="1"/>
  <c r="D32" i="1" s="1"/>
  <c r="D41" i="1"/>
  <c r="D30" i="1"/>
  <c r="E30" i="1" s="1"/>
  <c r="F41" i="1" s="1"/>
  <c r="E8" i="1"/>
  <c r="G9" i="1"/>
  <c r="H15" i="1"/>
  <c r="F4" i="1"/>
  <c r="E10" i="1"/>
  <c r="E31" i="1" l="1"/>
  <c r="E32" i="1" s="1"/>
  <c r="E41" i="1"/>
  <c r="F30" i="1"/>
  <c r="G41" i="1" s="1"/>
  <c r="F31" i="1"/>
  <c r="F32" i="1" s="1"/>
  <c r="F8" i="1"/>
  <c r="I15" i="1"/>
  <c r="H9" i="1"/>
  <c r="G4" i="1"/>
  <c r="F10" i="1"/>
  <c r="G31" i="1" l="1"/>
  <c r="G32" i="1" s="1"/>
  <c r="H4" i="1"/>
  <c r="G7" i="1" l="1"/>
  <c r="I4" i="1"/>
  <c r="I8" i="1" l="1"/>
  <c r="H7" i="1"/>
  <c r="I18" i="1" s="1"/>
  <c r="H18" i="1"/>
  <c r="G30" i="1"/>
  <c r="H31" i="1" s="1"/>
  <c r="G8" i="1"/>
  <c r="G10" i="1" s="1"/>
  <c r="B22" i="1" l="1"/>
  <c r="G11" i="2"/>
  <c r="B25" i="2" s="1"/>
  <c r="B28" i="2" s="1"/>
  <c r="H30" i="1"/>
  <c r="I30" i="1" s="1"/>
  <c r="H8" i="1"/>
  <c r="B36" i="1"/>
  <c r="B37" i="1" s="1"/>
  <c r="B39" i="1" s="1"/>
  <c r="I31" i="1" l="1"/>
  <c r="H10" i="1"/>
  <c r="H11" i="2" s="1"/>
  <c r="B23" i="1"/>
  <c r="B24" i="1" s="1"/>
  <c r="B25" i="1" s="1"/>
</calcChain>
</file>

<file path=xl/sharedStrings.xml><?xml version="1.0" encoding="utf-8"?>
<sst xmlns="http://schemas.openxmlformats.org/spreadsheetml/2006/main" count="68" uniqueCount="30">
  <si>
    <t>NOPAT</t>
  </si>
  <si>
    <t>Depreciation Expense</t>
  </si>
  <si>
    <t>Discount Factor</t>
  </si>
  <si>
    <t>PVFCFi</t>
  </si>
  <si>
    <t>FCFi</t>
  </si>
  <si>
    <t>g</t>
  </si>
  <si>
    <t>r</t>
  </si>
  <si>
    <t>EFP</t>
  </si>
  <si>
    <t>PH</t>
  </si>
  <si>
    <t>DCF Analysis</t>
  </si>
  <si>
    <t>PVFCF (EFP)</t>
  </si>
  <si>
    <t>CV (5)</t>
  </si>
  <si>
    <t>CV(0)</t>
  </si>
  <si>
    <t>EV(0)</t>
  </si>
  <si>
    <t>ANOPAT Analysis</t>
  </si>
  <si>
    <t>ANOPATi</t>
  </si>
  <si>
    <t>PVANOPAT (EFP)</t>
  </si>
  <si>
    <t>PV(ANOPATi)</t>
  </si>
  <si>
    <t>Operating Investment</t>
  </si>
  <si>
    <t xml:space="preserve">FCF6 </t>
  </si>
  <si>
    <t>(1+6%) FCF5</t>
  </si>
  <si>
    <t>&gt;&gt;</t>
  </si>
  <si>
    <t>RONIC (Desired)</t>
  </si>
  <si>
    <t>RONIC (Actual)</t>
  </si>
  <si>
    <t>RONIC (Planned)</t>
  </si>
  <si>
    <t>Change in IC</t>
  </si>
  <si>
    <t>Ici</t>
  </si>
  <si>
    <t>IC0</t>
  </si>
  <si>
    <t>ICi</t>
  </si>
  <si>
    <t>ROIC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</si>
</sst>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9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164" fontId="1" fillId="0" borderId="0" xfId="0" applyNumberFormat="1" applyFont="1"/>
    <xf numFmtId="165" fontId="0" fillId="0" borderId="0" xfId="0" applyNumberFormat="1"/>
    <xf numFmtId="10" fontId="0" fillId="0" borderId="0" xfId="0" applyNumberFormat="1"/>
    <xf numFmtId="0" fontId="1" fillId="0" borderId="0" xfId="0" applyFont="1" applyAlignment="1">
      <alignment horizontal="right"/>
    </xf>
    <xf numFmtId="0" fontId="2" fillId="0" borderId="0" xfId="0" applyFont="1"/>
    <xf numFmtId="164" fontId="2" fillId="0" borderId="0" xfId="0" applyNumberFormat="1" applyFont="1"/>
    <xf numFmtId="165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B1EE5-6585-234C-9001-A9BEF2780B02}">
  <dimension ref="A2:J41"/>
  <sheetViews>
    <sheetView topLeftCell="A9" zoomScale="129" zoomScaleNormal="129" workbookViewId="0">
      <selection activeCell="A39" sqref="A39"/>
    </sheetView>
  </sheetViews>
  <sheetFormatPr baseColWidth="10" defaultRowHeight="16" x14ac:dyDescent="0.2"/>
  <cols>
    <col min="1" max="1" width="19" bestFit="1" customWidth="1"/>
    <col min="2" max="2" width="19" customWidth="1"/>
  </cols>
  <sheetData>
    <row r="2" spans="1:10" x14ac:dyDescent="0.2">
      <c r="C2" s="9" t="s">
        <v>7</v>
      </c>
      <c r="D2" s="9" t="s">
        <v>7</v>
      </c>
      <c r="E2" s="9" t="s">
        <v>7</v>
      </c>
      <c r="F2" s="9" t="s">
        <v>7</v>
      </c>
      <c r="G2" s="9" t="s">
        <v>7</v>
      </c>
      <c r="H2" s="9" t="s">
        <v>8</v>
      </c>
    </row>
    <row r="3" spans="1:10" x14ac:dyDescent="0.2">
      <c r="C3" s="3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</row>
    <row r="4" spans="1:10" x14ac:dyDescent="0.2">
      <c r="A4" t="s">
        <v>0</v>
      </c>
      <c r="C4">
        <v>100</v>
      </c>
      <c r="D4">
        <f>C4*(1+$C13)</f>
        <v>109.00000000000001</v>
      </c>
      <c r="E4" s="4">
        <f t="shared" ref="E4:G4" si="0">D4*(1+$C13)</f>
        <v>118.81000000000003</v>
      </c>
      <c r="F4" s="4">
        <f t="shared" si="0"/>
        <v>129.50290000000004</v>
      </c>
      <c r="G4" s="4">
        <f t="shared" si="0"/>
        <v>141.15816100000006</v>
      </c>
      <c r="H4" s="4">
        <f>G4*(1+H13)</f>
        <v>149.62765066000009</v>
      </c>
      <c r="I4" s="4">
        <f>H4*(1+I13)</f>
        <v>158.6053096996001</v>
      </c>
    </row>
    <row r="5" spans="1:10" x14ac:dyDescent="0.2">
      <c r="A5" t="s">
        <v>1</v>
      </c>
      <c r="C5">
        <v>20</v>
      </c>
      <c r="D5">
        <v>21.8</v>
      </c>
      <c r="E5">
        <v>23.8</v>
      </c>
      <c r="F5">
        <v>25.9</v>
      </c>
      <c r="G5">
        <v>28.2</v>
      </c>
    </row>
    <row r="6" spans="1:10" x14ac:dyDescent="0.2">
      <c r="A6" t="s">
        <v>18</v>
      </c>
      <c r="C6">
        <v>76.3</v>
      </c>
      <c r="D6">
        <v>83.1</v>
      </c>
      <c r="E6">
        <v>90.6</v>
      </c>
      <c r="F6">
        <v>98.7</v>
      </c>
      <c r="G6">
        <v>107.6</v>
      </c>
    </row>
    <row r="7" spans="1:10" x14ac:dyDescent="0.2">
      <c r="A7" t="s">
        <v>25</v>
      </c>
      <c r="C7">
        <f>C6-C5</f>
        <v>56.3</v>
      </c>
      <c r="D7">
        <f t="shared" ref="D7:G7" si="1">D6-D5</f>
        <v>61.3</v>
      </c>
      <c r="E7">
        <f t="shared" si="1"/>
        <v>66.8</v>
      </c>
      <c r="F7">
        <f t="shared" si="1"/>
        <v>72.800000000000011</v>
      </c>
      <c r="G7" s="4">
        <f>(H4-G4)/H17</f>
        <v>70.579080500000188</v>
      </c>
      <c r="H7" s="4">
        <f>(I4-H4)/I17</f>
        <v>74.813825330000114</v>
      </c>
      <c r="I7" s="4">
        <f>I4*I13/I17</f>
        <v>79.302654849800049</v>
      </c>
    </row>
    <row r="8" spans="1:10" x14ac:dyDescent="0.2">
      <c r="A8" s="3" t="s">
        <v>4</v>
      </c>
      <c r="B8" s="3"/>
      <c r="C8" s="3">
        <f>C4-C7</f>
        <v>43.7</v>
      </c>
      <c r="D8" s="3">
        <f t="shared" ref="D8:G8" si="2">D4-D7</f>
        <v>47.700000000000017</v>
      </c>
      <c r="E8" s="6">
        <f t="shared" si="2"/>
        <v>52.010000000000034</v>
      </c>
      <c r="F8" s="6">
        <f t="shared" si="2"/>
        <v>56.702900000000028</v>
      </c>
      <c r="G8" s="6">
        <f t="shared" si="2"/>
        <v>70.579080499999876</v>
      </c>
      <c r="H8" s="6">
        <f>H4-H7</f>
        <v>74.813825329999972</v>
      </c>
      <c r="I8" s="4">
        <f>I4-I7</f>
        <v>79.302654849800049</v>
      </c>
    </row>
    <row r="9" spans="1:10" x14ac:dyDescent="0.2">
      <c r="A9" t="s">
        <v>2</v>
      </c>
      <c r="C9" s="5">
        <f>1/(1+C15)^C3</f>
        <v>0.89285714285714279</v>
      </c>
      <c r="D9" s="5">
        <f t="shared" ref="D9:G9" si="3">1/(1+D15)^D3</f>
        <v>0.79719387755102034</v>
      </c>
      <c r="E9" s="5">
        <f t="shared" si="3"/>
        <v>0.71178024781341087</v>
      </c>
      <c r="F9" s="5">
        <f t="shared" si="3"/>
        <v>0.63551807840483121</v>
      </c>
      <c r="G9" s="5">
        <f t="shared" si="3"/>
        <v>0.56742685571859919</v>
      </c>
      <c r="H9" s="5">
        <f t="shared" ref="H9" si="4">1/(1+H15)^H3</f>
        <v>0.50663112117732068</v>
      </c>
    </row>
    <row r="10" spans="1:10" x14ac:dyDescent="0.2">
      <c r="A10" t="s">
        <v>3</v>
      </c>
      <c r="C10" s="4">
        <f>C8*C9</f>
        <v>39.017857142857146</v>
      </c>
      <c r="D10" s="4">
        <f t="shared" ref="D10:H10" si="5">D8*D9</f>
        <v>38.026147959183682</v>
      </c>
      <c r="E10" s="4">
        <f t="shared" si="5"/>
        <v>37.019690688775526</v>
      </c>
      <c r="F10" s="4">
        <f t="shared" si="5"/>
        <v>36.03571804798132</v>
      </c>
      <c r="G10" s="4">
        <f t="shared" si="5"/>
        <v>40.04846572762483</v>
      </c>
      <c r="H10" s="4">
        <f t="shared" si="5"/>
        <v>37.903012206502119</v>
      </c>
    </row>
    <row r="12" spans="1:10" x14ac:dyDescent="0.2">
      <c r="A12" t="s">
        <v>27</v>
      </c>
      <c r="B12">
        <v>800</v>
      </c>
    </row>
    <row r="13" spans="1:10" x14ac:dyDescent="0.2">
      <c r="A13" t="s">
        <v>5</v>
      </c>
      <c r="C13" s="1">
        <v>0.09</v>
      </c>
      <c r="D13" s="1">
        <v>0.09</v>
      </c>
      <c r="E13" s="1">
        <v>0.09</v>
      </c>
      <c r="F13" s="1">
        <v>0.09</v>
      </c>
      <c r="G13" s="1">
        <v>0.09</v>
      </c>
      <c r="H13" s="1">
        <v>0.06</v>
      </c>
      <c r="I13" s="1">
        <v>0.06</v>
      </c>
    </row>
    <row r="15" spans="1:10" x14ac:dyDescent="0.2">
      <c r="A15" t="s">
        <v>6</v>
      </c>
      <c r="C15" s="1">
        <v>0.12</v>
      </c>
      <c r="D15" s="1">
        <f>C15</f>
        <v>0.12</v>
      </c>
      <c r="E15" s="1">
        <f t="shared" ref="E15:G15" si="6">D15</f>
        <v>0.12</v>
      </c>
      <c r="F15" s="1">
        <f t="shared" si="6"/>
        <v>0.12</v>
      </c>
      <c r="G15" s="1">
        <f t="shared" si="6"/>
        <v>0.12</v>
      </c>
      <c r="H15" s="1">
        <f>G15</f>
        <v>0.12</v>
      </c>
      <c r="I15" s="1">
        <f>H15</f>
        <v>0.12</v>
      </c>
      <c r="J15" s="1">
        <v>0.12</v>
      </c>
    </row>
    <row r="17" spans="1:9" x14ac:dyDescent="0.2">
      <c r="A17" t="s">
        <v>22</v>
      </c>
      <c r="D17" s="7">
        <f>(D4-C4)/(C6-C5)</f>
        <v>0.1598579040852578</v>
      </c>
      <c r="E17" s="7">
        <f t="shared" ref="E17:G17" si="7">(E4-D4)/(D6-D5)</f>
        <v>0.16003262642740648</v>
      </c>
      <c r="F17" s="7">
        <f t="shared" si="7"/>
        <v>0.16007335329341332</v>
      </c>
      <c r="G17" s="7">
        <f t="shared" si="7"/>
        <v>0.16009973901098931</v>
      </c>
      <c r="H17" s="7">
        <v>0.12</v>
      </c>
      <c r="I17" s="7">
        <v>0.12</v>
      </c>
    </row>
    <row r="18" spans="1:9" x14ac:dyDescent="0.2">
      <c r="A18" t="s">
        <v>23</v>
      </c>
      <c r="D18" s="7">
        <f>(D4-C4)/(C7)</f>
        <v>0.1598579040852578</v>
      </c>
      <c r="E18" s="7">
        <f t="shared" ref="E18:I18" si="8">(E4-D4)/(D7)</f>
        <v>0.16003262642740648</v>
      </c>
      <c r="F18" s="7">
        <f t="shared" si="8"/>
        <v>0.16007335329341332</v>
      </c>
      <c r="G18" s="7">
        <f t="shared" si="8"/>
        <v>0.16009973901098931</v>
      </c>
      <c r="H18" s="7">
        <f t="shared" si="8"/>
        <v>0.12</v>
      </c>
      <c r="I18" s="7">
        <f t="shared" si="8"/>
        <v>0.12</v>
      </c>
    </row>
    <row r="20" spans="1:9" x14ac:dyDescent="0.2">
      <c r="A20" s="3" t="s">
        <v>9</v>
      </c>
    </row>
    <row r="22" spans="1:9" x14ac:dyDescent="0.2">
      <c r="A22" t="s">
        <v>10</v>
      </c>
      <c r="B22" s="4">
        <f>C10+D10+E10+F10+G10</f>
        <v>190.14787956642249</v>
      </c>
    </row>
    <row r="23" spans="1:9" x14ac:dyDescent="0.2">
      <c r="A23" t="s">
        <v>11</v>
      </c>
      <c r="B23" s="4">
        <f>H8/(H15-H13)</f>
        <v>1246.8970888333329</v>
      </c>
    </row>
    <row r="24" spans="1:9" x14ac:dyDescent="0.2">
      <c r="A24" s="10" t="s">
        <v>12</v>
      </c>
      <c r="B24" s="11">
        <f>B23/(1+G15) ^5</f>
        <v>707.52289452137302</v>
      </c>
    </row>
    <row r="25" spans="1:9" x14ac:dyDescent="0.2">
      <c r="A25" s="3" t="s">
        <v>13</v>
      </c>
      <c r="B25" s="6">
        <f>B24+B22</f>
        <v>897.67077408779551</v>
      </c>
    </row>
    <row r="28" spans="1:9" x14ac:dyDescent="0.2">
      <c r="A28" s="3" t="s">
        <v>14</v>
      </c>
    </row>
    <row r="30" spans="1:9" x14ac:dyDescent="0.2">
      <c r="A30" t="s">
        <v>28</v>
      </c>
      <c r="B30">
        <f>B12</f>
        <v>800</v>
      </c>
      <c r="C30">
        <f>B30+C7</f>
        <v>856.3</v>
      </c>
      <c r="D30">
        <f>C30+D7</f>
        <v>917.59999999999991</v>
      </c>
      <c r="E30">
        <f t="shared" ref="E30:I30" si="9">D30+E7</f>
        <v>984.39999999999986</v>
      </c>
      <c r="F30">
        <f t="shared" si="9"/>
        <v>1057.1999999999998</v>
      </c>
      <c r="G30" s="4">
        <f t="shared" si="9"/>
        <v>1127.7790805</v>
      </c>
      <c r="H30" s="4">
        <f t="shared" si="9"/>
        <v>1202.5929058300001</v>
      </c>
      <c r="I30" s="4">
        <f t="shared" si="9"/>
        <v>1281.8955606798002</v>
      </c>
    </row>
    <row r="31" spans="1:9" x14ac:dyDescent="0.2">
      <c r="A31" t="s">
        <v>15</v>
      </c>
      <c r="C31">
        <f>C4-(C15*B30)</f>
        <v>4</v>
      </c>
      <c r="D31" s="4">
        <f t="shared" ref="D31:G31" si="10">D4-(D15*C30)</f>
        <v>6.2440000000000282</v>
      </c>
      <c r="E31" s="4">
        <f t="shared" si="10"/>
        <v>8.6980000000000501</v>
      </c>
      <c r="F31" s="4">
        <f t="shared" si="10"/>
        <v>11.374900000000054</v>
      </c>
      <c r="G31" s="4">
        <f t="shared" si="10"/>
        <v>14.294161000000088</v>
      </c>
      <c r="H31" s="4">
        <f>H4-(H15*G30)</f>
        <v>14.294161000000088</v>
      </c>
      <c r="I31" s="4">
        <f>I4-(I15*H30)</f>
        <v>14.294161000000088</v>
      </c>
    </row>
    <row r="32" spans="1:9" x14ac:dyDescent="0.2">
      <c r="A32" t="s">
        <v>17</v>
      </c>
      <c r="C32" s="4">
        <f>C31*C9</f>
        <v>3.5714285714285712</v>
      </c>
      <c r="D32" s="4">
        <f>D31*D9</f>
        <v>4.9776785714285934</v>
      </c>
      <c r="E32" s="4">
        <f>E31*E9</f>
        <v>6.191064595481083</v>
      </c>
      <c r="F32" s="4">
        <f>F31*F9</f>
        <v>7.2289545900471488</v>
      </c>
      <c r="G32" s="4">
        <f>G31*G9</f>
        <v>8.1108908313654773</v>
      </c>
    </row>
    <row r="35" spans="1:9" x14ac:dyDescent="0.2">
      <c r="A35" t="s">
        <v>16</v>
      </c>
      <c r="B35" s="4">
        <f>SUM(C32:G32)</f>
        <v>30.080017159750874</v>
      </c>
    </row>
    <row r="36" spans="1:9" x14ac:dyDescent="0.2">
      <c r="A36" t="s">
        <v>11</v>
      </c>
      <c r="B36" s="4">
        <f>H31/H15</f>
        <v>119.11800833333407</v>
      </c>
    </row>
    <row r="37" spans="1:9" x14ac:dyDescent="0.2">
      <c r="A37" s="10" t="s">
        <v>12</v>
      </c>
      <c r="B37" s="4">
        <f>B36/(1+H15)^5</f>
        <v>67.59075692804565</v>
      </c>
    </row>
    <row r="38" spans="1:9" x14ac:dyDescent="0.2">
      <c r="A38" t="s">
        <v>27</v>
      </c>
      <c r="B38" s="4">
        <f>B30</f>
        <v>800</v>
      </c>
    </row>
    <row r="39" spans="1:9" x14ac:dyDescent="0.2">
      <c r="A39" s="3" t="s">
        <v>13</v>
      </c>
      <c r="B39" s="6">
        <f>B38+B37+B35</f>
        <v>897.67077408779653</v>
      </c>
    </row>
    <row r="41" spans="1:9" x14ac:dyDescent="0.2">
      <c r="A41" s="10" t="s">
        <v>29</v>
      </c>
      <c r="C41" s="7">
        <f>C4/B30</f>
        <v>0.125</v>
      </c>
      <c r="D41" s="7">
        <f t="shared" ref="D41:I41" si="11">D4/C30</f>
        <v>0.12729183697302349</v>
      </c>
      <c r="E41" s="7">
        <f t="shared" si="11"/>
        <v>0.12947907585004365</v>
      </c>
      <c r="F41" s="7">
        <f t="shared" si="11"/>
        <v>0.13155516050386029</v>
      </c>
      <c r="G41" s="7">
        <f t="shared" si="11"/>
        <v>0.13352077279606517</v>
      </c>
      <c r="H41" s="7">
        <f t="shared" si="11"/>
        <v>0.13267461087650498</v>
      </c>
      <c r="I41" s="7">
        <f t="shared" si="11"/>
        <v>0.13188611784644996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BCA1E-E9DD-CE47-808D-A24C596887D0}">
  <dimension ref="A2:I50"/>
  <sheetViews>
    <sheetView tabSelected="1" topLeftCell="A9" zoomScale="171" zoomScaleNormal="171" workbookViewId="0">
      <selection activeCell="J9" sqref="J9"/>
    </sheetView>
  </sheetViews>
  <sheetFormatPr baseColWidth="10" defaultRowHeight="16" x14ac:dyDescent="0.2"/>
  <cols>
    <col min="1" max="1" width="19" bestFit="1" customWidth="1"/>
    <col min="4" max="4" width="11.6640625" bestFit="1" customWidth="1"/>
  </cols>
  <sheetData>
    <row r="2" spans="1:9" x14ac:dyDescent="0.2">
      <c r="C2" s="9" t="str">
        <f>Modified!C2</f>
        <v>EFP</v>
      </c>
      <c r="D2" s="9" t="str">
        <f>Modified!D2</f>
        <v>EFP</v>
      </c>
      <c r="E2" s="9" t="str">
        <f>Modified!E2</f>
        <v>EFP</v>
      </c>
      <c r="F2" s="9" t="str">
        <f>Modified!F2</f>
        <v>EFP</v>
      </c>
      <c r="G2" s="9" t="str">
        <f>Modified!G2</f>
        <v>EFP</v>
      </c>
      <c r="H2" s="9" t="str">
        <f>Modified!H2</f>
        <v>PH</v>
      </c>
      <c r="I2" s="9"/>
    </row>
    <row r="3" spans="1:9" x14ac:dyDescent="0.2">
      <c r="C3" s="3">
        <f>Modified!C3</f>
        <v>1</v>
      </c>
      <c r="D3" s="3">
        <f>Modified!D3</f>
        <v>2</v>
      </c>
      <c r="E3" s="3">
        <f>Modified!E3</f>
        <v>3</v>
      </c>
      <c r="F3" s="3">
        <f>Modified!F3</f>
        <v>4</v>
      </c>
      <c r="G3" s="3">
        <f>Modified!G3</f>
        <v>5</v>
      </c>
      <c r="H3" s="3">
        <f>Modified!H3</f>
        <v>6</v>
      </c>
      <c r="I3" s="3"/>
    </row>
    <row r="4" spans="1:9" x14ac:dyDescent="0.2">
      <c r="C4" s="3"/>
      <c r="D4" s="3"/>
      <c r="E4" s="3"/>
      <c r="F4" s="3"/>
      <c r="G4" s="3"/>
      <c r="H4" s="3"/>
    </row>
    <row r="5" spans="1:9" x14ac:dyDescent="0.2">
      <c r="A5" t="s">
        <v>0</v>
      </c>
      <c r="C5">
        <f>Modified!C4</f>
        <v>100</v>
      </c>
      <c r="D5">
        <f>Modified!D4</f>
        <v>109.00000000000001</v>
      </c>
      <c r="E5" s="4">
        <f>Modified!E4</f>
        <v>118.81000000000003</v>
      </c>
      <c r="F5" s="4">
        <f>Modified!F4</f>
        <v>129.50290000000004</v>
      </c>
      <c r="G5" s="4">
        <f>Modified!G4</f>
        <v>141.15816100000006</v>
      </c>
      <c r="H5" s="4">
        <f>Modified!H4</f>
        <v>149.62765066000009</v>
      </c>
    </row>
    <row r="6" spans="1:9" x14ac:dyDescent="0.2">
      <c r="A6" t="s">
        <v>1</v>
      </c>
      <c r="C6">
        <f>Modified!C5</f>
        <v>20</v>
      </c>
      <c r="D6">
        <f>Modified!D5</f>
        <v>21.8</v>
      </c>
      <c r="E6">
        <f>Modified!E5</f>
        <v>23.8</v>
      </c>
      <c r="F6">
        <f>Modified!F5</f>
        <v>25.9</v>
      </c>
      <c r="G6">
        <v>28.22</v>
      </c>
    </row>
    <row r="7" spans="1:9" x14ac:dyDescent="0.2">
      <c r="A7" t="s">
        <v>18</v>
      </c>
      <c r="C7">
        <f>Modified!C6</f>
        <v>76.3</v>
      </c>
      <c r="D7">
        <f>Modified!D6</f>
        <v>83.1</v>
      </c>
      <c r="E7">
        <f>Modified!E6</f>
        <v>90.6</v>
      </c>
      <c r="F7">
        <f>Modified!F6</f>
        <v>98.7</v>
      </c>
      <c r="G7">
        <f>Modified!G6</f>
        <v>107.6</v>
      </c>
    </row>
    <row r="8" spans="1:9" x14ac:dyDescent="0.2">
      <c r="A8" t="s">
        <v>25</v>
      </c>
      <c r="C8">
        <f>Modified!C7</f>
        <v>56.3</v>
      </c>
      <c r="D8">
        <f>Modified!D7</f>
        <v>61.3</v>
      </c>
      <c r="E8">
        <f>Modified!E7</f>
        <v>66.8</v>
      </c>
      <c r="F8">
        <f>Modified!F7</f>
        <v>72.800000000000011</v>
      </c>
      <c r="G8" s="4">
        <f>G7-G6</f>
        <v>79.38</v>
      </c>
      <c r="H8" s="4">
        <f>H5*H14/H50</f>
        <v>74.813825330000199</v>
      </c>
    </row>
    <row r="9" spans="1:9" x14ac:dyDescent="0.2">
      <c r="A9" s="3" t="s">
        <v>4</v>
      </c>
      <c r="B9" s="3"/>
      <c r="C9" s="3">
        <f>Modified!C8</f>
        <v>43.7</v>
      </c>
      <c r="D9" s="3">
        <f>Modified!D8</f>
        <v>47.700000000000017</v>
      </c>
      <c r="E9" s="6">
        <f>Modified!E8</f>
        <v>52.010000000000034</v>
      </c>
      <c r="F9" s="6">
        <f>Modified!F8</f>
        <v>56.702900000000028</v>
      </c>
      <c r="G9" s="6">
        <f>G5-G8</f>
        <v>61.778161000000068</v>
      </c>
      <c r="H9" s="6">
        <f>H5-H8</f>
        <v>74.813825329999887</v>
      </c>
    </row>
    <row r="10" spans="1:9" x14ac:dyDescent="0.2">
      <c r="A10" t="s">
        <v>2</v>
      </c>
      <c r="C10" s="5">
        <f>Modified!C9</f>
        <v>0.89285714285714279</v>
      </c>
      <c r="D10" s="5">
        <f>Modified!D9</f>
        <v>0.79719387755102034</v>
      </c>
      <c r="E10" s="5">
        <f>Modified!E9</f>
        <v>0.71178024781341087</v>
      </c>
      <c r="F10" s="5">
        <f>Modified!F9</f>
        <v>0.63551807840483121</v>
      </c>
      <c r="G10" s="5">
        <f>Modified!G9</f>
        <v>0.56742685571859919</v>
      </c>
      <c r="H10" s="5">
        <f>Modified!H9</f>
        <v>0.50663112117732068</v>
      </c>
    </row>
    <row r="11" spans="1:9" x14ac:dyDescent="0.2">
      <c r="A11" t="s">
        <v>3</v>
      </c>
      <c r="C11" s="4">
        <f>Modified!C10</f>
        <v>39.017857142857146</v>
      </c>
      <c r="D11" s="4">
        <f>Modified!D10</f>
        <v>38.026147959183682</v>
      </c>
      <c r="E11" s="4">
        <f>Modified!E10</f>
        <v>37.019690688775526</v>
      </c>
      <c r="F11" s="4">
        <f>Modified!F10</f>
        <v>36.03571804798132</v>
      </c>
      <c r="G11" s="4">
        <f>Modified!G10</f>
        <v>40.04846572762483</v>
      </c>
      <c r="H11" s="4">
        <f>Modified!H10</f>
        <v>37.903012206502119</v>
      </c>
    </row>
    <row r="13" spans="1:9" x14ac:dyDescent="0.2">
      <c r="A13" t="s">
        <v>27</v>
      </c>
      <c r="B13">
        <v>800</v>
      </c>
    </row>
    <row r="14" spans="1:9" x14ac:dyDescent="0.2">
      <c r="A14" t="s">
        <v>5</v>
      </c>
      <c r="D14" s="8">
        <f>(D5-C5)/C5</f>
        <v>9.0000000000000135E-2</v>
      </c>
      <c r="E14" s="8">
        <f t="shared" ref="E14:H14" si="0">(E5-D5)/D5</f>
        <v>9.0000000000000135E-2</v>
      </c>
      <c r="F14" s="8">
        <f t="shared" si="0"/>
        <v>9.0000000000000052E-2</v>
      </c>
      <c r="G14" s="8">
        <f t="shared" si="0"/>
        <v>9.0000000000000163E-2</v>
      </c>
      <c r="H14" s="8">
        <f t="shared" si="0"/>
        <v>6.000000000000013E-2</v>
      </c>
      <c r="I14" s="8"/>
    </row>
    <row r="16" spans="1:9" x14ac:dyDescent="0.2">
      <c r="A16" t="s">
        <v>6</v>
      </c>
      <c r="B16" s="1">
        <v>0.12</v>
      </c>
      <c r="C16" s="1">
        <v>0.12</v>
      </c>
      <c r="D16" s="1">
        <v>0.12</v>
      </c>
      <c r="E16" s="1">
        <v>0.12</v>
      </c>
      <c r="F16" s="1">
        <v>0.12</v>
      </c>
      <c r="G16" s="1">
        <v>0.12</v>
      </c>
      <c r="H16" s="1">
        <v>0.12</v>
      </c>
      <c r="I16" s="1"/>
    </row>
    <row r="19" spans="1:5" x14ac:dyDescent="0.2">
      <c r="A19" s="3" t="s">
        <v>19</v>
      </c>
      <c r="B19" s="6">
        <f>H9</f>
        <v>74.813825329999887</v>
      </c>
      <c r="C19" s="2" t="s">
        <v>21</v>
      </c>
      <c r="D19" s="9" t="s">
        <v>20</v>
      </c>
      <c r="E19" s="6">
        <f>(1+H14)*G9</f>
        <v>65.484850660000077</v>
      </c>
    </row>
    <row r="20" spans="1:5" x14ac:dyDescent="0.2">
      <c r="C20" s="10"/>
    </row>
    <row r="23" spans="1:5" x14ac:dyDescent="0.2">
      <c r="A23" s="3" t="s">
        <v>9</v>
      </c>
    </row>
    <row r="25" spans="1:5" x14ac:dyDescent="0.2">
      <c r="A25" t="s">
        <v>10</v>
      </c>
      <c r="B25" s="4">
        <f>C11+D11+E11+F11+G11</f>
        <v>190.14787956642249</v>
      </c>
    </row>
    <row r="26" spans="1:5" x14ac:dyDescent="0.2">
      <c r="A26" t="s">
        <v>11</v>
      </c>
      <c r="B26" s="4">
        <f>H9/(H16-H14)</f>
        <v>1246.8970888333342</v>
      </c>
    </row>
    <row r="27" spans="1:5" x14ac:dyDescent="0.2">
      <c r="A27" s="10" t="s">
        <v>12</v>
      </c>
      <c r="B27" s="6">
        <f>B26/(1+G16) ^5</f>
        <v>707.5228945213737</v>
      </c>
    </row>
    <row r="28" spans="1:5" x14ac:dyDescent="0.2">
      <c r="A28" s="3" t="s">
        <v>13</v>
      </c>
      <c r="B28" s="6">
        <f>B27+B25</f>
        <v>897.67077408779619</v>
      </c>
    </row>
    <row r="31" spans="1:5" x14ac:dyDescent="0.2">
      <c r="A31" s="3" t="s">
        <v>14</v>
      </c>
    </row>
    <row r="32" spans="1:5" x14ac:dyDescent="0.2">
      <c r="A32" s="3"/>
    </row>
    <row r="33" spans="1:8" x14ac:dyDescent="0.2">
      <c r="A33" s="3"/>
      <c r="C33" s="9" t="s">
        <v>7</v>
      </c>
      <c r="D33" s="9" t="s">
        <v>7</v>
      </c>
      <c r="E33" s="9" t="s">
        <v>7</v>
      </c>
      <c r="F33" s="9" t="s">
        <v>7</v>
      </c>
      <c r="G33" s="9" t="s">
        <v>7</v>
      </c>
      <c r="H33" s="9" t="s">
        <v>7</v>
      </c>
    </row>
    <row r="34" spans="1:8" x14ac:dyDescent="0.2">
      <c r="A34" s="3"/>
      <c r="C34" s="3">
        <v>1</v>
      </c>
      <c r="D34" s="3">
        <f>C34+1</f>
        <v>2</v>
      </c>
      <c r="E34" s="3">
        <f t="shared" ref="E34:H34" si="1">D34+1</f>
        <v>3</v>
      </c>
      <c r="F34" s="3">
        <f t="shared" si="1"/>
        <v>4</v>
      </c>
      <c r="G34" s="3">
        <f t="shared" si="1"/>
        <v>5</v>
      </c>
      <c r="H34" s="3">
        <f t="shared" si="1"/>
        <v>6</v>
      </c>
    </row>
    <row r="36" spans="1:8" x14ac:dyDescent="0.2">
      <c r="A36" t="s">
        <v>26</v>
      </c>
      <c r="B36">
        <f>B13</f>
        <v>800</v>
      </c>
      <c r="C36">
        <f>B36+C8</f>
        <v>856.3</v>
      </c>
      <c r="D36">
        <f>C36+D8</f>
        <v>917.59999999999991</v>
      </c>
      <c r="E36">
        <f>D36+E8</f>
        <v>984.39999999999986</v>
      </c>
      <c r="F36">
        <f>E36+F8</f>
        <v>1057.1999999999998</v>
      </c>
      <c r="G36" s="4">
        <f>F36+G8</f>
        <v>1136.58</v>
      </c>
    </row>
    <row r="37" spans="1:8" x14ac:dyDescent="0.2">
      <c r="A37" t="s">
        <v>15</v>
      </c>
      <c r="C37">
        <f>C5-(B16*B36)</f>
        <v>4</v>
      </c>
      <c r="D37" s="4">
        <f>D5-(C16*C36)</f>
        <v>6.2440000000000282</v>
      </c>
      <c r="E37" s="4">
        <f>E5-(D16*D36)</f>
        <v>8.6980000000000501</v>
      </c>
      <c r="F37" s="4">
        <f>F5-(E16*E36)</f>
        <v>11.374900000000054</v>
      </c>
      <c r="G37" s="4">
        <f>G5-(F16*F36)</f>
        <v>14.294161000000088</v>
      </c>
      <c r="H37" s="4">
        <f>H5-(G16*G36)</f>
        <v>13.238050660000113</v>
      </c>
    </row>
    <row r="38" spans="1:8" x14ac:dyDescent="0.2">
      <c r="A38" t="s">
        <v>17</v>
      </c>
      <c r="C38" s="4">
        <f>C37/(1+C16)^C3</f>
        <v>3.5714285714285712</v>
      </c>
      <c r="D38" s="4">
        <f>D37/(1+D16)^D3</f>
        <v>4.9776785714285934</v>
      </c>
      <c r="E38" s="4">
        <f>E37/(1+E16)^E3</f>
        <v>6.1910645954810839</v>
      </c>
      <c r="F38" s="4">
        <f>F37/(1+F16)^F3</f>
        <v>7.2289545900471479</v>
      </c>
      <c r="G38" s="4">
        <f>G37/(1+G16)^G3</f>
        <v>8.1108908313654773</v>
      </c>
    </row>
    <row r="41" spans="1:8" x14ac:dyDescent="0.2">
      <c r="A41" t="s">
        <v>16</v>
      </c>
      <c r="B41" s="4">
        <f>SUM(C38:G38)</f>
        <v>30.080017159750874</v>
      </c>
    </row>
    <row r="42" spans="1:8" x14ac:dyDescent="0.2">
      <c r="A42" t="s">
        <v>11</v>
      </c>
      <c r="B42" s="4">
        <f>H37/H16</f>
        <v>110.31708883333428</v>
      </c>
    </row>
    <row r="43" spans="1:8" x14ac:dyDescent="0.2">
      <c r="A43" s="10" t="s">
        <v>12</v>
      </c>
      <c r="B43" s="4">
        <f>B42/(1+B16)^5</f>
        <v>62.596878848728267</v>
      </c>
    </row>
    <row r="44" spans="1:8" x14ac:dyDescent="0.2">
      <c r="A44" t="s">
        <v>27</v>
      </c>
      <c r="B44" s="4">
        <f>B13</f>
        <v>800</v>
      </c>
    </row>
    <row r="45" spans="1:8" x14ac:dyDescent="0.2">
      <c r="A45" s="3" t="s">
        <v>13</v>
      </c>
      <c r="B45" s="6">
        <f>B41+B43+B44</f>
        <v>892.67689600847916</v>
      </c>
    </row>
    <row r="49" spans="1:9" x14ac:dyDescent="0.2">
      <c r="A49" t="s">
        <v>23</v>
      </c>
      <c r="D49" s="7">
        <f>((D5-C5)/((C8)))</f>
        <v>0.1598579040852578</v>
      </c>
      <c r="E49" s="7">
        <f>((E5-D5)/((D8)))</f>
        <v>0.16003262642740648</v>
      </c>
      <c r="F49" s="7">
        <f>((F5-E5)/((E8)))</f>
        <v>0.16007335329341332</v>
      </c>
      <c r="G49" s="7">
        <f>((G5-F5)/((F8)))</f>
        <v>0.16009973901098931</v>
      </c>
      <c r="H49" s="7">
        <f>((H5-G5)/((G8)))</f>
        <v>0.10669551095993982</v>
      </c>
      <c r="I49" s="7">
        <v>0.12</v>
      </c>
    </row>
    <row r="50" spans="1:9" x14ac:dyDescent="0.2">
      <c r="A50" t="s">
        <v>24</v>
      </c>
      <c r="D50" s="12">
        <v>0.16</v>
      </c>
      <c r="E50" s="12">
        <v>0.16</v>
      </c>
      <c r="F50" s="12">
        <v>0.16</v>
      </c>
      <c r="G50" s="12">
        <v>0.16</v>
      </c>
      <c r="H50" s="12">
        <v>0.12</v>
      </c>
      <c r="I50" s="12">
        <v>0.12</v>
      </c>
    </row>
  </sheetData>
  <sortState xmlns:xlrd2="http://schemas.microsoft.com/office/spreadsheetml/2017/richdata2" ref="A43:B45">
    <sortCondition sortBy="cellColor" ref="B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Modified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Frantz</dc:creator>
  <cp:lastModifiedBy>Pascal Frantz</cp:lastModifiedBy>
  <dcterms:created xsi:type="dcterms:W3CDTF">2026-03-20T17:13:30Z</dcterms:created>
  <dcterms:modified xsi:type="dcterms:W3CDTF">2026-03-23T06:13:02Z</dcterms:modified>
</cp:coreProperties>
</file>