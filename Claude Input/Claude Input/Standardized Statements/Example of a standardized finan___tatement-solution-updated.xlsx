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6E14876-CEC5-4A71-B43B-77F088ABB06E}" xr6:coauthVersionLast="47" xr6:coauthVersionMax="47" xr10:uidLastSave="{00000000-0000-0000-0000-000000000000}"/>
  <bookViews>
    <workbookView xWindow="-132" yWindow="-132" windowWidth="41544" windowHeight="16824" activeTab="1" xr2:uid="{00000000-000D-0000-FFFF-FFFF00000000}"/>
  </bookViews>
  <sheets>
    <sheet name="Income Statements" sheetId="1" r:id="rId1"/>
    <sheet name="Balance Sheets" sheetId="2" r:id="rId2"/>
    <sheet name="Cash Flow Statements" sheetId="3" r:id="rId3"/>
    <sheet name="Standardized Stateme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4" l="1"/>
  <c r="F2" i="4"/>
  <c r="E2" i="4"/>
  <c r="D2" i="4"/>
  <c r="C2" i="4"/>
  <c r="B2" i="4"/>
  <c r="G60" i="4"/>
  <c r="F60" i="4"/>
  <c r="E60" i="4"/>
  <c r="D60" i="4"/>
  <c r="C60" i="4"/>
  <c r="G50" i="4"/>
  <c r="F50" i="4"/>
  <c r="E50" i="4"/>
  <c r="D50" i="4"/>
  <c r="C50" i="4"/>
  <c r="G35" i="4"/>
  <c r="F35" i="4"/>
  <c r="E35" i="4"/>
  <c r="D35" i="4"/>
  <c r="C35" i="4"/>
  <c r="G20" i="4"/>
  <c r="F20" i="4"/>
  <c r="E20" i="4"/>
  <c r="D20" i="4"/>
  <c r="C20" i="4"/>
  <c r="G59" i="4" l="1"/>
  <c r="G65" i="4" s="1"/>
  <c r="F59" i="4"/>
  <c r="F65" i="4" s="1"/>
  <c r="E59" i="4"/>
  <c r="E65" i="4" s="1"/>
  <c r="D59" i="4"/>
  <c r="D65" i="4" s="1"/>
  <c r="C59" i="4"/>
  <c r="C65" i="4" s="1"/>
  <c r="B59" i="4"/>
  <c r="B65" i="4" s="1"/>
  <c r="B60" i="4"/>
  <c r="B50" i="4"/>
  <c r="H36" i="2" l="1"/>
  <c r="G36" i="2"/>
  <c r="F36" i="2"/>
  <c r="E36" i="2"/>
  <c r="D36" i="2"/>
  <c r="C36" i="2"/>
  <c r="H32" i="2"/>
  <c r="H38" i="2" s="1"/>
  <c r="G32" i="2"/>
  <c r="F32" i="2"/>
  <c r="E32" i="2"/>
  <c r="D32" i="2"/>
  <c r="C32" i="2"/>
  <c r="H26" i="2"/>
  <c r="G26" i="2"/>
  <c r="F26" i="2"/>
  <c r="F38" i="2" s="1"/>
  <c r="E26" i="2"/>
  <c r="D26" i="2"/>
  <c r="C23" i="2"/>
  <c r="C26" i="2" s="1"/>
  <c r="H19" i="2"/>
  <c r="G19" i="2"/>
  <c r="F19" i="2"/>
  <c r="E19" i="2"/>
  <c r="D19" i="2"/>
  <c r="C19" i="2"/>
  <c r="H8" i="2"/>
  <c r="G8" i="2"/>
  <c r="F8" i="2"/>
  <c r="E8" i="2"/>
  <c r="D8" i="2"/>
  <c r="C7" i="2"/>
  <c r="H14" i="1"/>
  <c r="G14" i="1"/>
  <c r="F14" i="1"/>
  <c r="E14" i="1"/>
  <c r="D14" i="1"/>
  <c r="C14" i="1"/>
  <c r="H10" i="1"/>
  <c r="G10" i="1"/>
  <c r="F10" i="1"/>
  <c r="E10" i="1"/>
  <c r="D10" i="1"/>
  <c r="C10" i="1"/>
  <c r="H3" i="1"/>
  <c r="G3" i="1"/>
  <c r="F3" i="1"/>
  <c r="E3" i="1"/>
  <c r="D3" i="1"/>
  <c r="C3" i="1"/>
  <c r="G38" i="2" l="1"/>
  <c r="E5" i="1"/>
  <c r="E11" i="1" s="1"/>
  <c r="E19" i="1" s="1"/>
  <c r="E22" i="1" s="1"/>
  <c r="C8" i="2"/>
  <c r="C21" i="2" s="1"/>
  <c r="C38" i="2"/>
  <c r="D5" i="1"/>
  <c r="D11" i="1" s="1"/>
  <c r="D19" i="1" s="1"/>
  <c r="D22" i="1" s="1"/>
  <c r="G5" i="1"/>
  <c r="G11" i="1" s="1"/>
  <c r="G19" i="1" s="1"/>
  <c r="G22" i="1" s="1"/>
  <c r="H5" i="1"/>
  <c r="H11" i="1" s="1"/>
  <c r="H19" i="1" s="1"/>
  <c r="H22" i="1" s="1"/>
  <c r="F5" i="1"/>
  <c r="F11" i="1" s="1"/>
  <c r="F19" i="1" s="1"/>
  <c r="F22" i="1" s="1"/>
  <c r="F21" i="2"/>
  <c r="D38" i="2"/>
  <c r="D21" i="2"/>
  <c r="E21" i="2"/>
  <c r="G21" i="2"/>
  <c r="E38" i="2"/>
  <c r="C5" i="1"/>
  <c r="C11" i="1" s="1"/>
  <c r="C19" i="1" s="1"/>
  <c r="C22" i="1" s="1"/>
  <c r="H21" i="2"/>
  <c r="B35" i="4" l="1"/>
  <c r="B2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tc={F80D6AD2-195F-4861-958D-19FDFB35F210}</author>
    <author>tc={CE75D8D6-E17C-45A0-A268-EEE684749A02}</author>
  </authors>
  <commentList>
    <comment ref="B2" authorId="0" shapeId="0" xr:uid="{F80D6AD2-195F-4861-958D-19FDFB35F21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calculated as adding all numbers in Column B of worksheet "Income Statement"</t>
      </text>
    </comment>
    <comment ref="I2" authorId="1" shapeId="0" xr:uid="{CE75D8D6-E17C-45A0-A268-EEE684749A0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cell is left blank, meaning that Standard Accounts could take any value, including missing value.</t>
      </text>
    </comment>
  </commentList>
</comments>
</file>

<file path=xl/sharedStrings.xml><?xml version="1.0" encoding="utf-8"?>
<sst xmlns="http://schemas.openxmlformats.org/spreadsheetml/2006/main" count="239" uniqueCount="144">
  <si>
    <t>Income Statement in EUR million (IFRS)</t>
  </si>
  <si>
    <t>Net sales</t>
  </si>
  <si>
    <t>Cost of merchandise</t>
  </si>
  <si>
    <t>Gross profit</t>
  </si>
  <si>
    <t>Personnel expenses</t>
  </si>
  <si>
    <t>Operating leases</t>
  </si>
  <si>
    <t>Amortization and depreciation</t>
  </si>
  <si>
    <t>Other operating expenses</t>
  </si>
  <si>
    <t>Operating profit (EBIT)</t>
  </si>
  <si>
    <t>Interest income</t>
  </si>
  <si>
    <t>Interest expense</t>
  </si>
  <si>
    <t>Foreign exchange gains/losses</t>
  </si>
  <si>
    <t>Dividends</t>
  </si>
  <si>
    <t>Changes in fair value of financial instruments</t>
  </si>
  <si>
    <t>Rental income on investment property</t>
  </si>
  <si>
    <t>Equity accounting losses</t>
  </si>
  <si>
    <t>Income before taxes</t>
  </si>
  <si>
    <t>Income tax</t>
  </si>
  <si>
    <t>Minority interest</t>
  </si>
  <si>
    <t>Net income</t>
  </si>
  <si>
    <t>Standard Accounts</t>
  </si>
  <si>
    <t>Balance Sheet in EUR million (IFRS)</t>
  </si>
  <si>
    <t>Cash and cash equivalents</t>
  </si>
  <si>
    <t>Trade and other receivables</t>
  </si>
  <si>
    <t>Inventories</t>
  </si>
  <si>
    <t>Income tax receivable</t>
  </si>
  <si>
    <t>Other current assets</t>
  </si>
  <si>
    <t>Total current assets</t>
  </si>
  <si>
    <t>Property, plant and equipment</t>
  </si>
  <si>
    <t>Investment property</t>
  </si>
  <si>
    <t>Rights over leased assets</t>
  </si>
  <si>
    <t>Other intangible assets</t>
  </si>
  <si>
    <t>Goodwill</t>
  </si>
  <si>
    <t>Financial investments</t>
  </si>
  <si>
    <t>Investments in associates</t>
  </si>
  <si>
    <t>Deferred tax assets</t>
  </si>
  <si>
    <t>Other</t>
  </si>
  <si>
    <t>Total non-current assets</t>
  </si>
  <si>
    <t>Total assets</t>
  </si>
  <si>
    <t>Trade and other payables</t>
  </si>
  <si>
    <t>Financial debt</t>
  </si>
  <si>
    <t>Income tax payable</t>
  </si>
  <si>
    <t>Current liabilities</t>
  </si>
  <si>
    <t>Deferred tax liabilities</t>
  </si>
  <si>
    <t>Provisions</t>
  </si>
  <si>
    <t>Other non-current liabilities</t>
  </si>
  <si>
    <t>Non-current liabilities</t>
  </si>
  <si>
    <t>Net equity attributable to the parent</t>
  </si>
  <si>
    <t>Net equity attributable to minority interest</t>
  </si>
  <si>
    <t>Total equity</t>
  </si>
  <si>
    <t>Total liabilities and shareholders' equity</t>
  </si>
  <si>
    <t>Cash flow statement in EUR million (IFRS)</t>
  </si>
  <si>
    <t>Operating activities</t>
  </si>
  <si>
    <t>Income before taxes and minority interest</t>
  </si>
  <si>
    <t>Adjustment for:</t>
  </si>
  <si>
    <t>Deferred tax assets and liabilities</t>
  </si>
  <si>
    <t>Foreign exchange translation differences</t>
  </si>
  <si>
    <t>Provision for impairment</t>
  </si>
  <si>
    <t>Other adjustments to income</t>
  </si>
  <si>
    <t>Change in inventories</t>
  </si>
  <si>
    <t>Change in receivables and other current assets</t>
  </si>
  <si>
    <t>Change in current payables</t>
  </si>
  <si>
    <t>Cash flows from operations</t>
  </si>
  <si>
    <t>Investments in intangible assets</t>
  </si>
  <si>
    <t>Investments in property, plant and equipment</t>
  </si>
  <si>
    <t>Acquisition of subsidiaries</t>
  </si>
  <si>
    <t>Acquisition of other financial investments</t>
  </si>
  <si>
    <t>Investments in other assets</t>
  </si>
  <si>
    <t>Fixed asset sales and retirements</t>
  </si>
  <si>
    <t>Disposals of entities</t>
  </si>
  <si>
    <t>Cash flows from investing activities</t>
  </si>
  <si>
    <t>Decrease/increase in non-current financial debt</t>
  </si>
  <si>
    <t>Decrease/increase in non-current non-financial debt</t>
  </si>
  <si>
    <t>Decrease/increase in current financial debt</t>
  </si>
  <si>
    <t>Other financing activities</t>
  </si>
  <si>
    <t>Cash flows used in financing activities</t>
  </si>
  <si>
    <t>Effect of exchange rate fluctuations on cash and cash equivalents</t>
  </si>
  <si>
    <t>Net (decrease) increase in cash and cash equivalents</t>
  </si>
  <si>
    <t>Cash and cash equivalents at opening date</t>
  </si>
  <si>
    <t>Cash and cash equivalents at closing date</t>
  </si>
  <si>
    <t>Cost of Sales (function)</t>
  </si>
  <si>
    <t>SG&amp;A (function)</t>
  </si>
  <si>
    <t>Other Operating Income, Net of Other Operating Expenses (function)</t>
  </si>
  <si>
    <t>Interest Expense</t>
  </si>
  <si>
    <t>Interest Income</t>
  </si>
  <si>
    <t>Investment Income</t>
  </si>
  <si>
    <t>Other Income, Net of Other Expense</t>
  </si>
  <si>
    <t>Tax Expense</t>
  </si>
  <si>
    <t>Personnel Expenses (nature)</t>
  </si>
  <si>
    <t>Cost of Materials (nature)</t>
  </si>
  <si>
    <t>Depreciation and Amortization (nature)</t>
  </si>
  <si>
    <t>Trade Receivables</t>
  </si>
  <si>
    <t>Other Current Assets</t>
  </si>
  <si>
    <t>Non-Current Tangible Assets</t>
  </si>
  <si>
    <t>Non-Current Intangible Assets</t>
  </si>
  <si>
    <t>Minority Equity Investments</t>
  </si>
  <si>
    <t>Other Non-Operating Investments</t>
  </si>
  <si>
    <t>Deferred Tax Assets</t>
  </si>
  <si>
    <t>Derivatives - Asset</t>
  </si>
  <si>
    <t>Assets Held For Sale</t>
  </si>
  <si>
    <t>Total Assets</t>
  </si>
  <si>
    <t>Current Debt</t>
  </si>
  <si>
    <t>Trade Payables</t>
  </si>
  <si>
    <t>Other Current Liabilities</t>
  </si>
  <si>
    <t>Non-Current Debt</t>
  </si>
  <si>
    <t>Deferred Tax Liabilities</t>
  </si>
  <si>
    <t>Derivatives - Liability</t>
  </si>
  <si>
    <t>Other Non-Current Liabilities (non interest bearing)</t>
  </si>
  <si>
    <t>Preference Shares</t>
  </si>
  <si>
    <t>Ordinary Shareholders' Equity</t>
  </si>
  <si>
    <t>Liabilities Held For Sale</t>
  </si>
  <si>
    <t>Total Liabilities and Shareholders' Equity</t>
  </si>
  <si>
    <t>Profit Before Interest and Tax</t>
  </si>
  <si>
    <t>Non-Operating Losses (Gains)</t>
  </si>
  <si>
    <t>Non-Current Operating Accruals</t>
  </si>
  <si>
    <t>Taxes Paid</t>
  </si>
  <si>
    <t>Interest Received</t>
  </si>
  <si>
    <t>Dividends received</t>
  </si>
  <si>
    <t>Net (Investments in) or Liquidation of Operating Working Capital</t>
  </si>
  <si>
    <t>Net (Investments in) or Liquidation of Operating or Investment Non-Current Assets</t>
  </si>
  <si>
    <t>Free Cash Flow</t>
  </si>
  <si>
    <t>Net Debt (Repayment) or Issuance</t>
  </si>
  <si>
    <t>Interest Paid</t>
  </si>
  <si>
    <t>Dividend (Payments)</t>
  </si>
  <si>
    <t>Net Share (Repurchase) or Issuance</t>
  </si>
  <si>
    <t>Net Cash Flow</t>
  </si>
  <si>
    <t>STANDARDIZED INCOME STATEMENT</t>
  </si>
  <si>
    <t>STANDARDIZED BALANCE SHEET - ASSETS</t>
  </si>
  <si>
    <t>STANDARDIZED BALANCE SHEET - EQUITY &amp; LIABILITIES</t>
  </si>
  <si>
    <t>STANDARDIZED CASH FLOW STATEMENT</t>
  </si>
  <si>
    <t>Revenue</t>
  </si>
  <si>
    <t>Profit/Loss to Ordinary Shareholders</t>
  </si>
  <si>
    <t>Profit/Loss to Non-Controlling Interest</t>
  </si>
  <si>
    <t>Cash and Cash Equivalents</t>
  </si>
  <si>
    <t>Non-Controlling Interest in Equity</t>
  </si>
  <si>
    <t>Profit/Loss of Discontinued Operations</t>
  </si>
  <si>
    <t>FY 2021</t>
  </si>
  <si>
    <t>FY 2020</t>
  </si>
  <si>
    <t>FY 2019</t>
  </si>
  <si>
    <t>FY 2018</t>
  </si>
  <si>
    <t>FY 2017</t>
  </si>
  <si>
    <t>FY 2016</t>
  </si>
  <si>
    <t>Notes:</t>
  </si>
  <si>
    <t>This could also be classified as Other Non-Current Liabilities (non interest bearing)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</si>
</sst>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#,##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justify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vertical="justify"/>
    </xf>
    <xf numFmtId="164" fontId="2" fillId="0" borderId="0" xfId="0" applyNumberFormat="1" applyFont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4" fillId="0" borderId="0" xfId="0" applyFont="1"/>
    <xf numFmtId="0" fontId="1" fillId="0" borderId="0" xfId="0" applyFont="1"/>
    <xf numFmtId="0" fontId="5" fillId="0" borderId="0" xfId="0" applyFont="1"/>
    <xf numFmtId="164" fontId="2" fillId="0" borderId="2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5" fillId="0" borderId="0" xfId="0" applyFont="1" applyAlignment="1">
      <alignment vertical="justify"/>
    </xf>
    <xf numFmtId="0" fontId="3" fillId="0" borderId="0" xfId="0" applyFont="1"/>
    <xf numFmtId="0" fontId="3" fillId="0" borderId="0" xfId="0" applyFont="1" applyAlignment="1">
      <alignment horizontal="left"/>
    </xf>
    <xf numFmtId="165" fontId="0" fillId="0" borderId="0" xfId="0" applyNumberFormat="1"/>
    <xf numFmtId="165" fontId="0" fillId="0" borderId="1" xfId="0" applyNumberFormat="1" applyBorder="1"/>
    <xf numFmtId="164" fontId="0" fillId="0" borderId="0" xfId="0" applyNumberFormat="1"/>
    <xf numFmtId="166" fontId="0" fillId="0" borderId="0" xfId="0" applyNumberFormat="1"/>
    <xf numFmtId="0" fontId="7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1-23T22:01:31.93" personId="{00000000-0000-0000-0000-000000000000}" id="{F80D6AD2-195F-4861-958D-19FDFB35F210}">
    <text>This is calculated as adding all numbers in Column B of worksheet "Income Statement"</text>
  </threadedComment>
  <threadedComment ref="I2" dT="2023-01-23T22:02:30.15" personId="{00000000-0000-0000-0000-000000000000}" id="{CE75D8D6-E17C-45A0-A268-EEE684749A02}">
    <text>The cell is left blank, meaning that Standard Accounts could take any value, including missing value.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A18" sqref="A18"/>
    </sheetView>
  </sheetViews>
  <sheetFormatPr defaultRowHeight="14.4" x14ac:dyDescent="0.3"/>
  <cols>
    <col min="1" max="1" width="44" customWidth="1"/>
    <col min="2" max="2" width="45.6640625" customWidth="1"/>
    <col min="3" max="7" width="10.6640625" bestFit="1" customWidth="1"/>
    <col min="8" max="8" width="10.109375" bestFit="1" customWidth="1"/>
  </cols>
  <sheetData>
    <row r="1" spans="1:8" x14ac:dyDescent="0.3">
      <c r="A1" s="8" t="s">
        <v>20</v>
      </c>
      <c r="B1" s="1" t="s">
        <v>0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141</v>
      </c>
    </row>
    <row r="2" spans="1:8" x14ac:dyDescent="0.3">
      <c r="B2" s="1"/>
      <c r="C2" s="2"/>
      <c r="D2" s="2"/>
      <c r="E2" s="2"/>
      <c r="F2" s="2"/>
      <c r="G2" s="2"/>
      <c r="H2" s="2"/>
    </row>
    <row r="3" spans="1:8" x14ac:dyDescent="0.3">
      <c r="A3" t="s">
        <v>130</v>
      </c>
      <c r="B3" s="3" t="s">
        <v>1</v>
      </c>
      <c r="C3" s="4">
        <f>13792.612-C17</f>
        <v>13792.611999999999</v>
      </c>
      <c r="D3" s="4">
        <f>12526.595-1.768</f>
        <v>12524.826999999999</v>
      </c>
      <c r="E3" s="4">
        <f>11083.514-2.7</f>
        <v>11080.813999999998</v>
      </c>
      <c r="F3" s="4">
        <f>10406.96-2.738</f>
        <v>10404.222</v>
      </c>
      <c r="G3" s="4">
        <f>9434.67-1.678</f>
        <v>9432.9920000000002</v>
      </c>
      <c r="H3" s="4">
        <f>8196.265-1.747</f>
        <v>8194.518</v>
      </c>
    </row>
    <row r="4" spans="1:8" x14ac:dyDescent="0.3">
      <c r="A4" t="s">
        <v>89</v>
      </c>
      <c r="B4" s="3" t="s">
        <v>2</v>
      </c>
      <c r="C4" s="7">
        <v>-5612.2160000000003</v>
      </c>
      <c r="D4" s="7">
        <v>-5104.5730000000003</v>
      </c>
      <c r="E4" s="7">
        <v>-4755.5050000000001</v>
      </c>
      <c r="F4" s="7">
        <v>-4492.72</v>
      </c>
      <c r="G4" s="7">
        <v>-4085.9589999999998</v>
      </c>
      <c r="H4" s="7">
        <v>-3589.2759999999998</v>
      </c>
    </row>
    <row r="5" spans="1:8" x14ac:dyDescent="0.3">
      <c r="B5" s="5" t="s">
        <v>3</v>
      </c>
      <c r="C5" s="6">
        <f t="shared" ref="C5:H5" si="0">SUM(C3:C4)</f>
        <v>8180.3959999999988</v>
      </c>
      <c r="D5" s="6">
        <f t="shared" si="0"/>
        <v>7420.253999999999</v>
      </c>
      <c r="E5" s="6">
        <f t="shared" si="0"/>
        <v>6325.3089999999984</v>
      </c>
      <c r="F5" s="6">
        <f t="shared" si="0"/>
        <v>5911.5019999999995</v>
      </c>
      <c r="G5" s="6">
        <f t="shared" si="0"/>
        <v>5347.0330000000004</v>
      </c>
      <c r="H5" s="6">
        <f t="shared" si="0"/>
        <v>4605.2420000000002</v>
      </c>
    </row>
    <row r="6" spans="1:8" x14ac:dyDescent="0.3">
      <c r="B6" s="3"/>
      <c r="C6" s="4"/>
      <c r="D6" s="4"/>
      <c r="E6" s="4"/>
      <c r="F6" s="4"/>
      <c r="G6" s="4"/>
      <c r="H6" s="4"/>
    </row>
    <row r="7" spans="1:8" x14ac:dyDescent="0.3">
      <c r="A7" t="s">
        <v>88</v>
      </c>
      <c r="B7" s="3" t="s">
        <v>4</v>
      </c>
      <c r="C7" s="4">
        <v>-2234.1779999999999</v>
      </c>
      <c r="D7" s="4">
        <v>-2009.4290000000001</v>
      </c>
      <c r="E7" s="4">
        <v>-1791.6320000000001</v>
      </c>
      <c r="F7" s="4">
        <v>-1703.1880000000001</v>
      </c>
      <c r="G7" s="4">
        <v>-1472.9</v>
      </c>
      <c r="H7" s="4">
        <v>-1250.845</v>
      </c>
    </row>
    <row r="8" spans="1:8" x14ac:dyDescent="0.3">
      <c r="A8" t="s">
        <v>82</v>
      </c>
      <c r="B8" s="3" t="s">
        <v>5</v>
      </c>
      <c r="C8" s="4">
        <v>-1398.732</v>
      </c>
      <c r="D8" s="4">
        <v>-1272.076</v>
      </c>
      <c r="E8" s="4">
        <v>-1134.0319999999999</v>
      </c>
      <c r="F8" s="4">
        <v>-1028.377</v>
      </c>
      <c r="G8" s="4">
        <v>-855.37800000000004</v>
      </c>
      <c r="H8" s="4">
        <v>-717.91499999999996</v>
      </c>
    </row>
    <row r="9" spans="1:8" x14ac:dyDescent="0.3">
      <c r="A9" t="s">
        <v>90</v>
      </c>
      <c r="B9" s="3" t="s">
        <v>6</v>
      </c>
      <c r="C9" s="4">
        <v>-735.66600000000005</v>
      </c>
      <c r="D9" s="4">
        <v>-675.73800000000006</v>
      </c>
      <c r="E9" s="4">
        <v>-645.80100000000004</v>
      </c>
      <c r="F9" s="4">
        <v>-578.32000000000005</v>
      </c>
      <c r="G9" s="4">
        <v>-496.66300000000001</v>
      </c>
      <c r="H9" s="4">
        <v>-433.42700000000002</v>
      </c>
    </row>
    <row r="10" spans="1:8" x14ac:dyDescent="0.3">
      <c r="A10" t="s">
        <v>82</v>
      </c>
      <c r="B10" s="3" t="s">
        <v>7</v>
      </c>
      <c r="C10" s="7">
        <f>-1286.418-3.396</f>
        <v>-1289.8139999999999</v>
      </c>
      <c r="D10" s="7">
        <f>-3.604-1170.706</f>
        <v>-1174.31</v>
      </c>
      <c r="E10" s="7">
        <f>-1.118-1027.038</f>
        <v>-1028.1559999999999</v>
      </c>
      <c r="F10" s="7">
        <f>-976.322-19.497</f>
        <v>-995.81899999999996</v>
      </c>
      <c r="G10" s="7">
        <f>-898.091+26.501</f>
        <v>-871.59</v>
      </c>
      <c r="H10" s="7">
        <f>-831.483-17.06</f>
        <v>-848.54299999999989</v>
      </c>
    </row>
    <row r="11" spans="1:8" x14ac:dyDescent="0.3">
      <c r="B11" s="5" t="s">
        <v>8</v>
      </c>
      <c r="C11" s="6">
        <f t="shared" ref="C11:H11" si="1">SUM(C5:C10)</f>
        <v>2522.0059999999989</v>
      </c>
      <c r="D11" s="6">
        <f t="shared" si="1"/>
        <v>2288.7009999999987</v>
      </c>
      <c r="E11" s="6">
        <f t="shared" si="1"/>
        <v>1725.6879999999978</v>
      </c>
      <c r="F11" s="6">
        <f t="shared" si="1"/>
        <v>1605.7979999999993</v>
      </c>
      <c r="G11" s="6">
        <f t="shared" si="1"/>
        <v>1650.502</v>
      </c>
      <c r="H11" s="6">
        <f t="shared" si="1"/>
        <v>1354.5119999999999</v>
      </c>
    </row>
    <row r="12" spans="1:8" x14ac:dyDescent="0.3">
      <c r="A12" t="s">
        <v>84</v>
      </c>
      <c r="B12" s="3" t="s">
        <v>9</v>
      </c>
      <c r="C12" s="4">
        <v>30.236999999999998</v>
      </c>
      <c r="D12" s="4">
        <v>21.026</v>
      </c>
      <c r="E12" s="4">
        <v>8.3680000000000003</v>
      </c>
      <c r="F12" s="4">
        <v>26.067</v>
      </c>
      <c r="G12" s="4">
        <v>20.603000000000002</v>
      </c>
      <c r="H12" s="4">
        <v>16.425000000000001</v>
      </c>
    </row>
    <row r="13" spans="1:8" x14ac:dyDescent="0.3">
      <c r="A13" t="s">
        <v>83</v>
      </c>
      <c r="B13" s="3" t="s">
        <v>10</v>
      </c>
      <c r="C13" s="4">
        <v>-3.6720000000000002</v>
      </c>
      <c r="D13" s="4">
        <v>-3.5609999999999999</v>
      </c>
      <c r="E13" s="4">
        <v>-9.4280000000000008</v>
      </c>
      <c r="F13" s="4">
        <v>-9.3719999999999999</v>
      </c>
      <c r="G13" s="4">
        <v>-4.6589999999999998</v>
      </c>
      <c r="H13" s="4">
        <v>-10.993</v>
      </c>
    </row>
    <row r="14" spans="1:8" x14ac:dyDescent="0.3">
      <c r="A14" t="s">
        <v>86</v>
      </c>
      <c r="B14" s="3" t="s">
        <v>11</v>
      </c>
      <c r="C14" s="4">
        <f>24.315-3.835</f>
        <v>20.48</v>
      </c>
      <c r="D14" s="4">
        <f>21.909-8.489</f>
        <v>13.419999999999998</v>
      </c>
      <c r="E14" s="4">
        <f>37.172-32.641</f>
        <v>4.5309999999999988</v>
      </c>
      <c r="F14" s="4">
        <f>20.075-58.546</f>
        <v>-38.471000000000004</v>
      </c>
      <c r="G14" s="4">
        <f>15.28-28.836</f>
        <v>-13.555999999999999</v>
      </c>
      <c r="H14" s="4">
        <f>3.515-21.067</f>
        <v>-17.552</v>
      </c>
    </row>
    <row r="15" spans="1:8" x14ac:dyDescent="0.3">
      <c r="A15" t="s">
        <v>85</v>
      </c>
      <c r="B15" s="3" t="s">
        <v>12</v>
      </c>
      <c r="C15" s="4">
        <v>0.14699999999999999</v>
      </c>
      <c r="D15" s="4">
        <v>0.23100000000000001</v>
      </c>
      <c r="E15" s="4">
        <v>0.311</v>
      </c>
      <c r="F15" s="4">
        <v>0.17699999999999999</v>
      </c>
      <c r="G15" s="4">
        <v>0.14399999999999999</v>
      </c>
      <c r="H15" s="4">
        <v>0.223</v>
      </c>
    </row>
    <row r="16" spans="1:8" x14ac:dyDescent="0.3">
      <c r="A16" t="s">
        <v>86</v>
      </c>
      <c r="B16" s="3" t="s">
        <v>13</v>
      </c>
      <c r="C16" s="4">
        <v>0</v>
      </c>
      <c r="D16" s="4">
        <v>0</v>
      </c>
      <c r="E16" s="4">
        <v>0</v>
      </c>
      <c r="F16" s="4">
        <v>0</v>
      </c>
      <c r="G16" s="4">
        <v>-1.5680000000000001</v>
      </c>
      <c r="H16" s="4">
        <v>-2.137</v>
      </c>
    </row>
    <row r="17" spans="1:8" x14ac:dyDescent="0.3">
      <c r="A17" t="s">
        <v>85</v>
      </c>
      <c r="B17" s="3" t="s">
        <v>14</v>
      </c>
      <c r="C17" s="4">
        <v>0</v>
      </c>
      <c r="D17" s="4">
        <v>1.768</v>
      </c>
      <c r="E17" s="4">
        <v>2.7</v>
      </c>
      <c r="F17" s="4">
        <v>2.738</v>
      </c>
      <c r="G17" s="4">
        <v>1.6779999999999999</v>
      </c>
      <c r="H17" s="4">
        <v>1.7470000000000001</v>
      </c>
    </row>
    <row r="18" spans="1:8" x14ac:dyDescent="0.3">
      <c r="A18" t="s">
        <v>85</v>
      </c>
      <c r="B18" s="3" t="s">
        <v>15</v>
      </c>
      <c r="C18" s="7">
        <v>-10.186</v>
      </c>
      <c r="D18" s="7">
        <v>0</v>
      </c>
      <c r="E18" s="7">
        <v>0</v>
      </c>
      <c r="F18" s="7">
        <v>0</v>
      </c>
      <c r="G18" s="7">
        <v>-7.508</v>
      </c>
      <c r="H18" s="7">
        <v>-2.786</v>
      </c>
    </row>
    <row r="19" spans="1:8" x14ac:dyDescent="0.3">
      <c r="B19" s="5" t="s">
        <v>16</v>
      </c>
      <c r="C19" s="6">
        <f t="shared" ref="C19:H19" si="2">SUM(C11:C18)</f>
        <v>2559.0119999999988</v>
      </c>
      <c r="D19" s="6">
        <f t="shared" si="2"/>
        <v>2321.5849999999987</v>
      </c>
      <c r="E19" s="6">
        <f t="shared" si="2"/>
        <v>1732.1699999999976</v>
      </c>
      <c r="F19" s="6">
        <f t="shared" si="2"/>
        <v>1586.9369999999992</v>
      </c>
      <c r="G19" s="6">
        <f t="shared" si="2"/>
        <v>1645.636</v>
      </c>
      <c r="H19" s="6">
        <f t="shared" si="2"/>
        <v>1339.4390000000001</v>
      </c>
    </row>
    <row r="20" spans="1:8" x14ac:dyDescent="0.3">
      <c r="A20" t="s">
        <v>87</v>
      </c>
      <c r="B20" s="3" t="s">
        <v>17</v>
      </c>
      <c r="C20" s="4">
        <v>-613.48</v>
      </c>
      <c r="D20" s="4">
        <v>-580.30499999999995</v>
      </c>
      <c r="E20" s="4">
        <v>-410.03300000000002</v>
      </c>
      <c r="F20" s="4">
        <v>-325.322</v>
      </c>
      <c r="G20" s="4">
        <v>-387.87200000000001</v>
      </c>
      <c r="H20" s="4">
        <v>-329.50200000000001</v>
      </c>
    </row>
    <row r="21" spans="1:8" x14ac:dyDescent="0.3">
      <c r="A21" t="s">
        <v>132</v>
      </c>
      <c r="B21" s="3" t="s">
        <v>18</v>
      </c>
      <c r="C21" s="7">
        <v>-13.244</v>
      </c>
      <c r="D21" s="7">
        <v>-9.4510000000000005</v>
      </c>
      <c r="E21" s="7">
        <v>-7.7830000000000004</v>
      </c>
      <c r="F21" s="7">
        <v>-8.1639999999999997</v>
      </c>
      <c r="G21" s="7">
        <v>-7.4950000000000001</v>
      </c>
      <c r="H21" s="7">
        <v>-8.3960000000000008</v>
      </c>
    </row>
    <row r="22" spans="1:8" x14ac:dyDescent="0.3">
      <c r="A22" t="s">
        <v>131</v>
      </c>
      <c r="B22" s="5" t="s">
        <v>19</v>
      </c>
      <c r="C22" s="6">
        <f t="shared" ref="C22:H22" si="3">SUM(C19:C21)</f>
        <v>1932.2879999999989</v>
      </c>
      <c r="D22" s="6">
        <f t="shared" si="3"/>
        <v>1731.8289999999988</v>
      </c>
      <c r="E22" s="6">
        <f t="shared" si="3"/>
        <v>1314.3539999999975</v>
      </c>
      <c r="F22" s="6">
        <f t="shared" si="3"/>
        <v>1253.4509999999993</v>
      </c>
      <c r="G22" s="6">
        <f t="shared" si="3"/>
        <v>1250.269</v>
      </c>
      <c r="H22" s="6">
        <f t="shared" si="3"/>
        <v>1001.5410000000002</v>
      </c>
    </row>
    <row r="23" spans="1:8" x14ac:dyDescent="0.3">
      <c r="C23" s="18"/>
    </row>
    <row r="24" spans="1:8" x14ac:dyDescent="0.3">
      <c r="C24" s="19"/>
      <c r="D24" s="19"/>
      <c r="E24" s="19"/>
      <c r="F24" s="19"/>
      <c r="G24" s="19"/>
      <c r="H24" s="19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'Standardized Statements'!$A$3:$A$17</xm:f>
          </x14:formula1>
          <xm:sqref>A3:A22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tabSelected="1" workbookViewId="0">
      <selection activeCell="I1" sqref="I1:I1048576"/>
    </sheetView>
  </sheetViews>
  <sheetFormatPr defaultRowHeight="14.4" x14ac:dyDescent="0.3"/>
  <cols>
    <col min="1" max="1" width="44" customWidth="1"/>
    <col min="2" max="2" width="45.6640625" customWidth="1"/>
    <col min="3" max="7" width="10.6640625" bestFit="1" customWidth="1"/>
    <col min="8" max="8" width="10.109375" bestFit="1" customWidth="1"/>
    <col min="9" max="9" width="8.88671875" style="21"/>
  </cols>
  <sheetData>
    <row r="1" spans="1:9" x14ac:dyDescent="0.3">
      <c r="A1" s="8" t="s">
        <v>20</v>
      </c>
      <c r="B1" s="1" t="s">
        <v>21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141</v>
      </c>
      <c r="I1" s="20" t="s">
        <v>142</v>
      </c>
    </row>
    <row r="2" spans="1:9" x14ac:dyDescent="0.3">
      <c r="B2" s="10"/>
      <c r="C2" s="2"/>
      <c r="D2" s="2"/>
      <c r="E2" s="2"/>
      <c r="F2" s="2"/>
      <c r="G2" s="2"/>
      <c r="H2" s="2"/>
    </row>
    <row r="3" spans="1:9" x14ac:dyDescent="0.3">
      <c r="A3" t="s">
        <v>133</v>
      </c>
      <c r="B3" s="3" t="s">
        <v>22</v>
      </c>
      <c r="C3" s="4">
        <v>3466.752</v>
      </c>
      <c r="D3" s="4">
        <v>3433.4520000000002</v>
      </c>
      <c r="E3" s="4">
        <v>2420.11</v>
      </c>
      <c r="F3" s="4">
        <v>1466.2909999999999</v>
      </c>
      <c r="G3" s="4">
        <v>1465.835</v>
      </c>
      <c r="H3" s="4">
        <v>906.14800000000002</v>
      </c>
    </row>
    <row r="4" spans="1:9" x14ac:dyDescent="0.3">
      <c r="A4" t="s">
        <v>91</v>
      </c>
      <c r="B4" s="3" t="s">
        <v>23</v>
      </c>
      <c r="C4" s="4">
        <v>531.048</v>
      </c>
      <c r="D4" s="4">
        <v>481.84399999999999</v>
      </c>
      <c r="E4" s="4">
        <v>421.78100000000001</v>
      </c>
      <c r="F4" s="4">
        <v>585.31100000000004</v>
      </c>
      <c r="G4" s="4">
        <v>463.71600000000001</v>
      </c>
      <c r="H4" s="4">
        <v>363.63499999999999</v>
      </c>
    </row>
    <row r="5" spans="1:9" x14ac:dyDescent="0.3">
      <c r="A5" t="s">
        <v>24</v>
      </c>
      <c r="B5" s="3" t="s">
        <v>24</v>
      </c>
      <c r="C5" s="4">
        <v>1277.009</v>
      </c>
      <c r="D5" s="4">
        <v>1214.623</v>
      </c>
      <c r="E5" s="4">
        <v>992.57</v>
      </c>
      <c r="F5" s="4">
        <v>1054.8399999999999</v>
      </c>
      <c r="G5" s="4">
        <v>1007.213</v>
      </c>
      <c r="H5" s="4">
        <v>823.90300000000002</v>
      </c>
    </row>
    <row r="6" spans="1:9" x14ac:dyDescent="0.3">
      <c r="A6" t="s">
        <v>92</v>
      </c>
      <c r="B6" s="3" t="s">
        <v>25</v>
      </c>
      <c r="C6" s="4">
        <v>17.234999999999999</v>
      </c>
      <c r="D6" s="4">
        <v>16.957999999999998</v>
      </c>
      <c r="E6" s="4">
        <v>15.663</v>
      </c>
      <c r="F6" s="4">
        <v>15.342000000000001</v>
      </c>
      <c r="G6" s="4">
        <v>1.7190000000000001</v>
      </c>
      <c r="H6" s="4">
        <v>20.87</v>
      </c>
    </row>
    <row r="7" spans="1:9" x14ac:dyDescent="0.3">
      <c r="A7" t="s">
        <v>92</v>
      </c>
      <c r="B7" s="3" t="s">
        <v>26</v>
      </c>
      <c r="C7" s="7">
        <f>94.561+50.684</f>
        <v>145.245</v>
      </c>
      <c r="D7" s="7">
        <v>55.634999999999998</v>
      </c>
      <c r="E7" s="7">
        <v>93.671000000000006</v>
      </c>
      <c r="F7" s="7">
        <v>142.25700000000001</v>
      </c>
      <c r="G7" s="7">
        <v>43.112000000000002</v>
      </c>
      <c r="H7" s="7">
        <v>33.776000000000003</v>
      </c>
    </row>
    <row r="8" spans="1:9" x14ac:dyDescent="0.3">
      <c r="B8" s="5" t="s">
        <v>27</v>
      </c>
      <c r="C8" s="6">
        <f t="shared" ref="C8:H8" si="0">SUM(C3:C7)</f>
        <v>5437.2889999999998</v>
      </c>
      <c r="D8" s="6">
        <f t="shared" si="0"/>
        <v>5202.5119999999997</v>
      </c>
      <c r="E8" s="6">
        <f t="shared" si="0"/>
        <v>3943.7950000000001</v>
      </c>
      <c r="F8" s="6">
        <f t="shared" si="0"/>
        <v>3264.0410000000002</v>
      </c>
      <c r="G8" s="6">
        <f t="shared" si="0"/>
        <v>2981.5950000000003</v>
      </c>
      <c r="H8" s="6">
        <f t="shared" si="0"/>
        <v>2148.3319999999994</v>
      </c>
    </row>
    <row r="9" spans="1:9" x14ac:dyDescent="0.3">
      <c r="B9" s="3"/>
      <c r="C9" s="4"/>
      <c r="D9" s="4"/>
      <c r="E9" s="4"/>
      <c r="F9" s="4"/>
      <c r="G9" s="4"/>
      <c r="H9" s="4"/>
    </row>
    <row r="10" spans="1:9" x14ac:dyDescent="0.3">
      <c r="A10" t="s">
        <v>93</v>
      </c>
      <c r="B10" s="3" t="s">
        <v>28</v>
      </c>
      <c r="C10" s="4">
        <v>4063.0659999999998</v>
      </c>
      <c r="D10" s="4">
        <v>3397.0830000000001</v>
      </c>
      <c r="E10" s="4">
        <v>3293.5349999999999</v>
      </c>
      <c r="F10" s="4">
        <v>3442.3209999999999</v>
      </c>
      <c r="G10" s="4">
        <v>3182.1120000000001</v>
      </c>
      <c r="H10" s="4">
        <v>2788.8159999999998</v>
      </c>
    </row>
    <row r="11" spans="1:9" x14ac:dyDescent="0.3">
      <c r="A11" t="s">
        <v>96</v>
      </c>
      <c r="B11" s="3" t="s">
        <v>29</v>
      </c>
      <c r="C11" s="4">
        <v>19.806999999999999</v>
      </c>
      <c r="D11" s="4">
        <v>17.353999999999999</v>
      </c>
      <c r="E11" s="4">
        <v>13.273</v>
      </c>
      <c r="F11" s="4">
        <v>8.4550000000000001</v>
      </c>
      <c r="G11" s="4">
        <v>9.4749999999999996</v>
      </c>
      <c r="H11" s="4">
        <v>11.851000000000001</v>
      </c>
    </row>
    <row r="12" spans="1:9" x14ac:dyDescent="0.3">
      <c r="A12" t="s">
        <v>94</v>
      </c>
      <c r="B12" s="3" t="s">
        <v>30</v>
      </c>
      <c r="C12" s="4">
        <v>499.96</v>
      </c>
      <c r="D12" s="4">
        <v>526.30600000000004</v>
      </c>
      <c r="E12" s="4">
        <v>514.15899999999999</v>
      </c>
      <c r="F12" s="4">
        <v>531.46799999999996</v>
      </c>
      <c r="G12" s="4">
        <v>504.60399999999998</v>
      </c>
      <c r="H12" s="4">
        <v>454.19600000000003</v>
      </c>
    </row>
    <row r="13" spans="1:9" x14ac:dyDescent="0.3">
      <c r="A13" t="s">
        <v>94</v>
      </c>
      <c r="B13" s="3" t="s">
        <v>31</v>
      </c>
      <c r="C13" s="4">
        <v>114.148</v>
      </c>
      <c r="D13" s="4">
        <v>29.443999999999999</v>
      </c>
      <c r="E13" s="4">
        <v>19.117999999999999</v>
      </c>
      <c r="F13" s="4">
        <v>16.475999999999999</v>
      </c>
      <c r="G13" s="4">
        <v>13.343999999999999</v>
      </c>
      <c r="H13" s="4">
        <v>15.22</v>
      </c>
    </row>
    <row r="14" spans="1:9" x14ac:dyDescent="0.3">
      <c r="A14" t="s">
        <v>94</v>
      </c>
      <c r="B14" s="3" t="s">
        <v>32</v>
      </c>
      <c r="C14" s="4">
        <v>218.09399999999999</v>
      </c>
      <c r="D14" s="4">
        <v>131.685</v>
      </c>
      <c r="E14" s="4">
        <v>131.685</v>
      </c>
      <c r="F14" s="4">
        <v>131.685</v>
      </c>
      <c r="G14" s="4">
        <v>125.583</v>
      </c>
      <c r="H14" s="4">
        <v>98.992000000000004</v>
      </c>
    </row>
    <row r="15" spans="1:9" x14ac:dyDescent="0.3">
      <c r="A15" t="s">
        <v>96</v>
      </c>
      <c r="B15" s="3" t="s">
        <v>33</v>
      </c>
      <c r="C15" s="4">
        <v>9.5009999999999994</v>
      </c>
      <c r="D15" s="4">
        <v>8.9209999999999994</v>
      </c>
      <c r="E15" s="4">
        <v>15.391999999999999</v>
      </c>
      <c r="F15" s="4">
        <v>14.416</v>
      </c>
      <c r="G15" s="4">
        <v>36.173999999999999</v>
      </c>
      <c r="H15" s="4">
        <v>33.375</v>
      </c>
    </row>
    <row r="16" spans="1:9" x14ac:dyDescent="0.3">
      <c r="A16" t="s">
        <v>96</v>
      </c>
      <c r="B16" s="3" t="s">
        <v>34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4.4459999999999997</v>
      </c>
    </row>
    <row r="17" spans="1:9" x14ac:dyDescent="0.3">
      <c r="A17" t="s">
        <v>97</v>
      </c>
      <c r="B17" s="3" t="s">
        <v>35</v>
      </c>
      <c r="C17" s="4">
        <v>356.37200000000001</v>
      </c>
      <c r="D17" s="4">
        <v>299.35000000000002</v>
      </c>
      <c r="E17" s="4">
        <v>234.203</v>
      </c>
      <c r="F17" s="4">
        <v>203.1</v>
      </c>
      <c r="G17" s="4">
        <v>133.02000000000001</v>
      </c>
      <c r="H17" s="4">
        <v>88.850999999999999</v>
      </c>
    </row>
    <row r="18" spans="1:9" x14ac:dyDescent="0.3">
      <c r="A18" t="s">
        <v>96</v>
      </c>
      <c r="B18" s="3" t="s">
        <v>36</v>
      </c>
      <c r="C18" s="7">
        <v>240.941</v>
      </c>
      <c r="D18" s="7">
        <v>213.42500000000001</v>
      </c>
      <c r="E18" s="7">
        <v>170.27699999999999</v>
      </c>
      <c r="F18" s="7">
        <v>164.684</v>
      </c>
      <c r="G18" s="7">
        <v>119.69499999999999</v>
      </c>
      <c r="H18" s="7">
        <v>98.082999999999998</v>
      </c>
    </row>
    <row r="19" spans="1:9" x14ac:dyDescent="0.3">
      <c r="B19" s="5" t="s">
        <v>37</v>
      </c>
      <c r="C19" s="6">
        <f t="shared" ref="C19:H19" si="1">SUM(C10:C18)</f>
        <v>5521.8890000000001</v>
      </c>
      <c r="D19" s="6">
        <f t="shared" si="1"/>
        <v>4623.5680000000011</v>
      </c>
      <c r="E19" s="6">
        <f t="shared" si="1"/>
        <v>4391.6419999999998</v>
      </c>
      <c r="F19" s="6">
        <f t="shared" si="1"/>
        <v>4512.6050000000005</v>
      </c>
      <c r="G19" s="6">
        <f t="shared" si="1"/>
        <v>4124.0069999999996</v>
      </c>
      <c r="H19" s="6">
        <f t="shared" si="1"/>
        <v>3593.83</v>
      </c>
    </row>
    <row r="20" spans="1:9" x14ac:dyDescent="0.3">
      <c r="B20" s="5"/>
      <c r="C20" s="6"/>
      <c r="D20" s="6"/>
      <c r="E20" s="6"/>
      <c r="F20" s="6"/>
      <c r="G20" s="6"/>
      <c r="H20" s="6"/>
    </row>
    <row r="21" spans="1:9" x14ac:dyDescent="0.3">
      <c r="A21" t="s">
        <v>100</v>
      </c>
      <c r="B21" s="5" t="s">
        <v>38</v>
      </c>
      <c r="C21" s="11">
        <f t="shared" ref="C21:H21" si="2">C8+C19</f>
        <v>10959.178</v>
      </c>
      <c r="D21" s="11">
        <f t="shared" si="2"/>
        <v>9826.0800000000017</v>
      </c>
      <c r="E21" s="11">
        <f t="shared" si="2"/>
        <v>8335.4369999999999</v>
      </c>
      <c r="F21" s="11">
        <f t="shared" si="2"/>
        <v>7776.6460000000006</v>
      </c>
      <c r="G21" s="11">
        <f t="shared" si="2"/>
        <v>7105.6019999999999</v>
      </c>
      <c r="H21" s="11">
        <f t="shared" si="2"/>
        <v>5742.1619999999994</v>
      </c>
    </row>
    <row r="22" spans="1:9" x14ac:dyDescent="0.3">
      <c r="B22" s="3"/>
      <c r="C22" s="4"/>
      <c r="D22" s="4"/>
      <c r="E22" s="4"/>
      <c r="F22" s="4"/>
      <c r="G22" s="4"/>
      <c r="H22" s="4"/>
    </row>
    <row r="23" spans="1:9" x14ac:dyDescent="0.3">
      <c r="A23" t="s">
        <v>102</v>
      </c>
      <c r="B23" s="3" t="s">
        <v>39</v>
      </c>
      <c r="C23" s="4">
        <f>2475.14+22.88</f>
        <v>2498.02</v>
      </c>
      <c r="D23" s="4">
        <v>2458.857</v>
      </c>
      <c r="E23" s="4">
        <v>2103.029</v>
      </c>
      <c r="F23" s="4">
        <v>2073.1410000000001</v>
      </c>
      <c r="G23" s="4">
        <v>1975.251</v>
      </c>
      <c r="H23" s="4">
        <v>1618.825</v>
      </c>
    </row>
    <row r="24" spans="1:9" x14ac:dyDescent="0.3">
      <c r="A24" t="s">
        <v>101</v>
      </c>
      <c r="B24" s="3" t="s">
        <v>40</v>
      </c>
      <c r="C24" s="4">
        <v>0.68600000000000005</v>
      </c>
      <c r="D24" s="4">
        <v>2.6819999999999999</v>
      </c>
      <c r="E24" s="4">
        <v>35.058</v>
      </c>
      <c r="F24" s="4">
        <v>234.03700000000001</v>
      </c>
      <c r="G24" s="4">
        <v>371.27600000000001</v>
      </c>
      <c r="H24" s="4">
        <v>145.077</v>
      </c>
    </row>
    <row r="25" spans="1:9" x14ac:dyDescent="0.3">
      <c r="A25" t="s">
        <v>103</v>
      </c>
      <c r="B25" s="3" t="s">
        <v>41</v>
      </c>
      <c r="C25" s="7">
        <v>204.06800000000001</v>
      </c>
      <c r="D25" s="7">
        <v>213.36799999999999</v>
      </c>
      <c r="E25" s="7">
        <v>166.87299999999999</v>
      </c>
      <c r="F25" s="7">
        <v>83.67</v>
      </c>
      <c r="G25" s="7">
        <v>111.54</v>
      </c>
      <c r="H25" s="7">
        <v>120.839</v>
      </c>
    </row>
    <row r="26" spans="1:9" x14ac:dyDescent="0.3">
      <c r="B26" s="5" t="s">
        <v>42</v>
      </c>
      <c r="C26" s="6">
        <f t="shared" ref="C26:H26" si="3">SUM(C23:C25)</f>
        <v>2702.7740000000003</v>
      </c>
      <c r="D26" s="6">
        <f t="shared" si="3"/>
        <v>2674.9069999999997</v>
      </c>
      <c r="E26" s="6">
        <f t="shared" si="3"/>
        <v>2304.96</v>
      </c>
      <c r="F26" s="6">
        <f t="shared" si="3"/>
        <v>2390.848</v>
      </c>
      <c r="G26" s="6">
        <f t="shared" si="3"/>
        <v>2458.067</v>
      </c>
      <c r="H26" s="6">
        <f t="shared" si="3"/>
        <v>1884.741</v>
      </c>
    </row>
    <row r="27" spans="1:9" x14ac:dyDescent="0.3">
      <c r="B27" s="3"/>
      <c r="C27" s="4"/>
      <c r="D27" s="4"/>
      <c r="E27" s="4"/>
      <c r="F27" s="4"/>
      <c r="G27" s="4"/>
      <c r="H27" s="4"/>
    </row>
    <row r="28" spans="1:9" x14ac:dyDescent="0.3">
      <c r="A28" t="s">
        <v>104</v>
      </c>
      <c r="B28" s="3" t="s">
        <v>40</v>
      </c>
      <c r="C28" s="4">
        <v>1.544</v>
      </c>
      <c r="D28" s="4">
        <v>4.1719999999999997</v>
      </c>
      <c r="E28" s="4">
        <v>4.9960000000000004</v>
      </c>
      <c r="F28" s="4">
        <v>13.241</v>
      </c>
      <c r="G28" s="4">
        <v>42.357999999999997</v>
      </c>
      <c r="H28" s="4">
        <v>47.314</v>
      </c>
    </row>
    <row r="29" spans="1:9" x14ac:dyDescent="0.3">
      <c r="A29" t="s">
        <v>105</v>
      </c>
      <c r="B29" s="3" t="s">
        <v>43</v>
      </c>
      <c r="C29" s="4">
        <v>182.53100000000001</v>
      </c>
      <c r="D29" s="4">
        <v>172.648</v>
      </c>
      <c r="E29" s="4">
        <v>172.892</v>
      </c>
      <c r="F29" s="4">
        <v>213.84700000000001</v>
      </c>
      <c r="G29" s="4">
        <v>110.95699999999999</v>
      </c>
      <c r="H29" s="4">
        <v>104.319</v>
      </c>
    </row>
    <row r="30" spans="1:9" x14ac:dyDescent="0.3">
      <c r="A30" t="s">
        <v>104</v>
      </c>
      <c r="B30" s="3" t="s">
        <v>44</v>
      </c>
      <c r="C30" s="4">
        <v>147.31800000000001</v>
      </c>
      <c r="D30" s="4">
        <v>156.61000000000001</v>
      </c>
      <c r="E30" s="4">
        <v>127.054</v>
      </c>
      <c r="F30" s="4">
        <v>101.82</v>
      </c>
      <c r="G30" s="4">
        <v>47.481000000000002</v>
      </c>
      <c r="H30" s="4">
        <v>45.113999999999997</v>
      </c>
      <c r="I30" s="21" t="s">
        <v>143</v>
      </c>
    </row>
    <row r="31" spans="1:9" x14ac:dyDescent="0.3">
      <c r="A31" t="s">
        <v>107</v>
      </c>
      <c r="B31" s="3" t="s">
        <v>45</v>
      </c>
      <c r="C31" s="7">
        <v>469.43400000000003</v>
      </c>
      <c r="D31" s="7">
        <v>394.57499999999999</v>
      </c>
      <c r="E31" s="7">
        <v>354.98899999999998</v>
      </c>
      <c r="F31" s="7">
        <v>308.29000000000002</v>
      </c>
      <c r="G31" s="7">
        <v>229.488</v>
      </c>
      <c r="H31" s="7">
        <v>190.07</v>
      </c>
    </row>
    <row r="32" spans="1:9" x14ac:dyDescent="0.3">
      <c r="B32" s="5" t="s">
        <v>46</v>
      </c>
      <c r="C32" s="6">
        <f t="shared" ref="C32:H32" si="4">SUM(C28:C31)</f>
        <v>800.827</v>
      </c>
      <c r="D32" s="6">
        <f t="shared" si="4"/>
        <v>728.005</v>
      </c>
      <c r="E32" s="6">
        <f t="shared" si="4"/>
        <v>659.93100000000004</v>
      </c>
      <c r="F32" s="6">
        <f t="shared" si="4"/>
        <v>637.19800000000009</v>
      </c>
      <c r="G32" s="6">
        <f t="shared" si="4"/>
        <v>430.28399999999999</v>
      </c>
      <c r="H32" s="6">
        <f t="shared" si="4"/>
        <v>386.81700000000001</v>
      </c>
    </row>
    <row r="33" spans="1:8" x14ac:dyDescent="0.3">
      <c r="B33" s="3"/>
      <c r="C33" s="4"/>
      <c r="D33" s="4"/>
      <c r="E33" s="4"/>
      <c r="F33" s="4"/>
      <c r="G33" s="4"/>
      <c r="H33" s="4"/>
    </row>
    <row r="34" spans="1:8" x14ac:dyDescent="0.3">
      <c r="A34" t="s">
        <v>109</v>
      </c>
      <c r="B34" s="3" t="s">
        <v>47</v>
      </c>
      <c r="C34" s="4">
        <v>7414.8059999999996</v>
      </c>
      <c r="D34" s="4">
        <v>6386.183</v>
      </c>
      <c r="E34" s="4">
        <v>5329.1660000000002</v>
      </c>
      <c r="F34" s="4">
        <v>4721.7139999999999</v>
      </c>
      <c r="G34" s="4">
        <v>4193.1289999999999</v>
      </c>
      <c r="H34" s="4">
        <v>3448.377</v>
      </c>
    </row>
    <row r="35" spans="1:8" x14ac:dyDescent="0.3">
      <c r="A35" t="s">
        <v>134</v>
      </c>
      <c r="B35" s="3" t="s">
        <v>48</v>
      </c>
      <c r="C35" s="7">
        <v>40.771000000000001</v>
      </c>
      <c r="D35" s="7">
        <v>36.984000000000002</v>
      </c>
      <c r="E35" s="7">
        <v>41.38</v>
      </c>
      <c r="F35" s="7">
        <v>26.885999999999999</v>
      </c>
      <c r="G35" s="7">
        <v>23.922000000000001</v>
      </c>
      <c r="H35" s="7">
        <v>22.227</v>
      </c>
    </row>
    <row r="36" spans="1:8" x14ac:dyDescent="0.3">
      <c r="B36" s="5" t="s">
        <v>49</v>
      </c>
      <c r="C36" s="6">
        <f t="shared" ref="C36:H36" si="5">SUM(C34:C35)</f>
        <v>7455.5769999999993</v>
      </c>
      <c r="D36" s="6">
        <f t="shared" si="5"/>
        <v>6423.1670000000004</v>
      </c>
      <c r="E36" s="6">
        <f t="shared" si="5"/>
        <v>5370.5460000000003</v>
      </c>
      <c r="F36" s="6">
        <f t="shared" si="5"/>
        <v>4748.6000000000004</v>
      </c>
      <c r="G36" s="6">
        <f t="shared" si="5"/>
        <v>4217.0509999999995</v>
      </c>
      <c r="H36" s="6">
        <f t="shared" si="5"/>
        <v>3470.6039999999998</v>
      </c>
    </row>
    <row r="37" spans="1:8" x14ac:dyDescent="0.3">
      <c r="B37" s="5"/>
      <c r="C37" s="12"/>
      <c r="D37" s="12"/>
      <c r="E37" s="12"/>
      <c r="F37" s="12"/>
      <c r="G37" s="12"/>
      <c r="H37" s="12"/>
    </row>
    <row r="38" spans="1:8" x14ac:dyDescent="0.3">
      <c r="A38" t="s">
        <v>111</v>
      </c>
      <c r="B38" s="5" t="s">
        <v>50</v>
      </c>
      <c r="C38" s="6">
        <f t="shared" ref="C38:H38" si="6">C26+C32+C36</f>
        <v>10959.178</v>
      </c>
      <c r="D38" s="6">
        <f t="shared" si="6"/>
        <v>9826.0789999999997</v>
      </c>
      <c r="E38" s="6">
        <f t="shared" si="6"/>
        <v>8335.4369999999999</v>
      </c>
      <c r="F38" s="6">
        <f t="shared" si="6"/>
        <v>7776.6460000000006</v>
      </c>
      <c r="G38" s="6">
        <f t="shared" si="6"/>
        <v>7105.402</v>
      </c>
      <c r="H38" s="6">
        <f t="shared" si="6"/>
        <v>5742.1620000000003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'Standardized Statements'!$A$21:$A$32</xm:f>
          </x14:formula1>
          <xm:sqref>A3:A21</xm:sqref>
        </x14:dataValidation>
        <x14:dataValidation type="list" allowBlank="1" showInputMessage="1" showErrorMessage="1" xr:uid="{00000000-0002-0000-0100-000001000000}">
          <x14:formula1>
            <xm:f>'Standardized Statements'!$A$36:$A$47</xm:f>
          </x14:formula1>
          <xm:sqref>A23:A38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topLeftCell="A10" workbookViewId="0">
      <selection activeCell="A37" sqref="A37"/>
    </sheetView>
  </sheetViews>
  <sheetFormatPr defaultRowHeight="14.4" x14ac:dyDescent="0.3"/>
  <cols>
    <col min="1" max="1" width="44" customWidth="1"/>
    <col min="2" max="2" width="45.6640625" customWidth="1"/>
    <col min="3" max="7" width="10.6640625" bestFit="1" customWidth="1"/>
    <col min="8" max="8" width="10.109375" bestFit="1" customWidth="1"/>
  </cols>
  <sheetData>
    <row r="1" spans="1:8" x14ac:dyDescent="0.3">
      <c r="A1" s="8" t="s">
        <v>20</v>
      </c>
      <c r="B1" s="1" t="s">
        <v>51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141</v>
      </c>
    </row>
    <row r="2" spans="1:8" x14ac:dyDescent="0.3">
      <c r="B2" s="3"/>
      <c r="C2" s="2"/>
      <c r="D2" s="2"/>
      <c r="E2" s="2"/>
      <c r="F2" s="2"/>
      <c r="G2" s="2"/>
      <c r="H2" s="2"/>
    </row>
    <row r="3" spans="1:8" x14ac:dyDescent="0.3">
      <c r="B3" s="13" t="s">
        <v>52</v>
      </c>
      <c r="C3" s="4"/>
      <c r="D3" s="4"/>
      <c r="E3" s="4"/>
      <c r="F3" s="4"/>
      <c r="G3" s="4"/>
      <c r="H3" s="4"/>
    </row>
    <row r="4" spans="1:8" x14ac:dyDescent="0.3">
      <c r="A4" t="s">
        <v>112</v>
      </c>
      <c r="B4" s="3" t="s">
        <v>53</v>
      </c>
      <c r="C4" s="4">
        <v>2559.0120000000002</v>
      </c>
      <c r="D4" s="4">
        <v>2321.585</v>
      </c>
      <c r="E4" s="4">
        <v>1732.17</v>
      </c>
      <c r="F4" s="4">
        <v>1586.9369999999999</v>
      </c>
      <c r="G4" s="4">
        <v>1645.636</v>
      </c>
      <c r="H4" s="4">
        <v>1339.4380000000001</v>
      </c>
    </row>
    <row r="5" spans="1:8" x14ac:dyDescent="0.3">
      <c r="B5" s="3" t="s">
        <v>9</v>
      </c>
      <c r="C5" s="4">
        <v>-30.236999999999998</v>
      </c>
      <c r="D5" s="4">
        <v>-21.026</v>
      </c>
      <c r="E5" s="4">
        <v>-8.3680000000000003</v>
      </c>
      <c r="F5" s="4">
        <v>-26.067</v>
      </c>
      <c r="G5" s="4">
        <v>-20.603000000000002</v>
      </c>
      <c r="H5" s="4">
        <v>-16.425000000000001</v>
      </c>
    </row>
    <row r="6" spans="1:8" x14ac:dyDescent="0.3">
      <c r="B6" s="3" t="s">
        <v>10</v>
      </c>
      <c r="C6" s="4">
        <v>3.6720000000000002</v>
      </c>
      <c r="D6" s="4">
        <v>3.5609999999999999</v>
      </c>
      <c r="E6" s="4">
        <v>9.4280000000000008</v>
      </c>
      <c r="F6" s="4">
        <v>9.3719999999999999</v>
      </c>
      <c r="G6" s="4">
        <v>4.6589999999999998</v>
      </c>
      <c r="H6" s="4">
        <v>10.993</v>
      </c>
    </row>
    <row r="7" spans="1:8" x14ac:dyDescent="0.3">
      <c r="A7" t="s">
        <v>116</v>
      </c>
      <c r="B7" s="3" t="s">
        <v>9</v>
      </c>
      <c r="C7" s="4">
        <v>30.236999999999998</v>
      </c>
      <c r="D7" s="4">
        <v>21.026</v>
      </c>
      <c r="E7" s="4">
        <v>8.3680000000000003</v>
      </c>
      <c r="F7" s="4">
        <v>26.067</v>
      </c>
      <c r="G7" s="4">
        <v>20.603000000000002</v>
      </c>
      <c r="H7" s="4">
        <v>16.425000000000001</v>
      </c>
    </row>
    <row r="8" spans="1:8" x14ac:dyDescent="0.3">
      <c r="A8" t="s">
        <v>122</v>
      </c>
      <c r="B8" s="3" t="s">
        <v>10</v>
      </c>
      <c r="C8" s="4">
        <v>-3.6720000000000002</v>
      </c>
      <c r="D8" s="4">
        <v>-3.5609999999999999</v>
      </c>
      <c r="E8" s="4">
        <v>-9.4280000000000008</v>
      </c>
      <c r="F8" s="4">
        <v>-9.3719999999999999</v>
      </c>
      <c r="G8" s="4">
        <v>-4.6589999999999998</v>
      </c>
      <c r="H8" s="4">
        <v>-10.993</v>
      </c>
    </row>
    <row r="9" spans="1:8" x14ac:dyDescent="0.3">
      <c r="B9" s="3" t="s">
        <v>54</v>
      </c>
      <c r="C9" s="14"/>
      <c r="D9" s="14"/>
      <c r="E9" s="14"/>
      <c r="F9" s="14"/>
      <c r="G9" s="14"/>
      <c r="H9" s="14"/>
    </row>
    <row r="10" spans="1:8" x14ac:dyDescent="0.3">
      <c r="A10" t="s">
        <v>114</v>
      </c>
      <c r="B10" s="3" t="s">
        <v>6</v>
      </c>
      <c r="C10" s="4">
        <v>692.62099999999998</v>
      </c>
      <c r="D10" s="4">
        <v>636.28099999999995</v>
      </c>
      <c r="E10" s="4">
        <v>624.71100000000001</v>
      </c>
      <c r="F10" s="4">
        <v>578.32000000000005</v>
      </c>
      <c r="G10" s="4">
        <v>496.66300000000001</v>
      </c>
      <c r="H10" s="4">
        <v>433.42700000000002</v>
      </c>
    </row>
    <row r="11" spans="1:8" x14ac:dyDescent="0.3">
      <c r="A11" t="s">
        <v>115</v>
      </c>
      <c r="B11" s="3" t="s">
        <v>17</v>
      </c>
      <c r="C11" s="4">
        <v>-693.20100000000002</v>
      </c>
      <c r="D11" s="4">
        <v>-508</v>
      </c>
      <c r="E11" s="4">
        <v>-391.05900000000003</v>
      </c>
      <c r="F11" s="4">
        <v>-325.322</v>
      </c>
      <c r="G11" s="4">
        <v>-387.87200000000001</v>
      </c>
      <c r="H11" s="4">
        <v>-329.50200000000001</v>
      </c>
    </row>
    <row r="12" spans="1:8" x14ac:dyDescent="0.3">
      <c r="A12" t="s">
        <v>114</v>
      </c>
      <c r="B12" s="3" t="s">
        <v>55</v>
      </c>
      <c r="C12" s="4">
        <v>0</v>
      </c>
      <c r="D12" s="4">
        <v>0</v>
      </c>
      <c r="E12" s="4">
        <v>0</v>
      </c>
      <c r="F12" s="4">
        <v>35.253</v>
      </c>
      <c r="G12" s="4">
        <v>-38.465000000000003</v>
      </c>
      <c r="H12" s="4">
        <v>-13.285</v>
      </c>
    </row>
    <row r="13" spans="1:8" x14ac:dyDescent="0.3">
      <c r="A13" t="s">
        <v>114</v>
      </c>
      <c r="B13" s="3" t="s">
        <v>56</v>
      </c>
      <c r="C13" s="4">
        <v>-29.218</v>
      </c>
      <c r="D13" s="4">
        <v>-29.681000000000001</v>
      </c>
      <c r="E13" s="4">
        <v>30.664999999999999</v>
      </c>
      <c r="F13" s="4">
        <v>-11.097</v>
      </c>
      <c r="G13" s="4">
        <v>1.837</v>
      </c>
      <c r="H13" s="4">
        <v>0.27100000000000002</v>
      </c>
    </row>
    <row r="14" spans="1:8" x14ac:dyDescent="0.3">
      <c r="A14" t="s">
        <v>114</v>
      </c>
      <c r="B14" s="3" t="s">
        <v>57</v>
      </c>
      <c r="C14" s="4">
        <v>41.180999999999997</v>
      </c>
      <c r="D14" s="4">
        <v>61.174999999999997</v>
      </c>
      <c r="E14" s="4">
        <v>53.087000000000003</v>
      </c>
      <c r="F14" s="4">
        <v>0</v>
      </c>
      <c r="G14" s="4">
        <v>0</v>
      </c>
      <c r="H14" s="4">
        <v>0</v>
      </c>
    </row>
    <row r="15" spans="1:8" x14ac:dyDescent="0.3">
      <c r="A15" t="s">
        <v>114</v>
      </c>
      <c r="B15" s="3" t="s">
        <v>58</v>
      </c>
      <c r="C15" s="4">
        <v>42.436999999999998</v>
      </c>
      <c r="D15" s="4">
        <v>58.600999999999999</v>
      </c>
      <c r="E15" s="4">
        <v>10.074</v>
      </c>
      <c r="F15" s="4">
        <v>-14.022</v>
      </c>
      <c r="G15" s="4">
        <v>39.338000000000001</v>
      </c>
      <c r="H15" s="4">
        <v>61.335000000000001</v>
      </c>
    </row>
    <row r="16" spans="1:8" x14ac:dyDescent="0.3">
      <c r="A16" t="s">
        <v>118</v>
      </c>
      <c r="B16" s="3" t="s">
        <v>59</v>
      </c>
      <c r="C16" s="4">
        <v>-56.662999999999997</v>
      </c>
      <c r="D16" s="4">
        <v>-227.08</v>
      </c>
      <c r="E16" s="4">
        <v>48.466000000000001</v>
      </c>
      <c r="F16" s="4">
        <v>-60.735999999999997</v>
      </c>
      <c r="G16" s="4">
        <v>-197.48500000000001</v>
      </c>
      <c r="H16" s="4">
        <v>-135.45699999999999</v>
      </c>
    </row>
    <row r="17" spans="1:8" x14ac:dyDescent="0.3">
      <c r="A17" t="s">
        <v>118</v>
      </c>
      <c r="B17" s="3" t="s">
        <v>60</v>
      </c>
      <c r="C17" s="4">
        <v>-80.099999999999994</v>
      </c>
      <c r="D17" s="4">
        <v>-119.68</v>
      </c>
      <c r="E17" s="4">
        <v>162.75</v>
      </c>
      <c r="F17" s="4">
        <v>-157.42500000000001</v>
      </c>
      <c r="G17" s="4">
        <v>-87.608000000000004</v>
      </c>
      <c r="H17" s="4">
        <v>-51.311999999999998</v>
      </c>
    </row>
    <row r="18" spans="1:8" x14ac:dyDescent="0.3">
      <c r="A18" t="s">
        <v>118</v>
      </c>
      <c r="B18" s="3" t="s">
        <v>61</v>
      </c>
      <c r="C18" s="7">
        <v>-67.408000000000001</v>
      </c>
      <c r="D18" s="7">
        <v>363.01100000000002</v>
      </c>
      <c r="E18" s="7">
        <v>49.982999999999997</v>
      </c>
      <c r="F18" s="7">
        <v>143.268</v>
      </c>
      <c r="G18" s="7">
        <v>345.40800000000002</v>
      </c>
      <c r="H18" s="7">
        <v>92.426000000000002</v>
      </c>
    </row>
    <row r="19" spans="1:8" x14ac:dyDescent="0.3">
      <c r="B19" s="5" t="s">
        <v>62</v>
      </c>
      <c r="C19" s="6">
        <v>2408.6610000000005</v>
      </c>
      <c r="D19" s="6">
        <v>2556.2120000000004</v>
      </c>
      <c r="E19" s="6">
        <v>2320.8470000000007</v>
      </c>
      <c r="F19" s="6">
        <v>1775.1759999999999</v>
      </c>
      <c r="G19" s="6">
        <v>1817.4520000000002</v>
      </c>
      <c r="H19" s="6">
        <v>1397.3410000000003</v>
      </c>
    </row>
    <row r="20" spans="1:8" x14ac:dyDescent="0.3">
      <c r="B20" s="3"/>
      <c r="C20" s="4"/>
      <c r="D20" s="4"/>
      <c r="E20" s="4"/>
      <c r="F20" s="4"/>
      <c r="G20" s="4"/>
      <c r="H20" s="4"/>
    </row>
    <row r="21" spans="1:8" x14ac:dyDescent="0.3">
      <c r="A21" t="s">
        <v>119</v>
      </c>
      <c r="B21" s="3" t="s">
        <v>63</v>
      </c>
      <c r="C21" s="4">
        <v>-121.807</v>
      </c>
      <c r="D21" s="4">
        <v>-74.19</v>
      </c>
      <c r="E21" s="4">
        <v>-26.898</v>
      </c>
      <c r="F21" s="4">
        <v>-78.067999999999998</v>
      </c>
      <c r="G21" s="4">
        <v>-87.966999999999999</v>
      </c>
      <c r="H21" s="4">
        <v>-79.100999999999999</v>
      </c>
    </row>
    <row r="22" spans="1:8" x14ac:dyDescent="0.3">
      <c r="A22" t="s">
        <v>119</v>
      </c>
      <c r="B22" s="3" t="s">
        <v>64</v>
      </c>
      <c r="C22" s="4">
        <v>-1081.867</v>
      </c>
      <c r="D22" s="4">
        <v>-616.55100000000004</v>
      </c>
      <c r="E22" s="4">
        <v>-460.995</v>
      </c>
      <c r="F22" s="4">
        <v>-851.97299999999996</v>
      </c>
      <c r="G22" s="4">
        <v>-850.10900000000004</v>
      </c>
      <c r="H22" s="4">
        <v>-783.59799999999996</v>
      </c>
    </row>
    <row r="23" spans="1:8" x14ac:dyDescent="0.3">
      <c r="A23" t="s">
        <v>119</v>
      </c>
      <c r="B23" s="3" t="s">
        <v>65</v>
      </c>
      <c r="C23" s="4">
        <v>-105.718</v>
      </c>
      <c r="D23" s="4">
        <v>0</v>
      </c>
      <c r="E23" s="4">
        <v>0</v>
      </c>
      <c r="F23" s="4">
        <v>-6.1020000000000003</v>
      </c>
      <c r="G23" s="4">
        <v>-7.1470000000000002</v>
      </c>
      <c r="H23" s="4">
        <v>-28.687999999999999</v>
      </c>
    </row>
    <row r="24" spans="1:8" x14ac:dyDescent="0.3">
      <c r="A24" t="s">
        <v>119</v>
      </c>
      <c r="B24" s="3" t="s">
        <v>66</v>
      </c>
      <c r="C24" s="4">
        <v>-12.597</v>
      </c>
      <c r="D24" s="4">
        <v>-25.844999999999999</v>
      </c>
      <c r="E24" s="4">
        <v>0.378</v>
      </c>
      <c r="F24" s="4">
        <v>21.757999999999999</v>
      </c>
      <c r="G24" s="4">
        <v>-10.307</v>
      </c>
      <c r="H24" s="4">
        <v>-6.1139999999999999</v>
      </c>
    </row>
    <row r="25" spans="1:8" x14ac:dyDescent="0.3">
      <c r="A25" t="s">
        <v>119</v>
      </c>
      <c r="B25" s="3" t="s">
        <v>67</v>
      </c>
      <c r="C25" s="4">
        <v>-26.747</v>
      </c>
      <c r="D25" s="4">
        <v>-37.293999999999997</v>
      </c>
      <c r="E25" s="4">
        <v>-12.59</v>
      </c>
      <c r="F25" s="4">
        <v>-23.643000000000001</v>
      </c>
      <c r="G25" s="4">
        <v>-26.571999999999999</v>
      </c>
      <c r="H25" s="4">
        <v>-16.094000000000001</v>
      </c>
    </row>
    <row r="26" spans="1:8" x14ac:dyDescent="0.3">
      <c r="A26" t="s">
        <v>119</v>
      </c>
      <c r="B26" s="3" t="s">
        <v>68</v>
      </c>
      <c r="C26" s="4">
        <v>0</v>
      </c>
      <c r="D26" s="4">
        <v>0</v>
      </c>
      <c r="E26" s="4">
        <v>-9.6449999999999996</v>
      </c>
      <c r="F26" s="4">
        <v>0.67900000000000005</v>
      </c>
      <c r="G26" s="4">
        <v>9.5359999999999996</v>
      </c>
      <c r="H26" s="4">
        <v>26.56</v>
      </c>
    </row>
    <row r="27" spans="1:8" x14ac:dyDescent="0.3">
      <c r="A27" t="s">
        <v>119</v>
      </c>
      <c r="B27" s="3" t="s">
        <v>69</v>
      </c>
      <c r="C27" s="7">
        <v>0</v>
      </c>
      <c r="D27" s="7">
        <v>0</v>
      </c>
      <c r="E27" s="7">
        <v>0</v>
      </c>
      <c r="F27" s="7">
        <v>0</v>
      </c>
      <c r="G27" s="7">
        <v>30.712</v>
      </c>
      <c r="H27" s="7">
        <v>0</v>
      </c>
    </row>
    <row r="28" spans="1:8" x14ac:dyDescent="0.3">
      <c r="B28" s="5" t="s">
        <v>70</v>
      </c>
      <c r="C28" s="6">
        <v>-1348.7360000000001</v>
      </c>
      <c r="D28" s="6">
        <v>-753.88</v>
      </c>
      <c r="E28" s="6">
        <v>-509.75</v>
      </c>
      <c r="F28" s="6">
        <v>-937.34899999999993</v>
      </c>
      <c r="G28" s="6">
        <v>-941.85400000000016</v>
      </c>
      <c r="H28" s="6">
        <v>-887.03500000000008</v>
      </c>
    </row>
    <row r="29" spans="1:8" x14ac:dyDescent="0.3">
      <c r="B29" s="3"/>
      <c r="C29" s="4"/>
      <c r="D29" s="4"/>
      <c r="E29" s="4"/>
      <c r="F29" s="4"/>
      <c r="G29" s="4"/>
      <c r="H29" s="4"/>
    </row>
    <row r="30" spans="1:8" x14ac:dyDescent="0.3">
      <c r="A30" t="s">
        <v>121</v>
      </c>
      <c r="B30" s="3" t="s">
        <v>71</v>
      </c>
      <c r="C30" s="4">
        <v>-23.222999999999999</v>
      </c>
      <c r="D30" s="4">
        <v>-0.82399999999999995</v>
      </c>
      <c r="E30" s="4">
        <v>-3.52</v>
      </c>
      <c r="F30" s="4">
        <v>-28.643999999999998</v>
      </c>
      <c r="G30" s="4">
        <v>-16.513000000000002</v>
      </c>
      <c r="H30" s="4">
        <v>-28.225999999999999</v>
      </c>
    </row>
    <row r="31" spans="1:8" x14ac:dyDescent="0.3">
      <c r="A31" t="s">
        <v>121</v>
      </c>
      <c r="B31" s="3" t="s">
        <v>72</v>
      </c>
      <c r="C31" s="4">
        <v>-0.107</v>
      </c>
      <c r="D31" s="4">
        <v>-33.454999999999998</v>
      </c>
      <c r="E31" s="4">
        <v>10.519</v>
      </c>
      <c r="F31" s="4">
        <v>11.366</v>
      </c>
      <c r="G31" s="4">
        <v>15.763</v>
      </c>
      <c r="H31" s="4">
        <v>-67.143000000000001</v>
      </c>
    </row>
    <row r="32" spans="1:8" x14ac:dyDescent="0.3">
      <c r="A32" t="s">
        <v>121</v>
      </c>
      <c r="B32" s="3" t="s">
        <v>73</v>
      </c>
      <c r="C32" s="4">
        <v>-14.212</v>
      </c>
      <c r="D32" s="4">
        <v>-32.459000000000003</v>
      </c>
      <c r="E32" s="4">
        <v>-203.77699999999999</v>
      </c>
      <c r="F32" s="4">
        <v>-137.38499999999999</v>
      </c>
      <c r="G32" s="4">
        <v>214.51400000000001</v>
      </c>
      <c r="H32" s="4">
        <v>-64.114999999999995</v>
      </c>
    </row>
    <row r="33" spans="1:8" x14ac:dyDescent="0.3">
      <c r="A33" t="s">
        <v>123</v>
      </c>
      <c r="B33" s="3" t="s">
        <v>12</v>
      </c>
      <c r="C33" s="4">
        <v>-1003.877</v>
      </c>
      <c r="D33" s="4">
        <v>-751.35699999999997</v>
      </c>
      <c r="E33" s="4">
        <v>-662.09</v>
      </c>
      <c r="F33" s="4">
        <v>-661.56600000000003</v>
      </c>
      <c r="G33" s="4">
        <v>-521.59100000000001</v>
      </c>
      <c r="H33" s="4">
        <v>-417.63200000000001</v>
      </c>
    </row>
    <row r="34" spans="1:8" x14ac:dyDescent="0.3">
      <c r="A34" t="s">
        <v>124</v>
      </c>
      <c r="B34" s="3" t="s">
        <v>74</v>
      </c>
      <c r="C34" s="7">
        <v>0.61699999999999999</v>
      </c>
      <c r="D34" s="7">
        <v>-0.66700000000000004</v>
      </c>
      <c r="E34" s="7">
        <v>0.316</v>
      </c>
      <c r="F34" s="7">
        <v>-1.9970000000000001</v>
      </c>
      <c r="G34" s="7">
        <v>0.51800000000000002</v>
      </c>
      <c r="H34" s="7">
        <v>0</v>
      </c>
    </row>
    <row r="35" spans="1:8" x14ac:dyDescent="0.3">
      <c r="B35" s="5" t="s">
        <v>75</v>
      </c>
      <c r="C35" s="6">
        <v>-1040.8019999999999</v>
      </c>
      <c r="D35" s="6">
        <v>-818.76200000000006</v>
      </c>
      <c r="E35" s="6">
        <v>-858.55200000000002</v>
      </c>
      <c r="F35" s="6">
        <v>-818.226</v>
      </c>
      <c r="G35" s="6">
        <v>-307.30900000000003</v>
      </c>
      <c r="H35" s="6">
        <v>-577.11599999999999</v>
      </c>
    </row>
    <row r="36" spans="1:8" x14ac:dyDescent="0.3">
      <c r="B36" s="3"/>
      <c r="C36" s="4"/>
      <c r="D36" s="4"/>
      <c r="E36" s="4"/>
      <c r="F36" s="4"/>
      <c r="G36" s="4"/>
      <c r="H36" s="4"/>
    </row>
    <row r="37" spans="1:8" ht="28.8" x14ac:dyDescent="0.3">
      <c r="B37" s="3" t="s">
        <v>76</v>
      </c>
      <c r="C37" s="7">
        <v>14.178000000000001</v>
      </c>
      <c r="D37" s="7">
        <v>29.768999999999998</v>
      </c>
      <c r="E37" s="7">
        <v>1.274</v>
      </c>
      <c r="F37" s="7">
        <v>-19.141999999999999</v>
      </c>
      <c r="G37" s="7">
        <v>-8.6029999999999998</v>
      </c>
      <c r="H37" s="7">
        <v>-15.446</v>
      </c>
    </row>
    <row r="38" spans="1:8" x14ac:dyDescent="0.3">
      <c r="B38" s="5" t="s">
        <v>77</v>
      </c>
      <c r="C38" s="6">
        <v>33.301000000000499</v>
      </c>
      <c r="D38" s="6">
        <v>1013.3390000000003</v>
      </c>
      <c r="E38" s="6">
        <v>953.81900000000064</v>
      </c>
      <c r="F38" s="6">
        <v>0.45899999999999963</v>
      </c>
      <c r="G38" s="6">
        <v>559.68600000000004</v>
      </c>
      <c r="H38" s="6">
        <v>-82.255999999999716</v>
      </c>
    </row>
    <row r="39" spans="1:8" x14ac:dyDescent="0.3">
      <c r="B39" s="3" t="s">
        <v>78</v>
      </c>
      <c r="C39" s="7">
        <v>3433.4520000000002</v>
      </c>
      <c r="D39" s="7">
        <v>2420.11</v>
      </c>
      <c r="E39" s="7">
        <v>1466.2909999999999</v>
      </c>
      <c r="F39" s="7">
        <v>1465.835</v>
      </c>
      <c r="G39" s="7">
        <v>906.14800000000002</v>
      </c>
      <c r="H39" s="7">
        <v>988.40800000000002</v>
      </c>
    </row>
    <row r="40" spans="1:8" x14ac:dyDescent="0.3">
      <c r="B40" s="5" t="s">
        <v>79</v>
      </c>
      <c r="C40" s="6">
        <v>3466.7530000000006</v>
      </c>
      <c r="D40" s="6">
        <v>3433.4490000000005</v>
      </c>
      <c r="E40" s="6">
        <v>2420.1100000000006</v>
      </c>
      <c r="F40" s="6">
        <v>1466.2940000000001</v>
      </c>
      <c r="G40" s="6">
        <v>1465.8340000000001</v>
      </c>
      <c r="H40" s="6">
        <v>906.15200000000027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'Standardized Statements'!$A$51:$A$65</xm:f>
          </x14:formula1>
          <xm:sqref>A4:A40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5"/>
  <sheetViews>
    <sheetView workbookViewId="0">
      <selection activeCell="B45" sqref="B45"/>
    </sheetView>
  </sheetViews>
  <sheetFormatPr defaultRowHeight="14.4" x14ac:dyDescent="0.3"/>
  <cols>
    <col min="1" max="1" width="50.109375" bestFit="1" customWidth="1"/>
    <col min="2" max="7" width="12.33203125" customWidth="1"/>
  </cols>
  <sheetData>
    <row r="1" spans="1:9" x14ac:dyDescent="0.3">
      <c r="A1" s="9" t="s">
        <v>126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I1" s="15" t="s">
        <v>20</v>
      </c>
    </row>
    <row r="2" spans="1:9" x14ac:dyDescent="0.3">
      <c r="A2" s="14"/>
      <c r="B2" s="16">
        <f>DSUM('Income Statements'!$A:$H,B$1,$I$1:$I$2)</f>
        <v>17125.989999999994</v>
      </c>
      <c r="C2" s="16">
        <f>DSUM('Income Statements'!$A:$H,C$1,$I$1:$I$2)</f>
        <v>15494.197999999997</v>
      </c>
      <c r="D2" s="16">
        <f>DSUM('Income Statements'!$A:$H,D$1,$I$1:$I$2)</f>
        <v>12411.874999999995</v>
      </c>
      <c r="E2" s="16">
        <f>DSUM('Income Statements'!$A:$H,E$1,$I$1:$I$2)</f>
        <v>11611.138999999996</v>
      </c>
      <c r="F2" s="16">
        <f>DSUM('Income Statements'!$A:$H,F$1,$I$1:$I$2)</f>
        <v>11143.709000000001</v>
      </c>
      <c r="G2" s="16">
        <f>DSUM('Income Statements'!$A:$H,G$1,$I$1:$I$2)</f>
        <v>9302.2750000000015</v>
      </c>
    </row>
    <row r="3" spans="1:9" x14ac:dyDescent="0.3">
      <c r="A3" s="3" t="s">
        <v>130</v>
      </c>
      <c r="B3" s="16">
        <f t="dataTable" ref="B3:G17" dt2D="0" dtr="0" r1="I2"/>
        <v>13792.611999999999</v>
      </c>
      <c r="C3" s="16">
        <v>12524.826999999999</v>
      </c>
      <c r="D3" s="16">
        <v>11080.813999999998</v>
      </c>
      <c r="E3" s="16">
        <v>10404.222</v>
      </c>
      <c r="F3" s="16">
        <v>9432.9920000000002</v>
      </c>
      <c r="G3" s="16">
        <v>8194.518</v>
      </c>
    </row>
    <row r="4" spans="1:9" x14ac:dyDescent="0.3">
      <c r="A4" s="3" t="s">
        <v>80</v>
      </c>
      <c r="B4" s="16">
        <v>0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</row>
    <row r="5" spans="1:9" x14ac:dyDescent="0.3">
      <c r="A5" s="3" t="s">
        <v>81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</row>
    <row r="6" spans="1:9" ht="28.8" x14ac:dyDescent="0.3">
      <c r="A6" s="3" t="s">
        <v>82</v>
      </c>
      <c r="B6" s="16">
        <v>-2688.5459999999998</v>
      </c>
      <c r="C6" s="16">
        <v>-2446.386</v>
      </c>
      <c r="D6" s="16">
        <v>-2162.1880000000001</v>
      </c>
      <c r="E6" s="16">
        <v>-2024.1959999999999</v>
      </c>
      <c r="F6" s="16">
        <v>-1726.9680000000001</v>
      </c>
      <c r="G6" s="16">
        <v>-1566.4579999999999</v>
      </c>
    </row>
    <row r="7" spans="1:9" x14ac:dyDescent="0.3">
      <c r="A7" s="3" t="s">
        <v>88</v>
      </c>
      <c r="B7" s="16">
        <v>-2234.1779999999999</v>
      </c>
      <c r="C7" s="16">
        <v>-2009.4290000000001</v>
      </c>
      <c r="D7" s="16">
        <v>-1791.6320000000001</v>
      </c>
      <c r="E7" s="16">
        <v>-1703.1880000000001</v>
      </c>
      <c r="F7" s="16">
        <v>-1472.9</v>
      </c>
      <c r="G7" s="16">
        <v>-1250.845</v>
      </c>
    </row>
    <row r="8" spans="1:9" x14ac:dyDescent="0.3">
      <c r="A8" s="3" t="s">
        <v>89</v>
      </c>
      <c r="B8" s="16">
        <v>-5612.2160000000003</v>
      </c>
      <c r="C8" s="16">
        <v>-5104.5730000000003</v>
      </c>
      <c r="D8" s="16">
        <v>-4755.5050000000001</v>
      </c>
      <c r="E8" s="16">
        <v>-4492.72</v>
      </c>
      <c r="F8" s="16">
        <v>-4085.9589999999998</v>
      </c>
      <c r="G8" s="16">
        <v>-3589.2759999999998</v>
      </c>
    </row>
    <row r="9" spans="1:9" x14ac:dyDescent="0.3">
      <c r="A9" s="3" t="s">
        <v>90</v>
      </c>
      <c r="B9" s="16">
        <v>-735.66600000000005</v>
      </c>
      <c r="C9" s="16">
        <v>-675.73800000000006</v>
      </c>
      <c r="D9" s="16">
        <v>-645.80100000000004</v>
      </c>
      <c r="E9" s="16">
        <v>-578.32000000000005</v>
      </c>
      <c r="F9" s="16">
        <v>-496.66300000000001</v>
      </c>
      <c r="G9" s="16">
        <v>-433.42700000000002</v>
      </c>
    </row>
    <row r="10" spans="1:9" x14ac:dyDescent="0.3">
      <c r="A10" s="3" t="s">
        <v>83</v>
      </c>
      <c r="B10" s="16">
        <v>-3.6720000000000002</v>
      </c>
      <c r="C10" s="16">
        <v>-3.5609999999999999</v>
      </c>
      <c r="D10" s="16">
        <v>-9.4280000000000008</v>
      </c>
      <c r="E10" s="16">
        <v>-9.3719999999999999</v>
      </c>
      <c r="F10" s="16">
        <v>-4.6589999999999998</v>
      </c>
      <c r="G10" s="16">
        <v>-10.993</v>
      </c>
    </row>
    <row r="11" spans="1:9" x14ac:dyDescent="0.3">
      <c r="A11" s="3" t="s">
        <v>84</v>
      </c>
      <c r="B11" s="16">
        <v>30.236999999999998</v>
      </c>
      <c r="C11" s="16">
        <v>21.026</v>
      </c>
      <c r="D11" s="16">
        <v>8.3680000000000003</v>
      </c>
      <c r="E11" s="16">
        <v>26.067</v>
      </c>
      <c r="F11" s="16">
        <v>20.603000000000002</v>
      </c>
      <c r="G11" s="16">
        <v>16.425000000000001</v>
      </c>
    </row>
    <row r="12" spans="1:9" x14ac:dyDescent="0.3">
      <c r="A12" s="3" t="s">
        <v>85</v>
      </c>
      <c r="B12" s="16">
        <v>-10.039</v>
      </c>
      <c r="C12" s="16">
        <v>1.9990000000000001</v>
      </c>
      <c r="D12" s="16">
        <v>3.0110000000000001</v>
      </c>
      <c r="E12" s="16">
        <v>2.915</v>
      </c>
      <c r="F12" s="16">
        <v>-5.6859999999999999</v>
      </c>
      <c r="G12" s="16">
        <v>-0.81599999999999984</v>
      </c>
    </row>
    <row r="13" spans="1:9" x14ac:dyDescent="0.3">
      <c r="A13" s="3" t="s">
        <v>86</v>
      </c>
      <c r="B13" s="16">
        <v>20.48</v>
      </c>
      <c r="C13" s="16">
        <v>13.419999999999998</v>
      </c>
      <c r="D13" s="16">
        <v>4.5309999999999988</v>
      </c>
      <c r="E13" s="16">
        <v>-38.471000000000004</v>
      </c>
      <c r="F13" s="16">
        <v>-15.123999999999999</v>
      </c>
      <c r="G13" s="16">
        <v>-19.689</v>
      </c>
    </row>
    <row r="14" spans="1:9" x14ac:dyDescent="0.3">
      <c r="A14" s="3" t="s">
        <v>87</v>
      </c>
      <c r="B14" s="16">
        <v>-613.48</v>
      </c>
      <c r="C14" s="16">
        <v>-580.30499999999995</v>
      </c>
      <c r="D14" s="16">
        <v>-410.03300000000002</v>
      </c>
      <c r="E14" s="16">
        <v>-325.322</v>
      </c>
      <c r="F14" s="16">
        <v>-387.87200000000001</v>
      </c>
      <c r="G14" s="16">
        <v>-329.50200000000001</v>
      </c>
    </row>
    <row r="15" spans="1:9" x14ac:dyDescent="0.3">
      <c r="A15" s="3" t="s">
        <v>132</v>
      </c>
      <c r="B15" s="16">
        <v>-13.244</v>
      </c>
      <c r="C15" s="16">
        <v>-9.4510000000000005</v>
      </c>
      <c r="D15" s="16">
        <v>-7.7830000000000004</v>
      </c>
      <c r="E15" s="16">
        <v>-8.1639999999999997</v>
      </c>
      <c r="F15" s="16">
        <v>-7.4950000000000001</v>
      </c>
      <c r="G15" s="16">
        <v>-8.3960000000000008</v>
      </c>
    </row>
    <row r="16" spans="1:9" x14ac:dyDescent="0.3">
      <c r="A16" s="3" t="s">
        <v>135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</row>
    <row r="17" spans="1:7" x14ac:dyDescent="0.3">
      <c r="A17" s="3" t="s">
        <v>131</v>
      </c>
      <c r="B17" s="16">
        <v>1932.2879999999989</v>
      </c>
      <c r="C17" s="16">
        <v>1731.8289999999988</v>
      </c>
      <c r="D17" s="16">
        <v>1314.3539999999975</v>
      </c>
      <c r="E17" s="16">
        <v>1253.4509999999993</v>
      </c>
      <c r="F17" s="16">
        <v>1250.269</v>
      </c>
      <c r="G17" s="16">
        <v>1001.5410000000002</v>
      </c>
    </row>
    <row r="18" spans="1:7" x14ac:dyDescent="0.3">
      <c r="A18" s="3"/>
      <c r="B18" s="16"/>
      <c r="C18" s="16"/>
      <c r="D18" s="16"/>
      <c r="E18" s="16"/>
      <c r="F18" s="16"/>
      <c r="G18" s="16"/>
    </row>
    <row r="19" spans="1:7" x14ac:dyDescent="0.3">
      <c r="A19" s="9" t="s">
        <v>127</v>
      </c>
      <c r="B19" s="16"/>
      <c r="C19" s="16"/>
      <c r="D19" s="16"/>
      <c r="E19" s="16"/>
      <c r="F19" s="16"/>
      <c r="G19" s="16"/>
    </row>
    <row r="20" spans="1:7" x14ac:dyDescent="0.3">
      <c r="A20" s="14"/>
      <c r="B20" s="16">
        <f>DSUM('Balance Sheets'!A:H,B$1,$I$1:$I$2)</f>
        <v>65755.067999999999</v>
      </c>
      <c r="C20" s="16">
        <f>DSUM('Balance Sheets'!A:H,C$1,$I$1:$I$2)</f>
        <v>58956.476999999992</v>
      </c>
      <c r="D20" s="16">
        <f>DSUM('Balance Sheets'!A:H,D$1,$I$1:$I$2)</f>
        <v>50012.621999999988</v>
      </c>
      <c r="E20" s="16">
        <f>DSUM('Balance Sheets'!A:H,E$1,$I$1:$I$2)</f>
        <v>46659.876000000004</v>
      </c>
      <c r="F20" s="16">
        <f>DSUM('Balance Sheets'!A:H,F$1,$I$1:$I$2)</f>
        <v>42633.012000000002</v>
      </c>
      <c r="G20" s="16">
        <f>DSUM('Balance Sheets'!A:H,G$1,$I$1:$I$2)</f>
        <v>34452.971999999994</v>
      </c>
    </row>
    <row r="21" spans="1:7" x14ac:dyDescent="0.3">
      <c r="A21" s="3" t="s">
        <v>133</v>
      </c>
      <c r="B21" s="16">
        <f t="dataTable" ref="B21:G32" dt2D="0" dtr="0" r1="I2" ca="1"/>
        <v>3466.752</v>
      </c>
      <c r="C21" s="16">
        <v>3433.4520000000002</v>
      </c>
      <c r="D21" s="16">
        <v>2420.11</v>
      </c>
      <c r="E21" s="16">
        <v>1466.2909999999999</v>
      </c>
      <c r="F21" s="16">
        <v>1465.835</v>
      </c>
      <c r="G21" s="16">
        <v>906.14800000000002</v>
      </c>
    </row>
    <row r="22" spans="1:7" x14ac:dyDescent="0.3">
      <c r="A22" s="3" t="s">
        <v>91</v>
      </c>
      <c r="B22" s="16">
        <v>531.048</v>
      </c>
      <c r="C22" s="16">
        <v>481.84399999999999</v>
      </c>
      <c r="D22" s="16">
        <v>421.78100000000001</v>
      </c>
      <c r="E22" s="16">
        <v>585.31100000000004</v>
      </c>
      <c r="F22" s="16">
        <v>463.71600000000001</v>
      </c>
      <c r="G22" s="16">
        <v>363.63499999999999</v>
      </c>
    </row>
    <row r="23" spans="1:7" x14ac:dyDescent="0.3">
      <c r="A23" s="3" t="s">
        <v>24</v>
      </c>
      <c r="B23" s="16">
        <v>1277.009</v>
      </c>
      <c r="C23" s="16">
        <v>1214.623</v>
      </c>
      <c r="D23" s="16">
        <v>992.57</v>
      </c>
      <c r="E23" s="16">
        <v>1054.8399999999999</v>
      </c>
      <c r="F23" s="16">
        <v>1007.213</v>
      </c>
      <c r="G23" s="16">
        <v>823.90300000000002</v>
      </c>
    </row>
    <row r="24" spans="1:7" x14ac:dyDescent="0.3">
      <c r="A24" s="3" t="s">
        <v>92</v>
      </c>
      <c r="B24" s="16">
        <v>162.48000000000002</v>
      </c>
      <c r="C24" s="16">
        <v>72.592999999999989</v>
      </c>
      <c r="D24" s="16">
        <v>109.334</v>
      </c>
      <c r="E24" s="16">
        <v>157.59900000000002</v>
      </c>
      <c r="F24" s="16">
        <v>44.831000000000003</v>
      </c>
      <c r="G24" s="16">
        <v>54.646000000000001</v>
      </c>
    </row>
    <row r="25" spans="1:7" x14ac:dyDescent="0.3">
      <c r="A25" s="3" t="s">
        <v>93</v>
      </c>
      <c r="B25" s="16">
        <v>4063.0659999999998</v>
      </c>
      <c r="C25" s="16">
        <v>3397.0830000000001</v>
      </c>
      <c r="D25" s="16">
        <v>3293.5349999999999</v>
      </c>
      <c r="E25" s="16">
        <v>3442.3209999999999</v>
      </c>
      <c r="F25" s="16">
        <v>3182.1120000000001</v>
      </c>
      <c r="G25" s="16">
        <v>2788.8159999999998</v>
      </c>
    </row>
    <row r="26" spans="1:7" x14ac:dyDescent="0.3">
      <c r="A26" s="3" t="s">
        <v>94</v>
      </c>
      <c r="B26" s="16">
        <v>832.202</v>
      </c>
      <c r="C26" s="16">
        <v>687.43499999999995</v>
      </c>
      <c r="D26" s="16">
        <v>664.96199999999999</v>
      </c>
      <c r="E26" s="16">
        <v>679.62899999999991</v>
      </c>
      <c r="F26" s="16">
        <v>643.53099999999995</v>
      </c>
      <c r="G26" s="16">
        <v>568.40800000000002</v>
      </c>
    </row>
    <row r="27" spans="1:7" x14ac:dyDescent="0.3">
      <c r="A27" s="3" t="s">
        <v>95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</row>
    <row r="28" spans="1:7" x14ac:dyDescent="0.3">
      <c r="A28" s="3" t="s">
        <v>96</v>
      </c>
      <c r="B28" s="16">
        <v>270.24900000000002</v>
      </c>
      <c r="C28" s="16">
        <v>239.70000000000002</v>
      </c>
      <c r="D28" s="16">
        <v>198.94199999999998</v>
      </c>
      <c r="E28" s="16">
        <v>187.55500000000001</v>
      </c>
      <c r="F28" s="16">
        <v>165.34399999999999</v>
      </c>
      <c r="G28" s="16">
        <v>147.755</v>
      </c>
    </row>
    <row r="29" spans="1:7" x14ac:dyDescent="0.3">
      <c r="A29" s="3" t="s">
        <v>97</v>
      </c>
      <c r="B29" s="16">
        <v>356.37200000000001</v>
      </c>
      <c r="C29" s="16">
        <v>299.35000000000002</v>
      </c>
      <c r="D29" s="16">
        <v>234.203</v>
      </c>
      <c r="E29" s="16">
        <v>203.1</v>
      </c>
      <c r="F29" s="16">
        <v>133.02000000000001</v>
      </c>
      <c r="G29" s="16">
        <v>88.850999999999999</v>
      </c>
    </row>
    <row r="30" spans="1:7" x14ac:dyDescent="0.3">
      <c r="A30" s="3" t="s">
        <v>98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</row>
    <row r="31" spans="1:7" x14ac:dyDescent="0.3">
      <c r="A31" s="3" t="s">
        <v>99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</row>
    <row r="32" spans="1:7" x14ac:dyDescent="0.3">
      <c r="A32" s="3" t="s">
        <v>100</v>
      </c>
      <c r="B32" s="16">
        <v>10959.178</v>
      </c>
      <c r="C32" s="16">
        <v>9826.0800000000017</v>
      </c>
      <c r="D32" s="16">
        <v>8335.4369999999999</v>
      </c>
      <c r="E32" s="16">
        <v>7776.6460000000006</v>
      </c>
      <c r="F32" s="16">
        <v>7105.6019999999999</v>
      </c>
      <c r="G32" s="16">
        <v>5742.1619999999994</v>
      </c>
    </row>
    <row r="33" spans="1:7" x14ac:dyDescent="0.3">
      <c r="A33" s="14"/>
      <c r="B33" s="16"/>
      <c r="C33" s="16"/>
      <c r="D33" s="16"/>
      <c r="E33" s="16"/>
      <c r="F33" s="16"/>
      <c r="G33" s="16"/>
    </row>
    <row r="34" spans="1:7" x14ac:dyDescent="0.3">
      <c r="A34" s="9" t="s">
        <v>128</v>
      </c>
      <c r="B34" s="16"/>
      <c r="C34" s="16"/>
      <c r="D34" s="16"/>
      <c r="E34" s="16"/>
      <c r="F34" s="16"/>
      <c r="G34" s="16"/>
    </row>
    <row r="35" spans="1:7" x14ac:dyDescent="0.3">
      <c r="A35" s="14"/>
      <c r="B35" s="16">
        <f>DSUM('Balance Sheets'!A:H,B$1,$I$1:$I$2)</f>
        <v>65755.067999999999</v>
      </c>
      <c r="C35" s="16">
        <f>DSUM('Balance Sheets'!A:H,C$1,$I$1:$I$2)</f>
        <v>58956.476999999992</v>
      </c>
      <c r="D35" s="16">
        <f>DSUM('Balance Sheets'!A:H,D$1,$I$1:$I$2)</f>
        <v>50012.621999999988</v>
      </c>
      <c r="E35" s="16">
        <f>DSUM('Balance Sheets'!A:H,E$1,$I$1:$I$2)</f>
        <v>46659.876000000004</v>
      </c>
      <c r="F35" s="16">
        <f>DSUM('Balance Sheets'!A:H,F$1,$I$1:$I$2)</f>
        <v>42633.012000000002</v>
      </c>
      <c r="G35" s="16">
        <f>DSUM('Balance Sheets'!A:H,G$1,$I$1:$I$2)</f>
        <v>34452.971999999994</v>
      </c>
    </row>
    <row r="36" spans="1:7" x14ac:dyDescent="0.3">
      <c r="A36" s="3" t="s">
        <v>101</v>
      </c>
      <c r="B36" s="16">
        <f t="dataTable" ref="B36:G47" dt2D="0" dtr="0" r1="I2" ca="1"/>
        <v>0.68600000000000005</v>
      </c>
      <c r="C36" s="16">
        <v>2.6819999999999999</v>
      </c>
      <c r="D36" s="16">
        <v>35.058</v>
      </c>
      <c r="E36" s="16">
        <v>234.03700000000001</v>
      </c>
      <c r="F36" s="16">
        <v>371.27600000000001</v>
      </c>
      <c r="G36" s="16">
        <v>145.077</v>
      </c>
    </row>
    <row r="37" spans="1:7" x14ac:dyDescent="0.3">
      <c r="A37" s="3" t="s">
        <v>102</v>
      </c>
      <c r="B37" s="16">
        <v>2498.02</v>
      </c>
      <c r="C37" s="16">
        <v>2458.857</v>
      </c>
      <c r="D37" s="16">
        <v>2103.029</v>
      </c>
      <c r="E37" s="16">
        <v>2073.1410000000001</v>
      </c>
      <c r="F37" s="16">
        <v>1975.251</v>
      </c>
      <c r="G37" s="16">
        <v>1618.825</v>
      </c>
    </row>
    <row r="38" spans="1:7" x14ac:dyDescent="0.3">
      <c r="A38" s="3" t="s">
        <v>103</v>
      </c>
      <c r="B38" s="16">
        <v>204.06800000000001</v>
      </c>
      <c r="C38" s="16">
        <v>213.36799999999999</v>
      </c>
      <c r="D38" s="16">
        <v>166.87299999999999</v>
      </c>
      <c r="E38" s="16">
        <v>83.67</v>
      </c>
      <c r="F38" s="16">
        <v>111.54</v>
      </c>
      <c r="G38" s="16">
        <v>120.839</v>
      </c>
    </row>
    <row r="39" spans="1:7" x14ac:dyDescent="0.3">
      <c r="A39" s="3" t="s">
        <v>104</v>
      </c>
      <c r="B39" s="16">
        <v>148.86200000000002</v>
      </c>
      <c r="C39" s="16">
        <v>160.78200000000001</v>
      </c>
      <c r="D39" s="16">
        <v>132.05000000000001</v>
      </c>
      <c r="E39" s="16">
        <v>115.06099999999999</v>
      </c>
      <c r="F39" s="16">
        <v>89.838999999999999</v>
      </c>
      <c r="G39" s="16">
        <v>92.427999999999997</v>
      </c>
    </row>
    <row r="40" spans="1:7" x14ac:dyDescent="0.3">
      <c r="A40" s="3" t="s">
        <v>105</v>
      </c>
      <c r="B40" s="16">
        <v>182.53100000000001</v>
      </c>
      <c r="C40" s="16">
        <v>172.648</v>
      </c>
      <c r="D40" s="16">
        <v>172.892</v>
      </c>
      <c r="E40" s="16">
        <v>213.84700000000001</v>
      </c>
      <c r="F40" s="16">
        <v>110.95699999999999</v>
      </c>
      <c r="G40" s="16">
        <v>104.319</v>
      </c>
    </row>
    <row r="41" spans="1:7" x14ac:dyDescent="0.3">
      <c r="A41" s="3" t="s">
        <v>106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</row>
    <row r="42" spans="1:7" x14ac:dyDescent="0.3">
      <c r="A42" s="3" t="s">
        <v>107</v>
      </c>
      <c r="B42" s="16">
        <v>469.43400000000003</v>
      </c>
      <c r="C42" s="16">
        <v>394.57499999999999</v>
      </c>
      <c r="D42" s="16">
        <v>354.98899999999998</v>
      </c>
      <c r="E42" s="16">
        <v>308.29000000000002</v>
      </c>
      <c r="F42" s="16">
        <v>229.488</v>
      </c>
      <c r="G42" s="16">
        <v>190.07</v>
      </c>
    </row>
    <row r="43" spans="1:7" x14ac:dyDescent="0.3">
      <c r="A43" s="3" t="s">
        <v>134</v>
      </c>
      <c r="B43" s="16">
        <v>40.771000000000001</v>
      </c>
      <c r="C43" s="16">
        <v>36.984000000000002</v>
      </c>
      <c r="D43" s="16">
        <v>41.38</v>
      </c>
      <c r="E43" s="16">
        <v>26.885999999999999</v>
      </c>
      <c r="F43" s="16">
        <v>23.922000000000001</v>
      </c>
      <c r="G43" s="16">
        <v>22.227</v>
      </c>
    </row>
    <row r="44" spans="1:7" x14ac:dyDescent="0.3">
      <c r="A44" s="3" t="s">
        <v>108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</row>
    <row r="45" spans="1:7" x14ac:dyDescent="0.3">
      <c r="A45" s="3" t="s">
        <v>109</v>
      </c>
      <c r="B45" s="16">
        <v>7414.8059999999996</v>
      </c>
      <c r="C45" s="16">
        <v>6386.183</v>
      </c>
      <c r="D45" s="16">
        <v>5329.1660000000002</v>
      </c>
      <c r="E45" s="16">
        <v>4721.7139999999999</v>
      </c>
      <c r="F45" s="16">
        <v>4193.1289999999999</v>
      </c>
      <c r="G45" s="16">
        <v>3448.377</v>
      </c>
    </row>
    <row r="46" spans="1:7" x14ac:dyDescent="0.3">
      <c r="A46" s="3" t="s">
        <v>110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</row>
    <row r="47" spans="1:7" x14ac:dyDescent="0.3">
      <c r="A47" s="3" t="s">
        <v>111</v>
      </c>
      <c r="B47" s="16">
        <v>10959.178</v>
      </c>
      <c r="C47" s="16">
        <v>9826.0789999999997</v>
      </c>
      <c r="D47" s="16">
        <v>8335.4369999999999</v>
      </c>
      <c r="E47" s="16">
        <v>7776.6460000000006</v>
      </c>
      <c r="F47" s="16">
        <v>7105.402</v>
      </c>
      <c r="G47" s="16">
        <v>5742.1620000000003</v>
      </c>
    </row>
    <row r="48" spans="1:7" x14ac:dyDescent="0.3">
      <c r="A48" s="14"/>
      <c r="B48" s="16"/>
      <c r="C48" s="16"/>
      <c r="D48" s="16"/>
      <c r="E48" s="16"/>
      <c r="F48" s="16"/>
      <c r="G48" s="16"/>
    </row>
    <row r="49" spans="1:7" x14ac:dyDescent="0.3">
      <c r="A49" s="9" t="s">
        <v>129</v>
      </c>
      <c r="B49" s="16"/>
      <c r="C49" s="16"/>
      <c r="D49" s="16"/>
      <c r="E49" s="16"/>
      <c r="F49" s="16"/>
      <c r="G49" s="16"/>
    </row>
    <row r="50" spans="1:7" x14ac:dyDescent="0.3">
      <c r="A50" s="14"/>
      <c r="B50" s="16">
        <f>DSUM('Cash Flow Statements'!A:H,B$1,$I$1:$I$2)</f>
        <v>6985.930000000003</v>
      </c>
      <c r="C50" s="16">
        <f>DSUM('Cash Flow Statements'!A:H,C$1,$I$1:$I$2)</f>
        <v>8863.8070000000007</v>
      </c>
      <c r="D50" s="16">
        <f>DSUM('Cash Flow Statements'!A:H,D$1,$I$1:$I$2)</f>
        <v>6746.5840000000007</v>
      </c>
      <c r="E50" s="16">
        <f>DSUM('Cash Flow Statements'!A:H,E$1,$I$1:$I$2)</f>
        <v>2952.6480000000001</v>
      </c>
      <c r="F50" s="16">
        <f>DSUM('Cash Flow Statements'!A:H,F$1,$I$1:$I$2)</f>
        <v>4059.6430000000009</v>
      </c>
      <c r="G50" s="16">
        <f>DSUM('Cash Flow Statements'!A:H,G$1,$I$1:$I$2)</f>
        <v>1663.2380000000007</v>
      </c>
    </row>
    <row r="51" spans="1:7" x14ac:dyDescent="0.3">
      <c r="A51" s="3" t="s">
        <v>112</v>
      </c>
      <c r="B51" s="16">
        <f t="dataTable" ref="B51:G58" dt2D="0" dtr="0" r1="I2" ca="1"/>
        <v>2559.0120000000002</v>
      </c>
      <c r="C51" s="16">
        <v>2321.585</v>
      </c>
      <c r="D51" s="16">
        <v>1732.17</v>
      </c>
      <c r="E51" s="16">
        <v>1586.9369999999999</v>
      </c>
      <c r="F51" s="16">
        <v>1645.636</v>
      </c>
      <c r="G51" s="16">
        <v>1339.4380000000001</v>
      </c>
    </row>
    <row r="52" spans="1:7" x14ac:dyDescent="0.3">
      <c r="A52" s="3" t="s">
        <v>113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</row>
    <row r="53" spans="1:7" x14ac:dyDescent="0.3">
      <c r="A53" s="3" t="s">
        <v>114</v>
      </c>
      <c r="B53" s="16">
        <v>747.02100000000007</v>
      </c>
      <c r="C53" s="16">
        <v>726.37599999999986</v>
      </c>
      <c r="D53" s="16">
        <v>718.53699999999992</v>
      </c>
      <c r="E53" s="16">
        <v>588.45400000000006</v>
      </c>
      <c r="F53" s="16">
        <v>499.37299999999999</v>
      </c>
      <c r="G53" s="16">
        <v>481.74799999999999</v>
      </c>
    </row>
    <row r="54" spans="1:7" x14ac:dyDescent="0.3">
      <c r="A54" s="3" t="s">
        <v>115</v>
      </c>
      <c r="B54" s="16">
        <v>-693.20100000000002</v>
      </c>
      <c r="C54" s="16">
        <v>-508</v>
      </c>
      <c r="D54" s="16">
        <v>-391.05900000000003</v>
      </c>
      <c r="E54" s="16">
        <v>-325.322</v>
      </c>
      <c r="F54" s="16">
        <v>-387.87200000000001</v>
      </c>
      <c r="G54" s="16">
        <v>-329.50200000000001</v>
      </c>
    </row>
    <row r="55" spans="1:7" x14ac:dyDescent="0.3">
      <c r="A55" s="3" t="s">
        <v>116</v>
      </c>
      <c r="B55" s="16">
        <v>30.236999999999998</v>
      </c>
      <c r="C55" s="16">
        <v>21.026</v>
      </c>
      <c r="D55" s="16">
        <v>8.3680000000000003</v>
      </c>
      <c r="E55" s="16">
        <v>26.067</v>
      </c>
      <c r="F55" s="16">
        <v>20.603000000000002</v>
      </c>
      <c r="G55" s="16">
        <v>16.425000000000001</v>
      </c>
    </row>
    <row r="56" spans="1:7" x14ac:dyDescent="0.3">
      <c r="A56" s="3" t="s">
        <v>117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</row>
    <row r="57" spans="1:7" ht="28.8" x14ac:dyDescent="0.3">
      <c r="A57" s="3" t="s">
        <v>118</v>
      </c>
      <c r="B57" s="16">
        <v>-204.17099999999999</v>
      </c>
      <c r="C57" s="16">
        <v>16.251000000000033</v>
      </c>
      <c r="D57" s="16">
        <v>261.19900000000001</v>
      </c>
      <c r="E57" s="16">
        <v>-74.893000000000001</v>
      </c>
      <c r="F57" s="16">
        <v>60.314999999999998</v>
      </c>
      <c r="G57" s="16">
        <v>-94.343000000000004</v>
      </c>
    </row>
    <row r="58" spans="1:7" ht="28.8" x14ac:dyDescent="0.3">
      <c r="A58" s="3" t="s">
        <v>119</v>
      </c>
      <c r="B58" s="17">
        <v>-1348.7360000000001</v>
      </c>
      <c r="C58" s="17">
        <v>-753.88</v>
      </c>
      <c r="D58" s="17">
        <v>-509.75</v>
      </c>
      <c r="E58" s="17">
        <v>-937.34899999999993</v>
      </c>
      <c r="F58" s="17">
        <v>-941.85400000000016</v>
      </c>
      <c r="G58" s="17">
        <v>-887.03500000000008</v>
      </c>
    </row>
    <row r="59" spans="1:7" x14ac:dyDescent="0.3">
      <c r="A59" s="3" t="s">
        <v>120</v>
      </c>
      <c r="B59" s="16">
        <f t="shared" ref="B59:G59" si="0">SUM(B51:B58)</f>
        <v>1090.1620000000005</v>
      </c>
      <c r="C59" s="16">
        <f t="shared" si="0"/>
        <v>1823.3579999999997</v>
      </c>
      <c r="D59" s="16">
        <f t="shared" si="0"/>
        <v>1819.4649999999997</v>
      </c>
      <c r="E59" s="16">
        <f t="shared" si="0"/>
        <v>863.89400000000001</v>
      </c>
      <c r="F59" s="16">
        <f t="shared" si="0"/>
        <v>896.20099999999991</v>
      </c>
      <c r="G59" s="16">
        <f t="shared" si="0"/>
        <v>526.73099999999999</v>
      </c>
    </row>
    <row r="60" spans="1:7" x14ac:dyDescent="0.3">
      <c r="A60" s="14"/>
      <c r="B60" s="16">
        <f>DSUM('Cash Flow Statements'!A:H,B$1,$I$1:$I$2)</f>
        <v>6985.930000000003</v>
      </c>
      <c r="C60" s="16">
        <f>DSUM('Cash Flow Statements'!A:H,C$1,$I$1:$I$2)</f>
        <v>8863.8070000000007</v>
      </c>
      <c r="D60" s="16">
        <f>DSUM('Cash Flow Statements'!A:H,D$1,$I$1:$I$2)</f>
        <v>6746.5840000000007</v>
      </c>
      <c r="E60" s="16">
        <f>DSUM('Cash Flow Statements'!A:H,E$1,$I$1:$I$2)</f>
        <v>2952.6480000000001</v>
      </c>
      <c r="F60" s="16">
        <f>DSUM('Cash Flow Statements'!A:H,F$1,$I$1:$I$2)</f>
        <v>4059.6430000000009</v>
      </c>
      <c r="G60" s="16">
        <f>DSUM('Cash Flow Statements'!A:H,G$1,$I$1:$I$2)</f>
        <v>1663.2380000000007</v>
      </c>
    </row>
    <row r="61" spans="1:7" x14ac:dyDescent="0.3">
      <c r="A61" s="3" t="s">
        <v>121</v>
      </c>
      <c r="B61" s="16">
        <f t="dataTable" ref="B61:G64" dt2D="0" dtr="0" r1="I2" ca="1"/>
        <v>-37.542000000000002</v>
      </c>
      <c r="C61" s="16">
        <v>-66.738</v>
      </c>
      <c r="D61" s="16">
        <v>-196.77799999999999</v>
      </c>
      <c r="E61" s="16">
        <v>-154.66299999999998</v>
      </c>
      <c r="F61" s="16">
        <v>213.76400000000001</v>
      </c>
      <c r="G61" s="16">
        <v>-159.48399999999998</v>
      </c>
    </row>
    <row r="62" spans="1:7" x14ac:dyDescent="0.3">
      <c r="A62" s="3" t="s">
        <v>122</v>
      </c>
      <c r="B62" s="16">
        <v>-3.6720000000000002</v>
      </c>
      <c r="C62" s="16">
        <v>-3.5609999999999999</v>
      </c>
      <c r="D62" s="16">
        <v>-9.4280000000000008</v>
      </c>
      <c r="E62" s="16">
        <v>-9.3719999999999999</v>
      </c>
      <c r="F62" s="16">
        <v>-4.6589999999999998</v>
      </c>
      <c r="G62" s="16">
        <v>-10.993</v>
      </c>
    </row>
    <row r="63" spans="1:7" x14ac:dyDescent="0.3">
      <c r="A63" s="3" t="s">
        <v>123</v>
      </c>
      <c r="B63" s="16">
        <v>-1003.877</v>
      </c>
      <c r="C63" s="16">
        <v>-751.35699999999997</v>
      </c>
      <c r="D63" s="16">
        <v>-662.09</v>
      </c>
      <c r="E63" s="16">
        <v>-661.56600000000003</v>
      </c>
      <c r="F63" s="16">
        <v>-521.59100000000001</v>
      </c>
      <c r="G63" s="16">
        <v>-417.63200000000001</v>
      </c>
    </row>
    <row r="64" spans="1:7" x14ac:dyDescent="0.3">
      <c r="A64" s="3" t="s">
        <v>124</v>
      </c>
      <c r="B64" s="17">
        <v>0.61699999999999999</v>
      </c>
      <c r="C64" s="17">
        <v>-0.66700000000000004</v>
      </c>
      <c r="D64" s="17">
        <v>0.316</v>
      </c>
      <c r="E64" s="17">
        <v>-1.9970000000000001</v>
      </c>
      <c r="F64" s="17">
        <v>0.51800000000000002</v>
      </c>
      <c r="G64" s="17">
        <v>0</v>
      </c>
    </row>
    <row r="65" spans="1:7" x14ac:dyDescent="0.3">
      <c r="A65" s="3" t="s">
        <v>125</v>
      </c>
      <c r="B65" s="16">
        <f>B59+SUM(B61:B64)</f>
        <v>45.688000000000557</v>
      </c>
      <c r="C65" s="16">
        <f t="shared" ref="C65:G65" si="1">C59+SUM(C61:C64)</f>
        <v>1001.0349999999997</v>
      </c>
      <c r="D65" s="16">
        <f t="shared" si="1"/>
        <v>951.48499999999967</v>
      </c>
      <c r="E65" s="16">
        <f t="shared" si="1"/>
        <v>36.296000000000049</v>
      </c>
      <c r="F65" s="16">
        <f t="shared" si="1"/>
        <v>584.23299999999995</v>
      </c>
      <c r="G65" s="16">
        <f t="shared" si="1"/>
        <v>-61.377999999999929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Statements</vt:lpstr>
      <vt:lpstr>Balance Sheets</vt:lpstr>
      <vt:lpstr>Cash Flow Statements</vt:lpstr>
      <vt:lpstr>Standardized Statements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2013-02-25T13:40:34Z</dcterms:created>
  <dcterms:modified xsi:type="dcterms:W3CDTF">2026-02-20T09:48:13Z</dcterms:modified>
</cp:coreProperties>
</file>