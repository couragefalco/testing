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filterPrivacy="1"/>
  <xr:revisionPtr revIDLastSave="0" documentId="8_{FE5039FA-75D6-1D44-9042-1ED63CED4418}" xr6:coauthVersionLast="47" xr6:coauthVersionMax="47" xr10:uidLastSave="{00000000-0000-0000-0000-000000000000}"/>
  <bookViews>
    <workbookView xWindow="0" yWindow="500" windowWidth="35840" windowHeight="20380" activeTab="1" xr2:uid="{046909CA-62B5-3E4F-8F6B-EDC44C6640C6}"/>
  </bookViews>
  <sheets>
    <sheet name="DCF on L'Oreal Step 1 to 4" sheetId="22" r:id="rId1"/>
    <sheet name="DCF on L'Oreal Steps 5 and 6" sheetId="24" r:id="rId2"/>
  </sheets>
  <definedNames>
    <definedName name="_xlnm.Print_Titles" localSheetId="0">'DCF on L''Oreal Step 1 to 4'!#REF!</definedName>
    <definedName name="_xlnm.Print_Titles" localSheetId="1">'DCF on L''Oreal Steps 5 and 6'!#REF!</definedName>
  </definedNames>
  <calcPr calcId="191029" iterate="1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7" i="22" l="1"/>
  <c r="AR29" i="22"/>
  <c r="AR31" i="22" s="1"/>
  <c r="AR28" i="22"/>
  <c r="AQ28" i="22"/>
  <c r="AP28" i="22"/>
  <c r="AO28" i="22"/>
  <c r="AR26" i="22"/>
  <c r="AQ26" i="22"/>
  <c r="AP26" i="22"/>
  <c r="AO26" i="22"/>
  <c r="AR21" i="22"/>
  <c r="AQ21" i="22"/>
  <c r="AP21" i="22"/>
  <c r="AO21" i="22"/>
  <c r="AD26" i="22"/>
  <c r="AN26" i="22"/>
  <c r="AM26" i="22"/>
  <c r="AL26" i="22"/>
  <c r="AK26" i="22"/>
  <c r="AJ26" i="22"/>
  <c r="AI26" i="22"/>
  <c r="AH26" i="22"/>
  <c r="AG26" i="22"/>
  <c r="AF26" i="22"/>
  <c r="AE26" i="22"/>
  <c r="AD21" i="22"/>
  <c r="AN21" i="22"/>
  <c r="AM21" i="22"/>
  <c r="AL21" i="22"/>
  <c r="AK21" i="22"/>
  <c r="AJ21" i="22"/>
  <c r="AI21" i="22"/>
  <c r="AH21" i="22"/>
  <c r="AG21" i="22"/>
  <c r="AF21" i="22"/>
  <c r="AE21" i="22"/>
  <c r="AN19" i="22"/>
  <c r="AM19" i="22"/>
  <c r="AL19" i="22"/>
  <c r="AK19" i="22"/>
  <c r="AJ19" i="22"/>
  <c r="AI19" i="22"/>
  <c r="AH19" i="22"/>
  <c r="AG19" i="22"/>
  <c r="AF19" i="22"/>
  <c r="AE19" i="22"/>
  <c r="AD19" i="22"/>
  <c r="AN16" i="22"/>
  <c r="AM16" i="22"/>
  <c r="AL16" i="22"/>
  <c r="AK16" i="22"/>
  <c r="AJ16" i="22"/>
  <c r="AI16" i="22"/>
  <c r="AH16" i="22"/>
  <c r="AG16" i="22"/>
  <c r="AF16" i="22"/>
  <c r="AE16" i="22"/>
  <c r="AD16" i="22"/>
  <c r="AR45" i="24" l="1"/>
  <c r="AR51" i="24"/>
  <c r="AD50" i="24"/>
  <c r="AN65" i="24"/>
  <c r="AN63" i="24"/>
  <c r="AQ62" i="24"/>
  <c r="AO62" i="24"/>
  <c r="AD54" i="24"/>
  <c r="C48" i="24"/>
  <c r="AD45" i="24"/>
  <c r="AH42" i="24"/>
  <c r="AR41" i="24"/>
  <c r="AR42" i="24"/>
  <c r="AE29" i="24"/>
  <c r="AF29" i="24"/>
  <c r="AG29" i="24"/>
  <c r="AH29" i="24"/>
  <c r="AI29" i="24"/>
  <c r="AJ29" i="24"/>
  <c r="AK29" i="24"/>
  <c r="AL29" i="24"/>
  <c r="AM29" i="24"/>
  <c r="AN29" i="24"/>
  <c r="AO29" i="24"/>
  <c r="AP29" i="24"/>
  <c r="AQ29" i="24"/>
  <c r="AR29" i="24"/>
  <c r="AD39" i="24"/>
  <c r="AN25" i="24"/>
  <c r="AM25" i="24"/>
  <c r="AL25" i="24"/>
  <c r="AK25" i="24"/>
  <c r="AJ25" i="24"/>
  <c r="AI25" i="24"/>
  <c r="AH25" i="24"/>
  <c r="AG25" i="24"/>
  <c r="AF25" i="24"/>
  <c r="AE25" i="24"/>
  <c r="AD25" i="24"/>
  <c r="AN16" i="24"/>
  <c r="AM16" i="24"/>
  <c r="AM24" i="24"/>
  <c r="AL16" i="24"/>
  <c r="AL24" i="24"/>
  <c r="AK16" i="24"/>
  <c r="AK24" i="24"/>
  <c r="AJ16" i="24"/>
  <c r="AI16" i="24"/>
  <c r="AI24" i="24"/>
  <c r="AH16" i="24"/>
  <c r="AG16" i="24"/>
  <c r="AG24" i="24"/>
  <c r="AF16" i="24"/>
  <c r="AF17" i="24"/>
  <c r="AF24" i="24"/>
  <c r="AE16" i="24"/>
  <c r="AE24" i="24"/>
  <c r="AD16" i="24"/>
  <c r="AD24" i="24"/>
  <c r="AN13" i="24"/>
  <c r="AM13" i="24"/>
  <c r="AM14" i="24"/>
  <c r="AL13" i="24"/>
  <c r="AL14" i="24"/>
  <c r="AK13" i="24"/>
  <c r="AK14" i="24"/>
  <c r="AJ13" i="24"/>
  <c r="AI13" i="24"/>
  <c r="AH13" i="24"/>
  <c r="AG13" i="24"/>
  <c r="AF13" i="24"/>
  <c r="AF14" i="24"/>
  <c r="AE13" i="24"/>
  <c r="AE14" i="24"/>
  <c r="AD13" i="24"/>
  <c r="AD14" i="24"/>
  <c r="AR11" i="24"/>
  <c r="AO11" i="24" s="1"/>
  <c r="AN10" i="24"/>
  <c r="AM10" i="24"/>
  <c r="AL10" i="24"/>
  <c r="AK10" i="24"/>
  <c r="AJ10" i="24"/>
  <c r="AI10" i="24"/>
  <c r="AH10" i="24"/>
  <c r="AG10" i="24"/>
  <c r="AF10" i="24"/>
  <c r="AE10" i="24"/>
  <c r="AF11" i="24"/>
  <c r="AD10" i="24"/>
  <c r="AD37" i="24"/>
  <c r="AE37" i="24"/>
  <c r="AF37" i="24"/>
  <c r="AD60" i="22"/>
  <c r="AD56" i="22"/>
  <c r="AR53" i="22"/>
  <c r="AR11" i="22"/>
  <c r="AD34" i="22"/>
  <c r="C52" i="22"/>
  <c r="AR45" i="22"/>
  <c r="AR46" i="22" s="1"/>
  <c r="AE33" i="22" s="1"/>
  <c r="AN27" i="22"/>
  <c r="AM27" i="22"/>
  <c r="AL27" i="22"/>
  <c r="AK27" i="22"/>
  <c r="AJ27" i="22"/>
  <c r="AI27" i="22"/>
  <c r="AH27" i="22"/>
  <c r="AG27" i="22"/>
  <c r="AF27" i="22"/>
  <c r="AE27" i="22"/>
  <c r="AD27" i="22"/>
  <c r="AG17" i="22"/>
  <c r="AD13" i="22"/>
  <c r="AD10" i="22"/>
  <c r="AD41" i="22" s="1"/>
  <c r="AE41" i="22" s="1"/>
  <c r="AH46" i="22"/>
  <c r="AD49" i="22"/>
  <c r="AN10" i="22"/>
  <c r="AN13" i="22"/>
  <c r="AD43" i="22"/>
  <c r="AM13" i="22"/>
  <c r="AL13" i="22"/>
  <c r="AK13" i="22"/>
  <c r="AJ13" i="22"/>
  <c r="AI13" i="22"/>
  <c r="AH13" i="22"/>
  <c r="AG13" i="22"/>
  <c r="AF13" i="22"/>
  <c r="AE13" i="22"/>
  <c r="AM10" i="22"/>
  <c r="AL10" i="22"/>
  <c r="AK10" i="22"/>
  <c r="AK17" i="22" s="1"/>
  <c r="AJ10" i="22"/>
  <c r="AI10" i="22"/>
  <c r="AH10" i="22"/>
  <c r="AG10" i="22"/>
  <c r="AF10" i="22"/>
  <c r="AE10" i="22"/>
  <c r="AL11" i="24"/>
  <c r="AM11" i="24"/>
  <c r="AG19" i="24"/>
  <c r="AG20" i="24"/>
  <c r="AN19" i="24"/>
  <c r="AE11" i="24"/>
  <c r="AN20" i="24"/>
  <c r="AO19" i="24"/>
  <c r="AP19" i="24"/>
  <c r="AQ19" i="24"/>
  <c r="AR19" i="24"/>
  <c r="AJ11" i="24"/>
  <c r="AN11" i="24"/>
  <c r="AJ17" i="24"/>
  <c r="AG14" i="24"/>
  <c r="AI14" i="24"/>
  <c r="AE17" i="24"/>
  <c r="AN21" i="24"/>
  <c r="AN23" i="24"/>
  <c r="AH19" i="24"/>
  <c r="AH20" i="24"/>
  <c r="AH21" i="24"/>
  <c r="AH23" i="24"/>
  <c r="AH11" i="24"/>
  <c r="AJ24" i="24"/>
  <c r="AI11" i="24"/>
  <c r="AJ19" i="24"/>
  <c r="AJ20" i="24"/>
  <c r="AJ21" i="24"/>
  <c r="AK19" i="24"/>
  <c r="AK20" i="24"/>
  <c r="AN14" i="24"/>
  <c r="AO14" i="24"/>
  <c r="AP14" i="24"/>
  <c r="AQ14" i="24"/>
  <c r="AR14" i="24"/>
  <c r="AK17" i="24"/>
  <c r="AJ14" i="24"/>
  <c r="AG17" i="24"/>
  <c r="AK11" i="24"/>
  <c r="AN17" i="24"/>
  <c r="AO17" i="24"/>
  <c r="AP17" i="24"/>
  <c r="AQ17" i="24"/>
  <c r="AR17" i="24"/>
  <c r="AI17" i="24"/>
  <c r="AG11" i="24"/>
  <c r="AN24" i="24"/>
  <c r="AL17" i="24"/>
  <c r="AF19" i="24"/>
  <c r="AF20" i="24"/>
  <c r="AH17" i="24"/>
  <c r="AL19" i="24"/>
  <c r="AL20" i="24"/>
  <c r="AF36" i="24"/>
  <c r="AG37" i="24"/>
  <c r="AG21" i="24"/>
  <c r="AG23" i="24"/>
  <c r="AI19" i="24"/>
  <c r="AI20" i="24"/>
  <c r="AD17" i="24"/>
  <c r="AE19" i="24"/>
  <c r="AE20" i="24"/>
  <c r="AD19" i="24"/>
  <c r="AD20" i="24"/>
  <c r="AM19" i="24"/>
  <c r="AM20" i="24"/>
  <c r="AH14" i="24"/>
  <c r="AE36" i="24"/>
  <c r="AM17" i="24"/>
  <c r="AH24" i="24"/>
  <c r="AK21" i="24"/>
  <c r="AK23" i="24"/>
  <c r="AL21" i="24"/>
  <c r="AL23" i="24"/>
  <c r="AJ23" i="24"/>
  <c r="AM21" i="24"/>
  <c r="AM23" i="24"/>
  <c r="AI21" i="24"/>
  <c r="AI23" i="24"/>
  <c r="AE26" i="24"/>
  <c r="AF26" i="24"/>
  <c r="AD21" i="24"/>
  <c r="AD23" i="24"/>
  <c r="AF21" i="24"/>
  <c r="AF23" i="24"/>
  <c r="AG36" i="24"/>
  <c r="AG26" i="24"/>
  <c r="AG28" i="24"/>
  <c r="AH37" i="24"/>
  <c r="AE21" i="24"/>
  <c r="AE23" i="24"/>
  <c r="AF28" i="24"/>
  <c r="AE28" i="24"/>
  <c r="AH36" i="24"/>
  <c r="AH26" i="24"/>
  <c r="AH28" i="24"/>
  <c r="AI37" i="24"/>
  <c r="AJ37" i="24"/>
  <c r="AI36" i="24"/>
  <c r="AI26" i="24"/>
  <c r="AI28" i="24"/>
  <c r="AK37" i="24"/>
  <c r="AJ36" i="24"/>
  <c r="AK36" i="24"/>
  <c r="AL37" i="24"/>
  <c r="AJ26" i="24"/>
  <c r="AJ28" i="24"/>
  <c r="AM37" i="24"/>
  <c r="AL36" i="24"/>
  <c r="AL26" i="24"/>
  <c r="AL28" i="24"/>
  <c r="AK26" i="24"/>
  <c r="AK28" i="24"/>
  <c r="AN37" i="24"/>
  <c r="AM36" i="24"/>
  <c r="AO37" i="24"/>
  <c r="AN36" i="24"/>
  <c r="AN26" i="24"/>
  <c r="AN28" i="24"/>
  <c r="AM26" i="24"/>
  <c r="AM28" i="24"/>
  <c r="AP37" i="24"/>
  <c r="AQ37" i="24"/>
  <c r="AR37" i="24"/>
  <c r="AN14" i="22" l="1"/>
  <c r="AO14" i="22" s="1"/>
  <c r="AK11" i="22"/>
  <c r="AD14" i="22"/>
  <c r="AE22" i="22"/>
  <c r="AE24" i="22" s="1"/>
  <c r="AI14" i="22"/>
  <c r="AH17" i="22"/>
  <c r="AH11" i="22"/>
  <c r="AJ17" i="22"/>
  <c r="AJ14" i="22"/>
  <c r="AK14" i="22"/>
  <c r="AJ11" i="22"/>
  <c r="AI22" i="22"/>
  <c r="AI24" i="22" s="1"/>
  <c r="AF11" i="22"/>
  <c r="AD17" i="22"/>
  <c r="AE14" i="22"/>
  <c r="AH14" i="22"/>
  <c r="AN17" i="22"/>
  <c r="AO17" i="22" s="1"/>
  <c r="AM17" i="22"/>
  <c r="AE17" i="22"/>
  <c r="AI17" i="22"/>
  <c r="AL11" i="22"/>
  <c r="AN11" i="22"/>
  <c r="AO11" i="22" s="1"/>
  <c r="AD22" i="22"/>
  <c r="AF41" i="22"/>
  <c r="AE40" i="22"/>
  <c r="AE28" i="22" s="1"/>
  <c r="AE29" i="22" s="1"/>
  <c r="AP14" i="22"/>
  <c r="AF33" i="22"/>
  <c r="AE34" i="22"/>
  <c r="AF17" i="22"/>
  <c r="AG11" i="22"/>
  <c r="AE11" i="22"/>
  <c r="AG14" i="22"/>
  <c r="AL14" i="22"/>
  <c r="AI11" i="22"/>
  <c r="AF14" i="22"/>
  <c r="AM14" i="22"/>
  <c r="AM11" i="22"/>
  <c r="AL17" i="22"/>
  <c r="AO19" i="22"/>
  <c r="AP19" i="22" s="1"/>
  <c r="AQ19" i="22" s="1"/>
  <c r="AR19" i="22" s="1"/>
  <c r="AO10" i="24"/>
  <c r="AP11" i="24"/>
  <c r="AQ11" i="24" s="1"/>
  <c r="AE31" i="22" l="1"/>
  <c r="AP11" i="22"/>
  <c r="AQ11" i="22" s="1"/>
  <c r="AO10" i="22"/>
  <c r="AP10" i="22" s="1"/>
  <c r="AP17" i="22"/>
  <c r="AP16" i="22" s="1"/>
  <c r="AD24" i="22"/>
  <c r="AM22" i="22"/>
  <c r="AM24" i="22" s="1"/>
  <c r="AH22" i="22"/>
  <c r="AH24" i="22"/>
  <c r="AK22" i="22"/>
  <c r="AK24" i="22"/>
  <c r="AJ22" i="22"/>
  <c r="AJ24" i="22" s="1"/>
  <c r="AF22" i="22"/>
  <c r="AF24" i="22" s="1"/>
  <c r="AG22" i="22"/>
  <c r="AG24" i="22"/>
  <c r="AF34" i="22"/>
  <c r="AG33" i="22"/>
  <c r="AQ14" i="22"/>
  <c r="AP13" i="22"/>
  <c r="AN22" i="22"/>
  <c r="AN24" i="22" s="1"/>
  <c r="AO13" i="22"/>
  <c r="AL22" i="22"/>
  <c r="AL24" i="22" s="1"/>
  <c r="AE35" i="22"/>
  <c r="AG41" i="22"/>
  <c r="AF40" i="22"/>
  <c r="AF28" i="22" s="1"/>
  <c r="AF29" i="22" s="1"/>
  <c r="AO13" i="24"/>
  <c r="AO16" i="24"/>
  <c r="AO24" i="24" s="1"/>
  <c r="AP10" i="24"/>
  <c r="AO36" i="24"/>
  <c r="AF31" i="22" l="1"/>
  <c r="AF35" i="22" s="1"/>
  <c r="AQ17" i="22"/>
  <c r="AO16" i="22"/>
  <c r="AQ10" i="22"/>
  <c r="AR10" i="22" s="1"/>
  <c r="AH33" i="22"/>
  <c r="AG34" i="22"/>
  <c r="AG40" i="22"/>
  <c r="AG28" i="22" s="1"/>
  <c r="AG29" i="22" s="1"/>
  <c r="AG31" i="22" s="1"/>
  <c r="AH41" i="22"/>
  <c r="AR14" i="22"/>
  <c r="AO26" i="24"/>
  <c r="AP36" i="24"/>
  <c r="AQ10" i="24"/>
  <c r="AP16" i="24"/>
  <c r="AP24" i="24" s="1"/>
  <c r="AP13" i="24"/>
  <c r="AO20" i="24"/>
  <c r="AQ16" i="22" l="1"/>
  <c r="AO22" i="22"/>
  <c r="AO24" i="22" s="1"/>
  <c r="AR17" i="22"/>
  <c r="AR16" i="22" s="1"/>
  <c r="AO27" i="22" s="1"/>
  <c r="AR13" i="22"/>
  <c r="AQ13" i="22"/>
  <c r="AP20" i="24"/>
  <c r="AP21" i="24" s="1"/>
  <c r="AP23" i="24" s="1"/>
  <c r="AG35" i="22"/>
  <c r="AH40" i="22"/>
  <c r="AH28" i="22" s="1"/>
  <c r="AH29" i="22" s="1"/>
  <c r="AH31" i="22" s="1"/>
  <c r="AI41" i="22"/>
  <c r="AI33" i="22"/>
  <c r="AH34" i="22"/>
  <c r="AP22" i="22"/>
  <c r="AP24" i="22" s="1"/>
  <c r="AO21" i="24"/>
  <c r="AO23" i="24" s="1"/>
  <c r="AQ16" i="24"/>
  <c r="AQ24" i="24" s="1"/>
  <c r="AQ36" i="24"/>
  <c r="AQ26" i="24" s="1"/>
  <c r="AQ13" i="24"/>
  <c r="AR10" i="24"/>
  <c r="AP26" i="24"/>
  <c r="AP27" i="22" l="1"/>
  <c r="AO29" i="22"/>
  <c r="AO31" i="22" s="1"/>
  <c r="AQ22" i="22"/>
  <c r="AQ24" i="22" s="1"/>
  <c r="AQ20" i="24"/>
  <c r="AQ21" i="24" s="1"/>
  <c r="AQ23" i="24" s="1"/>
  <c r="AJ33" i="22"/>
  <c r="AI34" i="22"/>
  <c r="AI40" i="22"/>
  <c r="AJ41" i="22"/>
  <c r="AH35" i="22"/>
  <c r="AR22" i="22"/>
  <c r="AR24" i="22" s="1"/>
  <c r="AR16" i="24"/>
  <c r="AR24" i="24" s="1"/>
  <c r="AR25" i="24" s="1"/>
  <c r="AO25" i="24" s="1"/>
  <c r="AP25" i="24" s="1"/>
  <c r="AQ25" i="24" s="1"/>
  <c r="AR36" i="24"/>
  <c r="AR26" i="24" s="1"/>
  <c r="AR13" i="24"/>
  <c r="AQ27" i="22" l="1"/>
  <c r="AQ29" i="22" s="1"/>
  <c r="AQ31" i="22" s="1"/>
  <c r="AP29" i="22"/>
  <c r="AP31" i="22" s="1"/>
  <c r="AI28" i="22"/>
  <c r="AI29" i="22" s="1"/>
  <c r="AI31" i="22" s="1"/>
  <c r="AI35" i="22" s="1"/>
  <c r="AP28" i="24"/>
  <c r="AR20" i="24"/>
  <c r="AR21" i="24" s="1"/>
  <c r="AR23" i="24" s="1"/>
  <c r="AR28" i="24" s="1"/>
  <c r="AQ28" i="24"/>
  <c r="AK41" i="22"/>
  <c r="AJ40" i="22"/>
  <c r="AJ28" i="22" s="1"/>
  <c r="AJ29" i="22" s="1"/>
  <c r="AJ31" i="22" s="1"/>
  <c r="AJ34" i="22"/>
  <c r="AK33" i="22"/>
  <c r="AO28" i="24"/>
  <c r="AJ35" i="22" l="1"/>
  <c r="AK40" i="22"/>
  <c r="AK28" i="22" s="1"/>
  <c r="AK29" i="22" s="1"/>
  <c r="AK31" i="22" s="1"/>
  <c r="AL41" i="22"/>
  <c r="AL33" i="22"/>
  <c r="AK34" i="22"/>
  <c r="AK35" i="22" l="1"/>
  <c r="AM33" i="22"/>
  <c r="AL34" i="22"/>
  <c r="AL40" i="22"/>
  <c r="AM41" i="22"/>
  <c r="AL28" i="22" l="1"/>
  <c r="AL29" i="22" s="1"/>
  <c r="AL31" i="22" s="1"/>
  <c r="AL35" i="22" s="1"/>
  <c r="AM40" i="22"/>
  <c r="AM28" i="22" s="1"/>
  <c r="AM29" i="22" s="1"/>
  <c r="AM31" i="22" s="1"/>
  <c r="AN41" i="22"/>
  <c r="AN33" i="22"/>
  <c r="AM34" i="22"/>
  <c r="AN34" i="22" l="1"/>
  <c r="AO33" i="22"/>
  <c r="AM35" i="22"/>
  <c r="AO41" i="22"/>
  <c r="AN40" i="22"/>
  <c r="AN28" i="22" s="1"/>
  <c r="AN29" i="22" s="1"/>
  <c r="AN31" i="22" s="1"/>
  <c r="AN35" i="22" s="1"/>
  <c r="AP41" i="22" l="1"/>
  <c r="AO40" i="22"/>
  <c r="AO34" i="22"/>
  <c r="AP33" i="22"/>
  <c r="AQ33" i="22" l="1"/>
  <c r="AP34" i="22"/>
  <c r="AO35" i="22"/>
  <c r="AQ41" i="22"/>
  <c r="AP40" i="22"/>
  <c r="AQ40" i="22" l="1"/>
  <c r="AR41" i="22"/>
  <c r="AR40" i="22" s="1"/>
  <c r="AP35" i="22"/>
  <c r="AR33" i="22"/>
  <c r="AR34" i="22" s="1"/>
  <c r="AQ34" i="22"/>
  <c r="AQ35" i="22" l="1"/>
  <c r="AR35" i="22"/>
  <c r="AR51" i="22" l="1"/>
  <c r="AR49" i="22"/>
  <c r="AR52" i="22" s="1"/>
  <c r="AR55" i="22" s="1"/>
  <c r="AD30" i="24" l="1"/>
  <c r="AE30" i="24"/>
  <c r="AF30" i="24"/>
  <c r="AG30" i="24"/>
  <c r="AH30" i="24"/>
  <c r="AI30" i="24"/>
  <c r="AJ30" i="24"/>
  <c r="AK30" i="24"/>
  <c r="AL30" i="24"/>
  <c r="AM30" i="24"/>
  <c r="AN30" i="24"/>
  <c r="AO30" i="24"/>
  <c r="AP30" i="24"/>
  <c r="AQ30" i="24"/>
  <c r="AR30" i="24"/>
  <c r="AE31" i="24"/>
  <c r="AF31" i="24"/>
  <c r="AG31" i="24"/>
  <c r="AH31" i="24"/>
  <c r="AI31" i="24"/>
  <c r="AJ31" i="24"/>
  <c r="AK31" i="24"/>
  <c r="AL31" i="24"/>
  <c r="AM31" i="24"/>
  <c r="AN31" i="24"/>
  <c r="AO31" i="24"/>
  <c r="AP31" i="24"/>
  <c r="AQ31" i="24"/>
  <c r="AR31" i="24"/>
  <c r="AR47" i="24"/>
  <c r="AR49" i="24"/>
  <c r="AR50" i="24"/>
  <c r="AR52" i="24"/>
  <c r="AR54" i="24"/>
  <c r="AR55" i="24"/>
  <c r="AD58" i="24"/>
  <c r="AN62" i="24"/>
</calcChain>
</file>

<file path=xl/sharedStrings.xml><?xml version="1.0" encoding="utf-8"?>
<sst xmlns="http://schemas.openxmlformats.org/spreadsheetml/2006/main" count="296" uniqueCount="78">
  <si>
    <t>-</t>
  </si>
  <si>
    <t>Effective Tax Rate %</t>
  </si>
  <si>
    <t>Capital Expenditure</t>
  </si>
  <si>
    <t>Depreciation &amp; Amortization</t>
  </si>
  <si>
    <t>EBIT</t>
  </si>
  <si>
    <t>EBITDA</t>
  </si>
  <si>
    <t>Revenue</t>
  </si>
  <si>
    <t>Net debt</t>
  </si>
  <si>
    <t>WACC</t>
  </si>
  <si>
    <t>Number of year</t>
  </si>
  <si>
    <t>Closing date</t>
  </si>
  <si>
    <t>Market cap</t>
  </si>
  <si>
    <t>Valuation date</t>
  </si>
  <si>
    <t>Total</t>
  </si>
  <si>
    <t>_____</t>
  </si>
  <si>
    <t>Terminal value</t>
  </si>
  <si>
    <t>Beta</t>
  </si>
  <si>
    <t>Market risk premium</t>
  </si>
  <si>
    <t>Provisions</t>
  </si>
  <si>
    <t>10Y T-bonds rate</t>
  </si>
  <si>
    <t>Equity</t>
  </si>
  <si>
    <t>NWC</t>
  </si>
  <si>
    <t>Goodwill</t>
  </si>
  <si>
    <t>Fixed assets</t>
  </si>
  <si>
    <t>Present value of FCF</t>
  </si>
  <si>
    <t>Discount period</t>
  </si>
  <si>
    <t>FCF</t>
  </si>
  <si>
    <r>
      <t>(</t>
    </r>
    <r>
      <rPr>
        <sz val="8"/>
        <rFont val="Symbol"/>
        <family val="1"/>
        <charset val="2"/>
      </rPr>
      <t>D</t>
    </r>
    <r>
      <rPr>
        <sz val="8"/>
        <rFont val="Arial"/>
        <family val="2"/>
      </rPr>
      <t>NWC)</t>
    </r>
  </si>
  <si>
    <t>(Net Capex)</t>
  </si>
  <si>
    <t>NOPAT</t>
  </si>
  <si>
    <t>(D&amp;A)</t>
  </si>
  <si>
    <t>EBITDA margin</t>
  </si>
  <si>
    <t>Growth rate</t>
  </si>
  <si>
    <t>Achieved</t>
  </si>
  <si>
    <t>Brokers' consensus</t>
  </si>
  <si>
    <t>Soft landing period</t>
  </si>
  <si>
    <t>Other elements</t>
  </si>
  <si>
    <t>D&amp;A / Sales</t>
  </si>
  <si>
    <t>Sales</t>
  </si>
  <si>
    <t>(Tax on EBIT)</t>
  </si>
  <si>
    <t>____</t>
  </si>
  <si>
    <t>+ D&amp;A</t>
  </si>
  <si>
    <t>NWC / Sales</t>
  </si>
  <si>
    <t>Number of day</t>
  </si>
  <si>
    <t>Discount factor @</t>
  </si>
  <si>
    <t>Cost of debt</t>
  </si>
  <si>
    <t>Sum of Present Values of 2024-2037 FCF</t>
  </si>
  <si>
    <r>
      <t xml:space="preserve">Perpetuity growth rate = </t>
    </r>
    <r>
      <rPr>
        <i/>
        <sz val="8"/>
        <rFont val="Arial"/>
        <family val="2"/>
      </rPr>
      <t>g</t>
    </r>
  </si>
  <si>
    <t>Equity value = E</t>
  </si>
  <si>
    <t>Enterprise Value = EV</t>
  </si>
  <si>
    <t>Equity = EV - D</t>
  </si>
  <si>
    <t>Net debt = D</t>
  </si>
  <si>
    <t>______</t>
  </si>
  <si>
    <r>
      <t xml:space="preserve">Cost of equity = </t>
    </r>
    <r>
      <rPr>
        <b/>
        <i/>
        <sz val="8"/>
        <rFont val="Arial"/>
        <family val="2"/>
      </rPr>
      <t>k</t>
    </r>
  </si>
  <si>
    <r>
      <t xml:space="preserve">Pre-tax = </t>
    </r>
    <r>
      <rPr>
        <i/>
        <sz val="8"/>
        <rFont val="Arial"/>
        <family val="2"/>
      </rPr>
      <t>i</t>
    </r>
  </si>
  <si>
    <r>
      <t>Tax rate =</t>
    </r>
    <r>
      <rPr>
        <sz val="8"/>
        <rFont val="Symbol"/>
        <family val="1"/>
        <charset val="2"/>
      </rPr>
      <t xml:space="preserve"> t</t>
    </r>
  </si>
  <si>
    <r>
      <t xml:space="preserve">Post-tax = </t>
    </r>
    <r>
      <rPr>
        <b/>
        <i/>
        <sz val="8"/>
        <rFont val="Arial"/>
        <family val="2"/>
      </rPr>
      <t>i.</t>
    </r>
    <r>
      <rPr>
        <b/>
        <sz val="8"/>
        <rFont val="Arial"/>
        <family val="2"/>
      </rPr>
      <t>(1-</t>
    </r>
    <r>
      <rPr>
        <b/>
        <sz val="8"/>
        <rFont val="Symbol"/>
        <family val="1"/>
        <charset val="2"/>
      </rPr>
      <t>t</t>
    </r>
    <r>
      <rPr>
        <b/>
        <sz val="8"/>
        <rFont val="Arial"/>
        <family val="2"/>
      </rPr>
      <t>)</t>
    </r>
  </si>
  <si>
    <t>WACC = K</t>
  </si>
  <si>
    <t>Beta (1)</t>
  </si>
  <si>
    <t>(1): source: Infront Analytics</t>
  </si>
  <si>
    <t>Equity = E = EV - D</t>
  </si>
  <si>
    <t>Sensitivity analysis of the equity value</t>
  </si>
  <si>
    <t>Risk free rate</t>
  </si>
  <si>
    <t xml:space="preserve">Growth </t>
  </si>
  <si>
    <t xml:space="preserve">to the risk free rate </t>
  </si>
  <si>
    <t>and to the perpetuity growth rate</t>
  </si>
  <si>
    <t>Upside potential</t>
  </si>
  <si>
    <t>Number of shares (million)</t>
  </si>
  <si>
    <t>Share price (€)</t>
  </si>
  <si>
    <t>Target price (€)</t>
  </si>
  <si>
    <t>In € million</t>
  </si>
  <si>
    <t>Net Capex</t>
  </si>
  <si>
    <t>D&amp;A</t>
  </si>
  <si>
    <r>
      <rPr>
        <sz val="8"/>
        <rFont val="Symbol"/>
        <family val="1"/>
        <charset val="2"/>
      </rPr>
      <t>D</t>
    </r>
    <r>
      <rPr>
        <sz val="8"/>
        <rFont val="Arial"/>
        <family val="2"/>
      </rPr>
      <t>NWC</t>
    </r>
  </si>
  <si>
    <t>DNOA</t>
  </si>
  <si>
    <t>Other Operating Income (Revenue)</t>
  </si>
  <si>
    <t>D&amp;A Expense</t>
  </si>
  <si>
    <t>D&amp;A Expense /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</si>
</sst>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"/>
    <numFmt numFmtId="165" formatCode="_(\ #,##0.00&quot; A&quot;_);_(\(\ #,##0.00&quot; A&quot;\)_);_(\ #,##0.00&quot; A&quot;_)"/>
    <numFmt numFmtId="166" formatCode="#,##0.00;\(#,##0.00\)"/>
    <numFmt numFmtId="167" formatCode="0.0%"/>
    <numFmt numFmtId="168" formatCode="0.0000%"/>
    <numFmt numFmtId="169" formatCode="0.00000"/>
    <numFmt numFmtId="170" formatCode="0.0000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Symbol"/>
      <family val="1"/>
      <charset val="2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Symbol"/>
      <family val="1"/>
      <charset val="2"/>
    </font>
    <font>
      <i/>
      <u/>
      <sz val="8"/>
      <name val="Arial"/>
      <family val="2"/>
    </font>
    <font>
      <sz val="8"/>
      <color rgb="FF0070C0"/>
      <name val="Arial"/>
      <family val="2"/>
    </font>
    <font>
      <b/>
      <sz val="8"/>
      <color rgb="FFFF0000"/>
      <name val="Arial"/>
      <family val="2"/>
    </font>
    <font>
      <b/>
      <sz val="8"/>
      <color theme="5" tint="-0.499984740745262"/>
      <name val="Arial"/>
      <family val="2"/>
    </font>
    <font>
      <sz val="8"/>
      <color theme="8" tint="0.39997558519241921"/>
      <name val="Arial"/>
      <family val="2"/>
    </font>
    <font>
      <i/>
      <sz val="8"/>
      <color rgb="FF0070C0"/>
      <name val="Arial"/>
      <family val="2"/>
    </font>
    <font>
      <i/>
      <sz val="8"/>
      <color theme="0"/>
      <name val="Arial"/>
      <family val="2"/>
    </font>
    <font>
      <sz val="8"/>
      <name val="Arial"/>
      <family val="1"/>
      <charset val="2"/>
    </font>
    <font>
      <b/>
      <sz val="8"/>
      <name val="Symbol"/>
      <charset val="2"/>
    </font>
  </fonts>
  <fills count="11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15" fillId="0" borderId="0" applyAlignment="0"/>
    <xf numFmtId="0" fontId="16" fillId="0" borderId="0" applyAlignment="0"/>
    <xf numFmtId="0" fontId="8" fillId="2" borderId="0" applyAlignment="0"/>
    <xf numFmtId="0" fontId="14" fillId="0" borderId="0" applyAlignment="0"/>
    <xf numFmtId="0" fontId="6" fillId="3" borderId="0" applyAlignment="0"/>
    <xf numFmtId="0" fontId="5" fillId="4" borderId="0" applyAlignment="0"/>
    <xf numFmtId="0" fontId="4" fillId="0" borderId="0" applyAlignment="0"/>
    <xf numFmtId="0" fontId="18" fillId="0" borderId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7" fillId="5" borderId="0" applyAlignment="0"/>
    <xf numFmtId="0" fontId="11" fillId="0" borderId="0" applyAlignment="0"/>
    <xf numFmtId="0" fontId="10" fillId="0" borderId="0" applyAlignment="0"/>
    <xf numFmtId="0" fontId="12" fillId="0" borderId="0" applyAlignment="0"/>
    <xf numFmtId="0" fontId="13" fillId="0" borderId="0" applyAlignment="0"/>
    <xf numFmtId="0" fontId="9" fillId="0" borderId="0" applyAlignment="0"/>
    <xf numFmtId="0" fontId="3" fillId="0" borderId="0" applyAlignment="0"/>
    <xf numFmtId="0" fontId="12" fillId="0" borderId="0" applyAlignment="0">
      <alignment wrapText="1"/>
    </xf>
  </cellStyleXfs>
  <cellXfs count="110">
    <xf numFmtId="0" fontId="2" fillId="0" borderId="0" xfId="0" applyFont="1"/>
    <xf numFmtId="0" fontId="17" fillId="0" borderId="0" xfId="0" applyFont="1"/>
    <xf numFmtId="164" fontId="2" fillId="0" borderId="0" xfId="0" applyNumberFormat="1" applyFont="1"/>
    <xf numFmtId="164" fontId="17" fillId="0" borderId="0" xfId="0" applyNumberFormat="1" applyFont="1"/>
    <xf numFmtId="164" fontId="17" fillId="0" borderId="1" xfId="0" applyNumberFormat="1" applyFont="1" applyBorder="1"/>
    <xf numFmtId="10" fontId="2" fillId="0" borderId="0" xfId="10" applyNumberFormat="1" applyFont="1"/>
    <xf numFmtId="2" fontId="2" fillId="0" borderId="0" xfId="0" applyNumberFormat="1" applyFont="1"/>
    <xf numFmtId="10" fontId="17" fillId="0" borderId="0" xfId="0" applyNumberFormat="1" applyFont="1"/>
    <xf numFmtId="10" fontId="2" fillId="0" borderId="0" xfId="0" applyNumberFormat="1" applyFont="1"/>
    <xf numFmtId="167" fontId="2" fillId="0" borderId="0" xfId="10" applyNumberFormat="1" applyFont="1"/>
    <xf numFmtId="0" fontId="17" fillId="0" borderId="1" xfId="0" applyFont="1" applyBorder="1"/>
    <xf numFmtId="164" fontId="2" fillId="0" borderId="0" xfId="8" applyNumberFormat="1" applyFont="1"/>
    <xf numFmtId="0" fontId="2" fillId="0" borderId="0" xfId="0" applyFont="1" applyAlignment="1">
      <alignment horizontal="right"/>
    </xf>
    <xf numFmtId="167" fontId="2" fillId="0" borderId="0" xfId="0" applyNumberFormat="1" applyFont="1"/>
    <xf numFmtId="0" fontId="2" fillId="0" borderId="1" xfId="0" applyFont="1" applyBorder="1"/>
    <xf numFmtId="166" fontId="2" fillId="0" borderId="0" xfId="0" applyNumberFormat="1" applyFont="1" applyAlignment="1">
      <alignment horizontal="right"/>
    </xf>
    <xf numFmtId="10" fontId="2" fillId="0" borderId="2" xfId="10" applyNumberFormat="1" applyFont="1" applyBorder="1"/>
    <xf numFmtId="164" fontId="2" fillId="0" borderId="2" xfId="0" applyNumberFormat="1" applyFont="1" applyBorder="1"/>
    <xf numFmtId="167" fontId="2" fillId="0" borderId="2" xfId="10" applyNumberFormat="1" applyFont="1" applyBorder="1"/>
    <xf numFmtId="0" fontId="8" fillId="2" borderId="0" xfId="0" applyFont="1" applyFill="1" applyAlignment="1">
      <alignment horizontal="right"/>
    </xf>
    <xf numFmtId="0" fontId="8" fillId="2" borderId="0" xfId="0" applyFont="1" applyFill="1"/>
    <xf numFmtId="164" fontId="17" fillId="0" borderId="0" xfId="8" applyNumberFormat="1" applyFont="1"/>
    <xf numFmtId="164" fontId="25" fillId="0" borderId="0" xfId="0" applyNumberFormat="1" applyFont="1"/>
    <xf numFmtId="10" fontId="2" fillId="0" borderId="0" xfId="10" applyNumberFormat="1" applyFont="1" applyBorder="1"/>
    <xf numFmtId="167" fontId="2" fillId="0" borderId="0" xfId="10" applyNumberFormat="1" applyFont="1" applyBorder="1"/>
    <xf numFmtId="0" fontId="2" fillId="6" borderId="0" xfId="0" applyFont="1" applyFill="1" applyAlignment="1">
      <alignment horizontal="right"/>
    </xf>
    <xf numFmtId="0" fontId="8" fillId="6" borderId="0" xfId="0" applyFont="1" applyFill="1" applyAlignment="1">
      <alignment horizontal="right"/>
    </xf>
    <xf numFmtId="0" fontId="2" fillId="7" borderId="0" xfId="0" applyFont="1" applyFill="1" applyAlignment="1">
      <alignment horizontal="centerContinuous"/>
    </xf>
    <xf numFmtId="0" fontId="8" fillId="7" borderId="0" xfId="0" applyFont="1" applyFill="1" applyAlignment="1">
      <alignment horizontal="right"/>
    </xf>
    <xf numFmtId="0" fontId="2" fillId="8" borderId="0" xfId="0" applyFont="1" applyFill="1" applyAlignment="1">
      <alignment horizontal="centerContinuous"/>
    </xf>
    <xf numFmtId="0" fontId="8" fillId="8" borderId="0" xfId="0" applyFont="1" applyFill="1" applyAlignment="1">
      <alignment horizontal="right"/>
    </xf>
    <xf numFmtId="168" fontId="2" fillId="0" borderId="0" xfId="0" applyNumberFormat="1" applyFont="1"/>
    <xf numFmtId="167" fontId="2" fillId="0" borderId="0" xfId="9" applyNumberFormat="1" applyFont="1"/>
    <xf numFmtId="167" fontId="2" fillId="0" borderId="2" xfId="9" applyNumberFormat="1" applyFont="1" applyBorder="1"/>
    <xf numFmtId="167" fontId="2" fillId="0" borderId="0" xfId="9" applyNumberFormat="1" applyFont="1" applyBorder="1"/>
    <xf numFmtId="10" fontId="2" fillId="0" borderId="0" xfId="1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9" borderId="0" xfId="0" applyFont="1" applyFill="1"/>
    <xf numFmtId="164" fontId="2" fillId="9" borderId="0" xfId="0" applyNumberFormat="1" applyFont="1" applyFill="1"/>
    <xf numFmtId="0" fontId="2" fillId="9" borderId="0" xfId="0" quotePrefix="1" applyFont="1" applyFill="1"/>
    <xf numFmtId="164" fontId="2" fillId="9" borderId="3" xfId="0" applyNumberFormat="1" applyFont="1" applyFill="1" applyBorder="1"/>
    <xf numFmtId="164" fontId="2" fillId="0" borderId="4" xfId="0" applyNumberFormat="1" applyFont="1" applyBorder="1"/>
    <xf numFmtId="0" fontId="8" fillId="0" borderId="0" xfId="0" applyFont="1" applyAlignment="1">
      <alignment horizontal="right"/>
    </xf>
    <xf numFmtId="0" fontId="25" fillId="0" borderId="0" xfId="0" applyFont="1" applyAlignment="1">
      <alignment horizontal="centerContinuous"/>
    </xf>
    <xf numFmtId="10" fontId="25" fillId="0" borderId="0" xfId="0" applyNumberFormat="1" applyFont="1"/>
    <xf numFmtId="0" fontId="2" fillId="0" borderId="5" xfId="0" applyFont="1" applyBorder="1"/>
    <xf numFmtId="0" fontId="2" fillId="0" borderId="6" xfId="0" applyFont="1" applyBorder="1"/>
    <xf numFmtId="0" fontId="25" fillId="0" borderId="7" xfId="0" applyFont="1" applyBorder="1"/>
    <xf numFmtId="170" fontId="2" fillId="0" borderId="7" xfId="0" applyNumberFormat="1" applyFont="1" applyBorder="1"/>
    <xf numFmtId="0" fontId="17" fillId="0" borderId="8" xfId="0" applyFont="1" applyBorder="1"/>
    <xf numFmtId="0" fontId="17" fillId="0" borderId="9" xfId="0" applyFont="1" applyBorder="1"/>
    <xf numFmtId="10" fontId="17" fillId="0" borderId="10" xfId="0" applyNumberFormat="1" applyFont="1" applyBorder="1"/>
    <xf numFmtId="0" fontId="2" fillId="0" borderId="11" xfId="0" applyFont="1" applyBorder="1"/>
    <xf numFmtId="0" fontId="25" fillId="0" borderId="0" xfId="0" applyFont="1"/>
    <xf numFmtId="10" fontId="25" fillId="0" borderId="7" xfId="0" applyNumberFormat="1" applyFont="1" applyBorder="1"/>
    <xf numFmtId="9" fontId="25" fillId="0" borderId="7" xfId="0" applyNumberFormat="1" applyFont="1" applyBorder="1"/>
    <xf numFmtId="0" fontId="2" fillId="0" borderId="8" xfId="0" applyFont="1" applyBorder="1"/>
    <xf numFmtId="0" fontId="2" fillId="0" borderId="9" xfId="0" applyFont="1" applyBorder="1"/>
    <xf numFmtId="169" fontId="2" fillId="0" borderId="10" xfId="0" applyNumberFormat="1" applyFont="1" applyBorder="1"/>
    <xf numFmtId="10" fontId="25" fillId="0" borderId="2" xfId="9" applyNumberFormat="1" applyFont="1" applyBorder="1"/>
    <xf numFmtId="0" fontId="2" fillId="0" borderId="6" xfId="0" applyFont="1" applyBorder="1" applyAlignment="1">
      <alignment horizontal="left" indent="1"/>
    </xf>
    <xf numFmtId="0" fontId="2" fillId="0" borderId="6" xfId="0" applyFont="1" applyBorder="1" applyAlignment="1">
      <alignment horizontal="left"/>
    </xf>
    <xf numFmtId="0" fontId="17" fillId="0" borderId="12" xfId="0" applyFont="1" applyBorder="1"/>
    <xf numFmtId="0" fontId="17" fillId="0" borderId="13" xfId="0" applyFont="1" applyBorder="1"/>
    <xf numFmtId="0" fontId="17" fillId="0" borderId="14" xfId="0" applyFont="1" applyBorder="1"/>
    <xf numFmtId="10" fontId="17" fillId="10" borderId="15" xfId="0" applyNumberFormat="1" applyFont="1" applyFill="1" applyBorder="1"/>
    <xf numFmtId="10" fontId="2" fillId="10" borderId="0" xfId="0" applyNumberFormat="1" applyFont="1" applyFill="1"/>
    <xf numFmtId="14" fontId="25" fillId="0" borderId="0" xfId="0" applyNumberFormat="1" applyFont="1" applyAlignment="1">
      <alignment horizontal="right"/>
    </xf>
    <xf numFmtId="10" fontId="26" fillId="10" borderId="15" xfId="0" applyNumberFormat="1" applyFont="1" applyFill="1" applyBorder="1"/>
    <xf numFmtId="0" fontId="2" fillId="0" borderId="16" xfId="0" applyFont="1" applyBorder="1"/>
    <xf numFmtId="0" fontId="2" fillId="0" borderId="17" xfId="0" applyFont="1" applyBorder="1"/>
    <xf numFmtId="164" fontId="25" fillId="0" borderId="18" xfId="0" applyNumberFormat="1" applyFont="1" applyBorder="1"/>
    <xf numFmtId="0" fontId="2" fillId="0" borderId="1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0" fontId="2" fillId="0" borderId="5" xfId="0" applyNumberFormat="1" applyFont="1" applyBorder="1" applyAlignment="1">
      <alignment vertical="center"/>
    </xf>
    <xf numFmtId="10" fontId="25" fillId="0" borderId="1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64" fontId="27" fillId="0" borderId="1" xfId="0" applyNumberFormat="1" applyFont="1" applyBorder="1"/>
    <xf numFmtId="164" fontId="2" fillId="0" borderId="0" xfId="0" applyNumberFormat="1" applyFont="1" applyAlignment="1">
      <alignment vertical="center"/>
    </xf>
    <xf numFmtId="164" fontId="25" fillId="8" borderId="0" xfId="0" applyNumberFormat="1" applyFont="1" applyFill="1"/>
    <xf numFmtId="164" fontId="2" fillId="8" borderId="0" xfId="0" applyNumberFormat="1" applyFont="1" applyFill="1"/>
    <xf numFmtId="10" fontId="25" fillId="0" borderId="7" xfId="9" applyNumberFormat="1" applyFont="1" applyBorder="1"/>
    <xf numFmtId="0" fontId="17" fillId="0" borderId="6" xfId="0" applyFont="1" applyBorder="1" applyAlignment="1">
      <alignment horizontal="left" indent="1"/>
    </xf>
    <xf numFmtId="10" fontId="17" fillId="0" borderId="7" xfId="0" applyNumberFormat="1" applyFont="1" applyBorder="1"/>
    <xf numFmtId="0" fontId="17" fillId="0" borderId="1" xfId="0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8" fillId="0" borderId="18" xfId="0" applyNumberFormat="1" applyFont="1" applyBorder="1"/>
    <xf numFmtId="170" fontId="25" fillId="0" borderId="7" xfId="0" applyNumberFormat="1" applyFont="1" applyBorder="1"/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70" fontId="2" fillId="0" borderId="10" xfId="0" applyNumberFormat="1" applyFont="1" applyBorder="1" applyAlignment="1">
      <alignment vertical="center"/>
    </xf>
    <xf numFmtId="10" fontId="17" fillId="7" borderId="10" xfId="0" applyNumberFormat="1" applyFont="1" applyFill="1" applyBorder="1"/>
    <xf numFmtId="0" fontId="24" fillId="0" borderId="0" xfId="0" applyFont="1" applyAlignment="1">
      <alignment horizontal="center"/>
    </xf>
    <xf numFmtId="0" fontId="2" fillId="0" borderId="19" xfId="0" applyFont="1" applyBorder="1" applyAlignment="1">
      <alignment horizontal="centerContinuous"/>
    </xf>
    <xf numFmtId="10" fontId="21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/>
    </xf>
    <xf numFmtId="0" fontId="21" fillId="0" borderId="19" xfId="0" applyFont="1" applyBorder="1" applyAlignment="1">
      <alignment horizontal="centerContinuous"/>
    </xf>
    <xf numFmtId="164" fontId="30" fillId="0" borderId="0" xfId="0" applyNumberFormat="1" applyFont="1"/>
    <xf numFmtId="49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6" fontId="25" fillId="0" borderId="0" xfId="0" applyNumberFormat="1" applyFont="1" applyAlignment="1">
      <alignment horizontal="right"/>
    </xf>
    <xf numFmtId="14" fontId="25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" fontId="2" fillId="0" borderId="0" xfId="0" applyNumberFormat="1" applyFont="1"/>
    <xf numFmtId="9" fontId="2" fillId="0" borderId="11" xfId="9" applyFont="1" applyBorder="1" applyAlignment="1">
      <alignment vertical="center"/>
    </xf>
    <xf numFmtId="1" fontId="2" fillId="0" borderId="10" xfId="0" applyNumberFormat="1" applyFont="1" applyBorder="1" applyAlignment="1">
      <alignment vertical="center"/>
    </xf>
    <xf numFmtId="164" fontId="17" fillId="0" borderId="0" xfId="0" applyNumberFormat="1" applyFont="1" applyAlignment="1">
      <alignment horizontal="right"/>
    </xf>
    <xf numFmtId="0" fontId="31" fillId="0" borderId="0" xfId="0" applyFont="1"/>
    <xf numFmtId="0" fontId="32" fillId="0" borderId="0" xfId="0" applyFont="1"/>
  </cellXfs>
  <cellStyles count="22">
    <cellStyle name="ChartingText" xfId="1" xr:uid="{5646D59F-D176-D649-860F-4755C95F1C95}"/>
    <cellStyle name="CHPAboveAverage" xfId="2" xr:uid="{0CB632BF-BA63-C14E-8630-3D9C6868B6F7}"/>
    <cellStyle name="CHPBelowAverage" xfId="2" xr:uid="{9E1E5D71-7C09-2A44-8941-DF74EBBCC62A}"/>
    <cellStyle name="CHPBottom" xfId="2" xr:uid="{EEC8E843-E14E-EB47-BD48-D2F435FA7358}"/>
    <cellStyle name="CHPTop" xfId="2" xr:uid="{D18BD45E-586B-7643-B4CC-3BDAF71C5791}"/>
    <cellStyle name="ColumnHeaderNormal" xfId="3" xr:uid="{4AE79CA7-6B17-E242-A3D0-DEB05DADC295}"/>
    <cellStyle name="Invisible" xfId="4" xr:uid="{7763698F-42DC-2147-938F-5449C35617B3}"/>
    <cellStyle name="NewColumnHeaderNormal" xfId="5" xr:uid="{3BC84A2D-5E10-DB42-B920-9992096D45B2}"/>
    <cellStyle name="NewSectionHeaderNormal" xfId="6" xr:uid="{3E605821-053B-704B-B350-46564590C817}"/>
    <cellStyle name="NewTitleNormal" xfId="7" xr:uid="{BE04BDD7-26C4-3E40-AFBF-763892F2699F}"/>
    <cellStyle name="Normal" xfId="0" builtinId="0"/>
    <cellStyle name="Normal 2" xfId="8" xr:uid="{C8A72DE0-245A-E049-8EB3-D319DBF2284B}"/>
    <cellStyle name="Per cent" xfId="9" builtinId="5"/>
    <cellStyle name="Pourcentage 2" xfId="10" xr:uid="{39609210-3EE4-4A4A-90D8-8D208AEE4741}"/>
    <cellStyle name="SectionHeaderNormal" xfId="11" xr:uid="{A751651D-D63C-0D45-9AF9-2ED292DDB52E}"/>
    <cellStyle name="SubScript" xfId="12" xr:uid="{360C308C-5EDD-9D44-89D4-EDEED279F944}"/>
    <cellStyle name="SuperScript" xfId="13" xr:uid="{C80C4480-1D37-ED47-8F22-F7A7FF7B6DD8}"/>
    <cellStyle name="TextBold" xfId="14" xr:uid="{B12283FD-6743-FB4F-B032-DFDF9E7358B6}"/>
    <cellStyle name="TextItalic" xfId="15" xr:uid="{64356851-AA44-D843-8005-58BD06F23330}"/>
    <cellStyle name="TextNormal" xfId="16" xr:uid="{C4B600EB-112F-4143-B121-4DC826C4D582}"/>
    <cellStyle name="TitleNormal" xfId="17" xr:uid="{056B9D57-0D0C-7048-82C4-1580F646529D}"/>
    <cellStyle name="Total" xfId="1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1302E"/>
      <rgbColor rgb="00F1C671"/>
      <rgbColor rgb="008AC37F"/>
      <rgbColor rgb="00009933"/>
      <rgbColor rgb="00002060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0</xdr:col>
      <xdr:colOff>12700</xdr:colOff>
      <xdr:row>7</xdr:row>
      <xdr:rowOff>12700</xdr:rowOff>
    </xdr:to>
    <xdr:pic>
      <xdr:nvPicPr>
        <xdr:cNvPr id="41185" name="Picture 5">
          <a:extLst>
            <a:ext uri="{FF2B5EF4-FFF2-40B4-BE49-F238E27FC236}">
              <a16:creationId xmlns:a16="http://schemas.microsoft.com/office/drawing/2014/main" id="{104F2C24-8600-982D-F5E3-04320DF51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5442</xdr:colOff>
      <xdr:row>11</xdr:row>
      <xdr:rowOff>0</xdr:rowOff>
    </xdr:from>
    <xdr:to>
      <xdr:col>44</xdr:col>
      <xdr:colOff>331490</xdr:colOff>
      <xdr:row>11</xdr:row>
      <xdr:rowOff>0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3A4B5D1E-314B-AB4D-34B5-46319A555017}"/>
            </a:ext>
          </a:extLst>
        </xdr:cNvPr>
        <xdr:cNvSpPr/>
      </xdr:nvSpPr>
      <xdr:spPr bwMode="auto">
        <a:xfrm>
          <a:off x="5089071" y="9002486"/>
          <a:ext cx="293914" cy="1262743"/>
        </a:xfrm>
        <a:prstGeom prst="curvedLeft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ctr" upright="1">
          <a:noAutofit/>
        </a:bodyPr>
        <a:lstStyle/>
        <a:p>
          <a:pPr algn="l"/>
          <a:endParaRPr lang="fr-FR" sz="1100"/>
        </a:p>
      </xdr:txBody>
    </xdr:sp>
    <xdr:clientData/>
  </xdr:twoCellAnchor>
  <xdr:oneCellAnchor>
    <xdr:from>
      <xdr:col>40</xdr:col>
      <xdr:colOff>210343</xdr:colOff>
      <xdr:row>50</xdr:row>
      <xdr:rowOff>2706</xdr:rowOff>
    </xdr:from>
    <xdr:ext cx="1929796" cy="8721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ZoneTexte 29">
              <a:extLst>
                <a:ext uri="{FF2B5EF4-FFF2-40B4-BE49-F238E27FC236}">
                  <a16:creationId xmlns:a16="http://schemas.microsoft.com/office/drawing/2014/main" id="{EE59AEF6-BDED-9ED2-2CD7-9C3FB3BF982F}"/>
                </a:ext>
              </a:extLst>
            </xdr:cNvPr>
            <xdr:cNvSpPr txBox="1"/>
          </xdr:nvSpPr>
          <xdr:spPr>
            <a:xfrm>
              <a:off x="3405327" y="9567396"/>
              <a:ext cx="1148711" cy="2883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900" b="0" i="1" kern="1200">
                        <a:latin typeface="Cambria Math" panose="02040503050406030204" pitchFamily="18" charset="0"/>
                      </a:rPr>
                      <m:t>𝑇𝑉</m:t>
                    </m:r>
                    <m:r>
                      <a:rPr lang="fr-FR" sz="9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r-FR" sz="9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fr-FR" sz="900" b="0" i="1" kern="120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FR" sz="900" b="0" i="1" kern="120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𝐹𝐶𝐹</m:t>
                            </m:r>
                          </m:e>
                          <m:sub>
                            <m:r>
                              <a:rPr lang="fr-FR" sz="900" b="0" i="1" kern="120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(1+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fr-FR" sz="900" b="0" i="1" kern="120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fr-FR" sz="900" b="0" i="1" kern="1200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fr-FR" sz="900" b="0" i="1" kern="1200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a:rPr lang="fr-FR" sz="900" b="0" i="1" kern="1200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𝐾</m:t>
                                </m:r>
                              </m:e>
                            </m:d>
                          </m:e>
                          <m:sup>
                            <m:r>
                              <a:rPr lang="fr-FR" sz="900" b="0" i="1" kern="120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fr-FR" sz="900" kern="1200"/>
            </a:p>
          </xdr:txBody>
        </xdr:sp>
      </mc:Choice>
      <mc:Fallback xmlns="">
        <xdr:sp macro="" textlink="">
          <xdr:nvSpPr>
            <xdr:cNvPr id="30" name="ZoneTexte 29">
              <a:extLst>
                <a:ext uri="{FF2B5EF4-FFF2-40B4-BE49-F238E27FC236}">
                  <a16:creationId xmlns:a16="http://schemas.microsoft.com/office/drawing/2014/main" id="{EE59AEF6-BDED-9ED2-2CD7-9C3FB3BF982F}"/>
                </a:ext>
              </a:extLst>
            </xdr:cNvPr>
            <xdr:cNvSpPr txBox="1"/>
          </xdr:nvSpPr>
          <xdr:spPr>
            <a:xfrm>
              <a:off x="3405327" y="9567396"/>
              <a:ext cx="1148711" cy="2883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900" b="0" i="0" kern="1200">
                  <a:latin typeface="Cambria Math" panose="02040503050406030204" pitchFamily="18" charset="0"/>
                </a:rPr>
                <a:t>𝑇𝑉=(</a:t>
              </a:r>
              <a:r>
                <a:rPr lang="fr-FR" sz="900" b="0" i="0" kern="120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〖𝐹𝐶𝐹〗_𝑛 </a:t>
              </a:r>
              <a:r>
                <a:rPr lang="fr-FR" sz="900" b="0" i="0" kern="1200">
                  <a:latin typeface="Cambria Math" panose="02040503050406030204" pitchFamily="18" charset="0"/>
                </a:rPr>
                <a:t>(1+𝑔))/(</a:t>
              </a:r>
              <a:r>
                <a:rPr lang="fr-FR" sz="900" b="0" i="0" kern="120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(1+𝐾)^𝑛 </a:t>
              </a:r>
              <a:r>
                <a:rPr lang="fr-FR" sz="900" b="0" i="0" kern="1200">
                  <a:latin typeface="Cambria Math" panose="02040503050406030204" pitchFamily="18" charset="0"/>
                </a:rPr>
                <a:t>(𝐾−𝑔))</a:t>
              </a:r>
              <a:endParaRPr lang="fr-FR" sz="900" kern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0</xdr:col>
      <xdr:colOff>12700</xdr:colOff>
      <xdr:row>7</xdr:row>
      <xdr:rowOff>12700</xdr:rowOff>
    </xdr:to>
    <xdr:pic>
      <xdr:nvPicPr>
        <xdr:cNvPr id="43133" name="Picture 5">
          <a:extLst>
            <a:ext uri="{FF2B5EF4-FFF2-40B4-BE49-F238E27FC236}">
              <a16:creationId xmlns:a16="http://schemas.microsoft.com/office/drawing/2014/main" id="{D5AA5A96-7851-33DD-0BC3-E7FC9E745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5442</xdr:colOff>
      <xdr:row>11</xdr:row>
      <xdr:rowOff>0</xdr:rowOff>
    </xdr:from>
    <xdr:to>
      <xdr:col>44</xdr:col>
      <xdr:colOff>331490</xdr:colOff>
      <xdr:row>11</xdr:row>
      <xdr:rowOff>0</xdr:rowOff>
    </xdr:to>
    <xdr:sp macro="" textlink="">
      <xdr:nvSpPr>
        <xdr:cNvPr id="6" name="Arrow: Curved Left 1">
          <a:extLst>
            <a:ext uri="{FF2B5EF4-FFF2-40B4-BE49-F238E27FC236}">
              <a16:creationId xmlns:a16="http://schemas.microsoft.com/office/drawing/2014/main" id="{5CFB57DB-9B84-44A3-840D-A9BE965724FC}"/>
            </a:ext>
          </a:extLst>
        </xdr:cNvPr>
        <xdr:cNvSpPr/>
      </xdr:nvSpPr>
      <xdr:spPr bwMode="auto">
        <a:xfrm>
          <a:off x="6468155" y="7348538"/>
          <a:ext cx="313508" cy="0"/>
        </a:xfrm>
        <a:prstGeom prst="curvedLeft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ctr" upright="1">
          <a:noAutofit/>
        </a:bodyPr>
        <a:lstStyle/>
        <a:p>
          <a:pPr algn="l"/>
          <a:endParaRPr lang="fr-FR" sz="1100"/>
        </a:p>
      </xdr:txBody>
    </xdr:sp>
    <xdr:clientData/>
  </xdr:twoCellAnchor>
  <xdr:oneCellAnchor>
    <xdr:from>
      <xdr:col>39</xdr:col>
      <xdr:colOff>359114</xdr:colOff>
      <xdr:row>48</xdr:row>
      <xdr:rowOff>3946</xdr:rowOff>
    </xdr:from>
    <xdr:ext cx="1914740" cy="8968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81E6376C-73F9-18A0-65FD-459B3C60580F}"/>
                </a:ext>
              </a:extLst>
            </xdr:cNvPr>
            <xdr:cNvSpPr txBox="1"/>
          </xdr:nvSpPr>
          <xdr:spPr>
            <a:xfrm>
              <a:off x="6145908" y="9647294"/>
              <a:ext cx="1917338" cy="8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900" b="0" i="1" kern="1200">
                        <a:latin typeface="Cambria Math" panose="02040503050406030204" pitchFamily="18" charset="0"/>
                      </a:rPr>
                      <m:t>𝑇𝑉</m:t>
                    </m:r>
                    <m:r>
                      <a:rPr lang="fr-FR" sz="9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r-FR" sz="9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fr-FR" sz="900" b="0" i="1" kern="120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FR" sz="900" b="0" i="1" kern="120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𝐹𝐶𝐹</m:t>
                            </m:r>
                          </m:e>
                          <m:sub>
                            <m:r>
                              <a:rPr lang="fr-FR" sz="900" b="0" i="1" kern="120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(1+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fr-FR" sz="900" b="0" i="1" kern="120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fr-FR" sz="900" b="0" i="1" kern="1200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fr-FR" sz="900" b="0" i="1" kern="1200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a:rPr lang="fr-FR" sz="900" b="0" i="1" kern="1200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𝐾</m:t>
                                </m:r>
                              </m:e>
                            </m:d>
                          </m:e>
                          <m:sup>
                            <m:r>
                              <a:rPr lang="fr-FR" sz="900" b="0" i="1" kern="120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fr-FR" sz="9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fr-FR" sz="900" kern="1200"/>
            </a:p>
          </xdr:txBody>
        </xdr:sp>
      </mc:Choice>
      <mc:Fallback xmlns="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81E6376C-73F9-18A0-65FD-459B3C60580F}"/>
                </a:ext>
              </a:extLst>
            </xdr:cNvPr>
            <xdr:cNvSpPr txBox="1"/>
          </xdr:nvSpPr>
          <xdr:spPr>
            <a:xfrm>
              <a:off x="6145908" y="9647294"/>
              <a:ext cx="1917338" cy="8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900" b="0" i="0" kern="1200">
                  <a:latin typeface="Cambria Math" panose="02040503050406030204" pitchFamily="18" charset="0"/>
                </a:rPr>
                <a:t>𝑇𝑉=(</a:t>
              </a:r>
              <a:r>
                <a:rPr lang="fr-FR" sz="900" b="0" i="0" kern="120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〖𝐹𝐶𝐹〗_𝑛 </a:t>
              </a:r>
              <a:r>
                <a:rPr lang="fr-FR" sz="900" b="0" i="0" kern="1200">
                  <a:latin typeface="Cambria Math" panose="02040503050406030204" pitchFamily="18" charset="0"/>
                </a:rPr>
                <a:t>(1+𝑔))/(</a:t>
              </a:r>
              <a:r>
                <a:rPr lang="fr-FR" sz="900" b="0" i="0" kern="120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(1+𝐾)^𝑛 </a:t>
              </a:r>
              <a:r>
                <a:rPr lang="fr-FR" sz="900" b="0" i="0" kern="1200">
                  <a:latin typeface="Cambria Math" panose="02040503050406030204" pitchFamily="18" charset="0"/>
                </a:rPr>
                <a:t>(𝐾−𝑔))</a:t>
              </a:r>
              <a:endParaRPr lang="fr-FR" sz="900" kern="1200"/>
            </a:p>
          </xdr:txBody>
        </xdr:sp>
      </mc:Fallback>
    </mc:AlternateContent>
    <xdr:clientData/>
  </xdr:oneCellAnchor>
  <xdr:twoCellAnchor>
    <xdr:from>
      <xdr:col>39</xdr:col>
      <xdr:colOff>48597</xdr:colOff>
      <xdr:row>53</xdr:row>
      <xdr:rowOff>35378</xdr:rowOff>
    </xdr:from>
    <xdr:to>
      <xdr:col>39</xdr:col>
      <xdr:colOff>382025</xdr:colOff>
      <xdr:row>54</xdr:row>
      <xdr:rowOff>100658</xdr:rowOff>
    </xdr:to>
    <xdr:sp macro="" textlink="">
      <xdr:nvSpPr>
        <xdr:cNvPr id="2" name="Flèche : droite rayée 1">
          <a:extLst>
            <a:ext uri="{FF2B5EF4-FFF2-40B4-BE49-F238E27FC236}">
              <a16:creationId xmlns:a16="http://schemas.microsoft.com/office/drawing/2014/main" id="{D2AF80CD-DEEB-68BD-5F96-20BAADF2473F}"/>
            </a:ext>
          </a:extLst>
        </xdr:cNvPr>
        <xdr:cNvSpPr/>
      </xdr:nvSpPr>
      <xdr:spPr bwMode="auto">
        <a:xfrm>
          <a:off x="5860791" y="10714005"/>
          <a:ext cx="307780" cy="217066"/>
        </a:xfrm>
        <a:prstGeom prst="stripedRightArrow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ctr" upright="1">
          <a:noAutofit/>
        </a:bodyPr>
        <a:lstStyle/>
        <a:p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1D3F-C0F3-3C44-907E-105D6FD8CBD3}">
  <sheetPr>
    <tabColor rgb="FFFFC000"/>
    <outlinePr summaryBelow="0" summaryRight="0"/>
    <pageSetUpPr autoPageBreaks="0"/>
  </sheetPr>
  <dimension ref="A1:CE64906"/>
  <sheetViews>
    <sheetView topLeftCell="A37" zoomScale="174" zoomScaleNormal="174" workbookViewId="0">
      <selection activeCell="A70" sqref="A70"/>
    </sheetView>
  </sheetViews>
  <sheetFormatPr baseColWidth="10" defaultColWidth="9" defaultRowHeight="11" outlineLevelRow="2" outlineLevelCol="1" x14ac:dyDescent="0.15"/>
  <cols>
    <col min="1" max="1" width="22.6640625" customWidth="1" collapsed="1"/>
    <col min="2" max="28" width="20.83203125" hidden="1" customWidth="1" outlineLevel="1"/>
    <col min="29" max="29" width="0.83203125" hidden="1" customWidth="1" outlineLevel="1"/>
    <col min="30" max="31" width="8" customWidth="1"/>
    <col min="32" max="38" width="8" customWidth="1" outlineLevel="1"/>
    <col min="39" max="40" width="8" customWidth="1"/>
    <col min="41" max="41" width="7.83203125" customWidth="1"/>
    <col min="42" max="43" width="7.83203125" customWidth="1" outlineLevel="1"/>
    <col min="44" max="44" width="7.83203125" customWidth="1"/>
    <col min="45" max="45" width="7.1640625" customWidth="1"/>
    <col min="46" max="46" width="5" customWidth="1"/>
    <col min="47" max="81" width="20.83203125" customWidth="1"/>
    <col min="82" max="83" width="1.83203125" customWidth="1"/>
  </cols>
  <sheetData>
    <row r="1" spans="1:83" ht="14" x14ac:dyDescent="0.3">
      <c r="A1" s="20" t="s">
        <v>70</v>
      </c>
      <c r="B1" s="19">
        <v>1995</v>
      </c>
      <c r="C1" s="19">
        <v>1996</v>
      </c>
      <c r="D1" s="19">
        <v>1997</v>
      </c>
      <c r="E1" s="19">
        <v>1998</v>
      </c>
      <c r="F1" s="19">
        <v>1999</v>
      </c>
      <c r="G1" s="19">
        <v>2000</v>
      </c>
      <c r="H1" s="19">
        <v>2001</v>
      </c>
      <c r="I1" s="19">
        <v>2002</v>
      </c>
      <c r="J1" s="19">
        <v>2003</v>
      </c>
      <c r="K1" s="19">
        <v>2004</v>
      </c>
      <c r="L1" s="19">
        <v>2005</v>
      </c>
      <c r="M1" s="19">
        <v>2006</v>
      </c>
      <c r="N1" s="19">
        <v>2007</v>
      </c>
      <c r="O1" s="19">
        <v>2008</v>
      </c>
      <c r="P1" s="19">
        <v>2009</v>
      </c>
      <c r="Q1" s="19">
        <v>2010</v>
      </c>
      <c r="R1" s="19">
        <v>2011</v>
      </c>
      <c r="S1" s="19">
        <v>2012</v>
      </c>
      <c r="T1" s="19">
        <v>2013</v>
      </c>
      <c r="U1" s="19">
        <v>2014</v>
      </c>
      <c r="V1" s="19">
        <v>2015</v>
      </c>
      <c r="W1" s="19">
        <v>2016</v>
      </c>
      <c r="X1" s="19">
        <v>2017</v>
      </c>
      <c r="Y1" s="19">
        <v>2018</v>
      </c>
      <c r="Z1" s="19">
        <v>2019</v>
      </c>
      <c r="AA1" s="19">
        <v>2020</v>
      </c>
      <c r="AB1" s="19">
        <v>2021</v>
      </c>
      <c r="AC1" s="19">
        <v>2022</v>
      </c>
      <c r="AD1" s="19">
        <v>2023</v>
      </c>
      <c r="AE1" s="19">
        <v>2024</v>
      </c>
      <c r="AF1" s="19">
        <v>2025</v>
      </c>
      <c r="AG1" s="19">
        <v>2026</v>
      </c>
      <c r="AH1" s="19">
        <v>2027</v>
      </c>
      <c r="AI1" s="19">
        <v>2028</v>
      </c>
      <c r="AJ1" s="19">
        <v>2029</v>
      </c>
      <c r="AK1" s="19">
        <v>2030</v>
      </c>
      <c r="AL1" s="19">
        <v>2031</v>
      </c>
      <c r="AM1" s="19">
        <v>2032</v>
      </c>
      <c r="AN1" s="19">
        <v>2033</v>
      </c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</row>
    <row r="2" spans="1:83" x14ac:dyDescent="0.15">
      <c r="A2" s="1" t="s">
        <v>6</v>
      </c>
      <c r="B2" s="98" t="s">
        <v>0</v>
      </c>
      <c r="C2" s="98" t="s">
        <v>0</v>
      </c>
      <c r="D2" s="99">
        <v>10427.74713</v>
      </c>
      <c r="E2" s="99">
        <v>11497.9</v>
      </c>
      <c r="F2" s="99">
        <v>10751</v>
      </c>
      <c r="G2" s="99">
        <v>12700</v>
      </c>
      <c r="H2" s="99">
        <v>13740</v>
      </c>
      <c r="I2" s="99">
        <v>14288</v>
      </c>
      <c r="J2" s="99">
        <v>14029</v>
      </c>
      <c r="K2" s="99">
        <v>14533.9</v>
      </c>
      <c r="L2" s="99">
        <v>14532.5</v>
      </c>
      <c r="M2" s="99">
        <v>15790.1</v>
      </c>
      <c r="N2" s="99">
        <v>17062.599999999999</v>
      </c>
      <c r="O2" s="99">
        <v>17541.8</v>
      </c>
      <c r="P2" s="99">
        <v>17472.599999999999</v>
      </c>
      <c r="Q2" s="99">
        <v>19495.8</v>
      </c>
      <c r="R2" s="99">
        <v>20343.099999999999</v>
      </c>
      <c r="S2" s="99">
        <v>22462.7</v>
      </c>
      <c r="T2" s="99">
        <v>22976.6</v>
      </c>
      <c r="U2" s="99">
        <v>22532</v>
      </c>
      <c r="V2" s="99">
        <v>25257.4</v>
      </c>
      <c r="W2" s="99">
        <v>25837.1</v>
      </c>
      <c r="X2" s="99">
        <v>26023.7</v>
      </c>
      <c r="Y2" s="99">
        <v>26937.4</v>
      </c>
      <c r="Z2" s="99">
        <v>29873.599999999999</v>
      </c>
      <c r="AA2" s="99">
        <v>27992.1</v>
      </c>
      <c r="AB2" s="99">
        <v>32287.599999999999</v>
      </c>
      <c r="AC2" s="99">
        <v>38260.6</v>
      </c>
      <c r="AD2" s="100">
        <v>41182.5</v>
      </c>
      <c r="AE2" s="100">
        <v>43886.583910000001</v>
      </c>
      <c r="AF2" s="100">
        <v>46523.352449999998</v>
      </c>
      <c r="AG2" s="100">
        <v>49491.281360000001</v>
      </c>
      <c r="AH2" s="100">
        <v>53979.932280000001</v>
      </c>
      <c r="AI2" s="100">
        <v>57012.380649999999</v>
      </c>
      <c r="AJ2" s="100">
        <v>62728.5</v>
      </c>
      <c r="AK2" s="100">
        <v>67219.5</v>
      </c>
      <c r="AL2" s="100">
        <v>71981</v>
      </c>
      <c r="AM2" s="100">
        <v>77026</v>
      </c>
      <c r="AN2" s="100">
        <v>82389.5</v>
      </c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</row>
    <row r="3" spans="1:83" x14ac:dyDescent="0.15">
      <c r="A3" s="1" t="s">
        <v>5</v>
      </c>
      <c r="B3" s="98" t="s">
        <v>0</v>
      </c>
      <c r="C3" s="98" t="s">
        <v>0</v>
      </c>
      <c r="D3" s="98" t="s">
        <v>0</v>
      </c>
      <c r="E3" s="98" t="s">
        <v>0</v>
      </c>
      <c r="F3" s="99">
        <v>1522.8</v>
      </c>
      <c r="G3" s="99">
        <v>1866.8</v>
      </c>
      <c r="H3" s="99">
        <v>2098.5</v>
      </c>
      <c r="I3" s="99">
        <v>2340.6</v>
      </c>
      <c r="J3" s="99">
        <v>2414.4</v>
      </c>
      <c r="K3" s="99">
        <v>2595.8000000000002</v>
      </c>
      <c r="L3" s="99">
        <v>2763</v>
      </c>
      <c r="M3" s="99">
        <v>3120.3</v>
      </c>
      <c r="N3" s="99">
        <v>3425.7</v>
      </c>
      <c r="O3" s="99">
        <v>3430.7</v>
      </c>
      <c r="P3" s="99">
        <v>3411.6</v>
      </c>
      <c r="Q3" s="99">
        <v>3791.1</v>
      </c>
      <c r="R3" s="99">
        <v>3906.9</v>
      </c>
      <c r="S3" s="99">
        <v>4388.8999999999996</v>
      </c>
      <c r="T3" s="99">
        <v>4714.8999999999996</v>
      </c>
      <c r="U3" s="99">
        <v>4746.8999999999996</v>
      </c>
      <c r="V3" s="99">
        <v>5321.5</v>
      </c>
      <c r="W3" s="99">
        <v>5964.4</v>
      </c>
      <c r="X3" s="99">
        <v>5894.9</v>
      </c>
      <c r="Y3" s="99">
        <v>6031.3</v>
      </c>
      <c r="Z3" s="99">
        <v>7505.8</v>
      </c>
      <c r="AA3" s="99">
        <v>7237.1</v>
      </c>
      <c r="AB3" s="99">
        <v>7941.3</v>
      </c>
      <c r="AC3" s="99">
        <v>8993</v>
      </c>
      <c r="AD3" s="100">
        <v>9858.2999999999993</v>
      </c>
      <c r="AE3" s="100">
        <v>10385.79262</v>
      </c>
      <c r="AF3" s="100">
        <v>11136.478660000001</v>
      </c>
      <c r="AG3" s="100">
        <v>11948.048210000001</v>
      </c>
      <c r="AH3" s="100">
        <v>12515.15791</v>
      </c>
      <c r="AI3" s="100">
        <v>13437.30098</v>
      </c>
      <c r="AJ3" s="100">
        <v>15725</v>
      </c>
      <c r="AK3" s="100">
        <v>17123</v>
      </c>
      <c r="AL3" s="100">
        <v>18342</v>
      </c>
      <c r="AM3" s="100">
        <v>19879</v>
      </c>
      <c r="AN3" s="100">
        <v>21417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</row>
    <row r="4" spans="1:83" x14ac:dyDescent="0.15">
      <c r="A4" s="1" t="s">
        <v>4</v>
      </c>
      <c r="B4" s="98" t="s">
        <v>0</v>
      </c>
      <c r="C4" s="98" t="s">
        <v>0</v>
      </c>
      <c r="D4" s="98" t="s">
        <v>0</v>
      </c>
      <c r="E4" s="98" t="s">
        <v>0</v>
      </c>
      <c r="F4" s="99">
        <v>1229.9000000000001</v>
      </c>
      <c r="G4" s="99">
        <v>1481.3</v>
      </c>
      <c r="H4" s="99">
        <v>1626</v>
      </c>
      <c r="I4" s="99">
        <v>1840.6</v>
      </c>
      <c r="J4" s="99">
        <v>1963.8</v>
      </c>
      <c r="K4" s="99">
        <v>2115.9</v>
      </c>
      <c r="L4" s="99">
        <v>2266</v>
      </c>
      <c r="M4" s="99">
        <v>2540.9</v>
      </c>
      <c r="N4" s="99">
        <v>2827.2</v>
      </c>
      <c r="O4" s="99">
        <v>2724.6</v>
      </c>
      <c r="P4" s="99">
        <v>2577.6</v>
      </c>
      <c r="Q4" s="99">
        <v>3056.9</v>
      </c>
      <c r="R4" s="99">
        <v>3292.6</v>
      </c>
      <c r="S4" s="99">
        <v>3697.3</v>
      </c>
      <c r="T4" s="99">
        <v>3874.8</v>
      </c>
      <c r="U4" s="99">
        <v>3890.7</v>
      </c>
      <c r="V4" s="99">
        <v>4387.7</v>
      </c>
      <c r="W4" s="99">
        <v>4539.8999999999996</v>
      </c>
      <c r="X4" s="99">
        <v>4676.3</v>
      </c>
      <c r="Y4" s="99">
        <v>4922</v>
      </c>
      <c r="Z4" s="99">
        <v>5547.5</v>
      </c>
      <c r="AA4" s="99">
        <v>5209</v>
      </c>
      <c r="AB4" s="99">
        <v>6160.3</v>
      </c>
      <c r="AC4" s="99">
        <v>7456.9</v>
      </c>
      <c r="AD4" s="100">
        <v>8143.3</v>
      </c>
      <c r="AE4" s="100">
        <v>8799.1585400000004</v>
      </c>
      <c r="AF4" s="100">
        <v>9492.3680600000007</v>
      </c>
      <c r="AG4" s="100">
        <v>10228.533030000001</v>
      </c>
      <c r="AH4" s="100">
        <v>11320.46667</v>
      </c>
      <c r="AI4" s="100">
        <v>12367.6</v>
      </c>
      <c r="AJ4" s="100">
        <v>13431.5</v>
      </c>
      <c r="AK4" s="100">
        <v>14644.25</v>
      </c>
      <c r="AL4" s="100">
        <v>15930.15</v>
      </c>
      <c r="AM4" s="100">
        <v>17330.849999999999</v>
      </c>
      <c r="AN4" s="100">
        <v>18797.650000000001</v>
      </c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</row>
    <row r="5" spans="1:83" x14ac:dyDescent="0.15">
      <c r="A5" s="1" t="s">
        <v>3</v>
      </c>
      <c r="B5" s="98" t="s">
        <v>0</v>
      </c>
      <c r="C5" s="98" t="s">
        <v>0</v>
      </c>
      <c r="D5" s="98" t="s">
        <v>0</v>
      </c>
      <c r="E5" s="98" t="s">
        <v>0</v>
      </c>
      <c r="F5" s="98" t="s">
        <v>0</v>
      </c>
      <c r="G5" s="98" t="s">
        <v>0</v>
      </c>
      <c r="H5" s="98" t="s">
        <v>0</v>
      </c>
      <c r="I5" s="98" t="s">
        <v>0</v>
      </c>
      <c r="J5" s="98" t="s">
        <v>0</v>
      </c>
      <c r="K5" s="98" t="s">
        <v>0</v>
      </c>
      <c r="L5" s="98" t="s">
        <v>0</v>
      </c>
      <c r="M5" s="98" t="s">
        <v>0</v>
      </c>
      <c r="N5" s="98" t="s">
        <v>0</v>
      </c>
      <c r="O5" s="98" t="s">
        <v>0</v>
      </c>
      <c r="P5" s="98" t="s">
        <v>0</v>
      </c>
      <c r="Q5" s="99">
        <v>734.2</v>
      </c>
      <c r="R5" s="99">
        <v>614.29999999999995</v>
      </c>
      <c r="S5" s="99">
        <v>691.6</v>
      </c>
      <c r="T5" s="99">
        <v>840.1</v>
      </c>
      <c r="U5" s="99">
        <v>856.2</v>
      </c>
      <c r="V5" s="99">
        <v>933.8</v>
      </c>
      <c r="W5" s="99">
        <v>1424.5</v>
      </c>
      <c r="X5" s="99">
        <v>1218.5</v>
      </c>
      <c r="Y5" s="99">
        <v>1109.3</v>
      </c>
      <c r="Z5" s="99">
        <v>1958.3</v>
      </c>
      <c r="AA5" s="99">
        <v>2028.1</v>
      </c>
      <c r="AB5" s="99">
        <v>1781</v>
      </c>
      <c r="AC5" s="99">
        <v>1536.1</v>
      </c>
      <c r="AD5" s="100">
        <v>1715</v>
      </c>
      <c r="AE5" s="100">
        <v>1724.93256</v>
      </c>
      <c r="AF5" s="100">
        <v>1782.2378900000001</v>
      </c>
      <c r="AG5" s="100">
        <v>1840.9936700000001</v>
      </c>
      <c r="AH5" s="100">
        <v>2449</v>
      </c>
      <c r="AI5" s="100">
        <v>2643</v>
      </c>
      <c r="AJ5" s="100">
        <v>2849.3</v>
      </c>
      <c r="AK5" s="100">
        <v>2725.9</v>
      </c>
      <c r="AL5" s="100">
        <v>2936.5</v>
      </c>
      <c r="AM5" s="100">
        <v>3166.2</v>
      </c>
      <c r="AN5" s="100">
        <v>2989.8</v>
      </c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</row>
    <row r="6" spans="1:83" x14ac:dyDescent="0.15">
      <c r="A6" s="1" t="s">
        <v>2</v>
      </c>
      <c r="B6" s="98" t="s">
        <v>0</v>
      </c>
      <c r="C6" s="98" t="s">
        <v>0</v>
      </c>
      <c r="D6" s="98" t="s">
        <v>0</v>
      </c>
      <c r="E6" s="98" t="s">
        <v>0</v>
      </c>
      <c r="F6" s="98" t="s">
        <v>0</v>
      </c>
      <c r="G6" s="98" t="s">
        <v>0</v>
      </c>
      <c r="H6" s="98" t="s">
        <v>0</v>
      </c>
      <c r="I6" s="98" t="s">
        <v>0</v>
      </c>
      <c r="J6" s="98" t="s">
        <v>0</v>
      </c>
      <c r="K6" s="98" t="s">
        <v>0</v>
      </c>
      <c r="L6" s="99">
        <v>-662</v>
      </c>
      <c r="M6" s="99">
        <v>-745.2</v>
      </c>
      <c r="N6" s="99">
        <v>-776</v>
      </c>
      <c r="O6" s="99">
        <v>-745.9</v>
      </c>
      <c r="P6" s="99">
        <v>-628</v>
      </c>
      <c r="Q6" s="99">
        <v>-677.9</v>
      </c>
      <c r="R6" s="99">
        <v>-865.7</v>
      </c>
      <c r="S6" s="99">
        <v>-955</v>
      </c>
      <c r="T6" s="99">
        <v>-1060.5</v>
      </c>
      <c r="U6" s="99">
        <v>-1008.2</v>
      </c>
      <c r="V6" s="99">
        <v>-1172</v>
      </c>
      <c r="W6" s="99">
        <v>-1386.5</v>
      </c>
      <c r="X6" s="99">
        <v>-1263.5</v>
      </c>
      <c r="Y6" s="99">
        <v>-1416.1</v>
      </c>
      <c r="Z6" s="99">
        <v>-1231</v>
      </c>
      <c r="AA6" s="99">
        <v>-972.4</v>
      </c>
      <c r="AB6" s="99">
        <v>-1075.2</v>
      </c>
      <c r="AC6" s="99">
        <v>-1334</v>
      </c>
      <c r="AD6" s="100">
        <v>1475.9</v>
      </c>
      <c r="AE6" s="100">
        <v>1655.1635200000001</v>
      </c>
      <c r="AF6" s="100">
        <v>1752.5326399999999</v>
      </c>
      <c r="AG6" s="100">
        <v>1850.9856</v>
      </c>
      <c r="AH6" s="100">
        <v>1969.6714300000001</v>
      </c>
      <c r="AI6" s="100">
        <v>2045.70174</v>
      </c>
      <c r="AJ6" s="100">
        <v>2222.6999999999998</v>
      </c>
      <c r="AK6" s="100">
        <v>2475.6333300000001</v>
      </c>
      <c r="AL6" s="100">
        <v>2631.8333299999999</v>
      </c>
      <c r="AM6" s="100">
        <v>2823.73333</v>
      </c>
      <c r="AN6" s="100">
        <v>3029.6333300000001</v>
      </c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</row>
    <row r="7" spans="1:83" x14ac:dyDescent="0.15">
      <c r="A7" s="1" t="s">
        <v>1</v>
      </c>
      <c r="B7" s="98" t="s">
        <v>0</v>
      </c>
      <c r="C7" s="98" t="s">
        <v>0</v>
      </c>
      <c r="D7" s="98" t="s">
        <v>0</v>
      </c>
      <c r="E7" s="98" t="s">
        <v>0</v>
      </c>
      <c r="F7" s="98" t="s">
        <v>0</v>
      </c>
      <c r="G7" s="98" t="s">
        <v>0</v>
      </c>
      <c r="H7" s="98" t="s">
        <v>0</v>
      </c>
      <c r="I7" s="98" t="s">
        <v>0</v>
      </c>
      <c r="J7" s="98" t="s">
        <v>0</v>
      </c>
      <c r="K7" s="98" t="s">
        <v>0</v>
      </c>
      <c r="L7" s="98" t="s">
        <v>0</v>
      </c>
      <c r="M7" s="98" t="s">
        <v>0</v>
      </c>
      <c r="N7" s="98" t="s">
        <v>0</v>
      </c>
      <c r="O7" s="98" t="s">
        <v>0</v>
      </c>
      <c r="P7" s="98" t="s">
        <v>0</v>
      </c>
      <c r="Q7" s="99">
        <v>28.87</v>
      </c>
      <c r="R7" s="99">
        <v>27.4</v>
      </c>
      <c r="S7" s="99">
        <v>25.6</v>
      </c>
      <c r="T7" s="99">
        <v>26.413879999999999</v>
      </c>
      <c r="U7" s="99">
        <v>28.557500000000001</v>
      </c>
      <c r="V7" s="99">
        <v>27.07</v>
      </c>
      <c r="W7" s="99">
        <v>25</v>
      </c>
      <c r="X7" s="99">
        <v>25.075399999999998</v>
      </c>
      <c r="Y7" s="99">
        <v>24.4544</v>
      </c>
      <c r="Z7" s="99">
        <v>25.4</v>
      </c>
      <c r="AA7" s="99">
        <v>25.2</v>
      </c>
      <c r="AB7" s="99">
        <v>23.902999999999999</v>
      </c>
      <c r="AC7" s="99">
        <v>22.839700000000001</v>
      </c>
      <c r="AD7" s="101">
        <v>23.167000000000002</v>
      </c>
      <c r="AE7" s="101">
        <v>24.43</v>
      </c>
      <c r="AF7" s="101">
        <v>24.20909</v>
      </c>
      <c r="AG7" s="101">
        <v>24.1</v>
      </c>
      <c r="AH7" s="101">
        <v>24.34</v>
      </c>
      <c r="AI7" s="101">
        <v>24.54</v>
      </c>
      <c r="AJ7" s="101">
        <v>25.33333</v>
      </c>
      <c r="AK7" s="101">
        <v>25.66667</v>
      </c>
      <c r="AL7" s="101">
        <v>26</v>
      </c>
      <c r="AM7" s="101">
        <v>26</v>
      </c>
      <c r="AN7" s="101">
        <v>26</v>
      </c>
      <c r="AO7" s="15"/>
      <c r="AP7" s="15"/>
      <c r="AQ7" s="15"/>
      <c r="AR7" s="15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</row>
    <row r="8" spans="1:83" x14ac:dyDescent="0.1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25" t="s">
        <v>33</v>
      </c>
      <c r="AE8" s="27" t="s">
        <v>34</v>
      </c>
      <c r="AF8" s="27"/>
      <c r="AG8" s="27"/>
      <c r="AH8" s="27"/>
      <c r="AI8" s="27"/>
      <c r="AJ8" s="27"/>
      <c r="AK8" s="27"/>
      <c r="AL8" s="27"/>
      <c r="AM8" s="27"/>
      <c r="AN8" s="27"/>
      <c r="AO8" s="29" t="s">
        <v>35</v>
      </c>
      <c r="AP8" s="29"/>
      <c r="AQ8" s="29"/>
      <c r="AR8" s="29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</row>
    <row r="9" spans="1:83" ht="14" x14ac:dyDescent="0.3">
      <c r="A9" s="20" t="s">
        <v>70</v>
      </c>
      <c r="B9" s="19">
        <v>1995</v>
      </c>
      <c r="C9" s="19">
        <v>1996</v>
      </c>
      <c r="D9" s="19">
        <v>1997</v>
      </c>
      <c r="E9" s="19">
        <v>1998</v>
      </c>
      <c r="F9" s="19">
        <v>1999</v>
      </c>
      <c r="G9" s="19">
        <v>2000</v>
      </c>
      <c r="H9" s="19">
        <v>2001</v>
      </c>
      <c r="I9" s="19">
        <v>2002</v>
      </c>
      <c r="J9" s="19">
        <v>2003</v>
      </c>
      <c r="K9" s="19">
        <v>2004</v>
      </c>
      <c r="L9" s="19">
        <v>2005</v>
      </c>
      <c r="M9" s="19">
        <v>2006</v>
      </c>
      <c r="N9" s="19">
        <v>2007</v>
      </c>
      <c r="O9" s="19">
        <v>2008</v>
      </c>
      <c r="P9" s="19">
        <v>2009</v>
      </c>
      <c r="Q9" s="19">
        <v>2010</v>
      </c>
      <c r="R9" s="19">
        <v>2011</v>
      </c>
      <c r="S9" s="19">
        <v>2012</v>
      </c>
      <c r="T9" s="19">
        <v>2013</v>
      </c>
      <c r="U9" s="19">
        <v>2014</v>
      </c>
      <c r="V9" s="19">
        <v>2015</v>
      </c>
      <c r="W9" s="19">
        <v>2016</v>
      </c>
      <c r="X9" s="19">
        <v>2017</v>
      </c>
      <c r="Y9" s="19">
        <v>2018</v>
      </c>
      <c r="Z9" s="19">
        <v>2019</v>
      </c>
      <c r="AA9" s="19">
        <v>2020</v>
      </c>
      <c r="AB9" s="19">
        <v>2021</v>
      </c>
      <c r="AC9" s="19">
        <v>2022</v>
      </c>
      <c r="AD9" s="26">
        <v>2023</v>
      </c>
      <c r="AE9" s="28">
        <v>2024</v>
      </c>
      <c r="AF9" s="28">
        <v>2025</v>
      </c>
      <c r="AG9" s="28">
        <v>2026</v>
      </c>
      <c r="AH9" s="28">
        <v>2027</v>
      </c>
      <c r="AI9" s="28">
        <v>2028</v>
      </c>
      <c r="AJ9" s="28">
        <v>2029</v>
      </c>
      <c r="AK9" s="28">
        <v>2030</v>
      </c>
      <c r="AL9" s="28">
        <v>2031</v>
      </c>
      <c r="AM9" s="28">
        <v>2032</v>
      </c>
      <c r="AN9" s="28">
        <v>2033</v>
      </c>
      <c r="AO9" s="30">
        <v>2034</v>
      </c>
      <c r="AP9" s="30">
        <v>2035</v>
      </c>
      <c r="AQ9" s="30">
        <v>2036</v>
      </c>
      <c r="AR9" s="30">
        <v>2037</v>
      </c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</row>
    <row r="10" spans="1:83" ht="12" outlineLevel="1" thickBot="1" x14ac:dyDescent="0.2">
      <c r="A10" t="s">
        <v>38</v>
      </c>
      <c r="AD10" s="2">
        <f t="shared" ref="AD10:AN10" si="0">AD2</f>
        <v>41182.5</v>
      </c>
      <c r="AE10" s="2">
        <f t="shared" si="0"/>
        <v>43886.583910000001</v>
      </c>
      <c r="AF10" s="2">
        <f t="shared" si="0"/>
        <v>46523.352449999998</v>
      </c>
      <c r="AG10" s="2">
        <f t="shared" si="0"/>
        <v>49491.281360000001</v>
      </c>
      <c r="AH10" s="2">
        <f t="shared" si="0"/>
        <v>53979.932280000001</v>
      </c>
      <c r="AI10" s="2">
        <f t="shared" si="0"/>
        <v>57012.380649999999</v>
      </c>
      <c r="AJ10" s="2">
        <f t="shared" si="0"/>
        <v>62728.5</v>
      </c>
      <c r="AK10" s="2">
        <f t="shared" si="0"/>
        <v>67219.5</v>
      </c>
      <c r="AL10" s="2">
        <f t="shared" si="0"/>
        <v>71981</v>
      </c>
      <c r="AM10" s="2">
        <f t="shared" si="0"/>
        <v>77026</v>
      </c>
      <c r="AN10" s="2">
        <f t="shared" si="0"/>
        <v>82389.5</v>
      </c>
      <c r="AO10" s="2">
        <f>+AN10*(1+AO11)</f>
        <v>87757.114046769595</v>
      </c>
      <c r="AP10" s="2">
        <f>+AO10*(1+AP11)</f>
        <v>93081.001692573176</v>
      </c>
      <c r="AQ10" s="2">
        <f>+AP10*(1+AQ11)</f>
        <v>98310.579334990791</v>
      </c>
      <c r="AR10" s="2">
        <f>+AQ10*(1+AR11)</f>
        <v>103393.23628660983</v>
      </c>
    </row>
    <row r="11" spans="1:83" ht="12" outlineLevel="1" thickBot="1" x14ac:dyDescent="0.2">
      <c r="A11" t="s">
        <v>32</v>
      </c>
      <c r="AE11" s="5">
        <f>AE10/AD10-1</f>
        <v>6.5660994597219746E-2</v>
      </c>
      <c r="AF11" s="5">
        <f t="shared" ref="AF11:AN11" si="1">AF10/AE10-1</f>
        <v>6.0081425918392828E-2</v>
      </c>
      <c r="AG11" s="5">
        <f t="shared" si="1"/>
        <v>6.3794390423383973E-2</v>
      </c>
      <c r="AH11" s="5">
        <f t="shared" si="1"/>
        <v>9.0695791190967823E-2</v>
      </c>
      <c r="AI11" s="5">
        <f t="shared" si="1"/>
        <v>5.6177328164665807E-2</v>
      </c>
      <c r="AJ11" s="5">
        <f t="shared" si="1"/>
        <v>0.10026101848107971</v>
      </c>
      <c r="AK11" s="5">
        <f t="shared" si="1"/>
        <v>7.1594251416820187E-2</v>
      </c>
      <c r="AL11" s="5">
        <f t="shared" si="1"/>
        <v>7.0835099933798995E-2</v>
      </c>
      <c r="AM11" s="5">
        <f t="shared" si="1"/>
        <v>7.0087939873022087E-2</v>
      </c>
      <c r="AN11" s="16">
        <f t="shared" si="1"/>
        <v>6.96323319398644E-2</v>
      </c>
      <c r="AO11" s="23">
        <f>AN11-($AN11-$AR11)/4</f>
        <v>6.5149248954898306E-2</v>
      </c>
      <c r="AP11" s="23">
        <f>AO11-($AN11-$AR11)/4</f>
        <v>6.0666165969932205E-2</v>
      </c>
      <c r="AQ11" s="23">
        <f>AP11-($AN11-$AR11)/4</f>
        <v>5.6183082984966104E-2</v>
      </c>
      <c r="AR11" s="16">
        <f>AR50</f>
        <v>5.1700000000000003E-2</v>
      </c>
      <c r="AT11" s="59">
        <v>5.2015295068818503E-2</v>
      </c>
    </row>
    <row r="12" spans="1:83" outlineLevel="2" x14ac:dyDescent="0.15">
      <c r="AO12" s="31"/>
      <c r="AP12" s="31"/>
      <c r="AQ12" s="31"/>
      <c r="AR12" s="31"/>
    </row>
    <row r="13" spans="1:83" ht="12" outlineLevel="2" thickBot="1" x14ac:dyDescent="0.2">
      <c r="A13" t="s">
        <v>5</v>
      </c>
      <c r="AD13" s="2">
        <f t="shared" ref="AD13:AN13" si="2">AD3</f>
        <v>9858.2999999999993</v>
      </c>
      <c r="AE13" s="2">
        <f t="shared" si="2"/>
        <v>10385.79262</v>
      </c>
      <c r="AF13" s="2">
        <f t="shared" si="2"/>
        <v>11136.478660000001</v>
      </c>
      <c r="AG13" s="2">
        <f t="shared" si="2"/>
        <v>11948.048210000001</v>
      </c>
      <c r="AH13" s="2">
        <f t="shared" si="2"/>
        <v>12515.15791</v>
      </c>
      <c r="AI13" s="2">
        <f t="shared" si="2"/>
        <v>13437.30098</v>
      </c>
      <c r="AJ13" s="2">
        <f t="shared" si="2"/>
        <v>15725</v>
      </c>
      <c r="AK13" s="2">
        <f t="shared" si="2"/>
        <v>17123</v>
      </c>
      <c r="AL13" s="2">
        <f t="shared" si="2"/>
        <v>18342</v>
      </c>
      <c r="AM13" s="2">
        <f t="shared" si="2"/>
        <v>19879</v>
      </c>
      <c r="AN13" s="2">
        <f t="shared" si="2"/>
        <v>21417</v>
      </c>
      <c r="AO13" s="2">
        <f>+AO14*AO10</f>
        <v>22812.301464867058</v>
      </c>
      <c r="AP13" s="2">
        <f>+AP14*AP10</f>
        <v>24196.236331690805</v>
      </c>
      <c r="AQ13" s="2">
        <f>+AQ14*AQ10</f>
        <v>25555.655485438045</v>
      </c>
      <c r="AR13" s="2">
        <f>+AR14*AR10</f>
        <v>26876.882874035193</v>
      </c>
    </row>
    <row r="14" spans="1:83" ht="12" outlineLevel="2" thickBot="1" x14ac:dyDescent="0.2">
      <c r="A14" t="s">
        <v>31</v>
      </c>
      <c r="AD14" s="9">
        <f>AD13/AD10</f>
        <v>0.23938080495356034</v>
      </c>
      <c r="AE14" s="9">
        <f t="shared" ref="AE14:AN14" si="3">AE13/AE10</f>
        <v>0.23665074140421971</v>
      </c>
      <c r="AF14" s="9">
        <f t="shared" si="3"/>
        <v>0.23937395036113743</v>
      </c>
      <c r="AG14" s="9">
        <f t="shared" si="3"/>
        <v>0.2414172331302113</v>
      </c>
      <c r="AH14" s="9">
        <f t="shared" si="3"/>
        <v>0.23184834403056423</v>
      </c>
      <c r="AI14" s="9">
        <f t="shared" si="3"/>
        <v>0.23569092935255284</v>
      </c>
      <c r="AJ14" s="9">
        <f t="shared" si="3"/>
        <v>0.25068350111990562</v>
      </c>
      <c r="AK14" s="9">
        <f t="shared" si="3"/>
        <v>0.25473262966847415</v>
      </c>
      <c r="AL14" s="9">
        <f t="shared" si="3"/>
        <v>0.25481724343924089</v>
      </c>
      <c r="AM14" s="9">
        <f t="shared" si="3"/>
        <v>0.25808168670319115</v>
      </c>
      <c r="AN14" s="18">
        <f t="shared" si="3"/>
        <v>0.25994817300748274</v>
      </c>
      <c r="AO14" s="24">
        <f>+AN14</f>
        <v>0.25994817300748274</v>
      </c>
      <c r="AP14" s="24">
        <f>+AO14</f>
        <v>0.25994817300748274</v>
      </c>
      <c r="AQ14" s="24">
        <f>+AP14</f>
        <v>0.25994817300748274</v>
      </c>
      <c r="AR14" s="24">
        <f>+AQ14</f>
        <v>0.25994817300748274</v>
      </c>
    </row>
    <row r="15" spans="1:83" outlineLevel="2" x14ac:dyDescent="0.15"/>
    <row r="16" spans="1:83" ht="12" outlineLevel="2" thickBot="1" x14ac:dyDescent="0.2">
      <c r="A16" s="37" t="s">
        <v>76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8">
        <f>AD5</f>
        <v>1715</v>
      </c>
      <c r="AE16" s="38">
        <f t="shared" ref="AE16:AN16" si="4">AE5</f>
        <v>1724.93256</v>
      </c>
      <c r="AF16" s="38">
        <f t="shared" si="4"/>
        <v>1782.2378900000001</v>
      </c>
      <c r="AG16" s="38">
        <f t="shared" si="4"/>
        <v>1840.9936700000001</v>
      </c>
      <c r="AH16" s="38">
        <f t="shared" si="4"/>
        <v>2449</v>
      </c>
      <c r="AI16" s="38">
        <f t="shared" si="4"/>
        <v>2643</v>
      </c>
      <c r="AJ16" s="38">
        <f t="shared" si="4"/>
        <v>2849.3</v>
      </c>
      <c r="AK16" s="38">
        <f t="shared" si="4"/>
        <v>2725.9</v>
      </c>
      <c r="AL16" s="38">
        <f t="shared" si="4"/>
        <v>2936.5</v>
      </c>
      <c r="AM16" s="38">
        <f t="shared" si="4"/>
        <v>3166.2</v>
      </c>
      <c r="AN16" s="38">
        <f t="shared" si="4"/>
        <v>2989.8</v>
      </c>
      <c r="AO16" s="38">
        <f>+AO17*AO10</f>
        <v>3184.583224525355</v>
      </c>
      <c r="AP16" s="38">
        <f>+AP17*AP10</f>
        <v>3377.7796789694717</v>
      </c>
      <c r="AQ16" s="38">
        <f>+AQ17*AQ10</f>
        <v>3567.553754977946</v>
      </c>
      <c r="AR16" s="38">
        <f>+AR17*AR10</f>
        <v>3751.9962841103061</v>
      </c>
    </row>
    <row r="17" spans="1:44" ht="12" outlineLevel="2" thickBot="1" x14ac:dyDescent="0.2">
      <c r="A17" t="s">
        <v>77</v>
      </c>
      <c r="AD17" s="32">
        <f>AD16/AD10</f>
        <v>4.16439021429005E-2</v>
      </c>
      <c r="AE17" s="32">
        <f t="shared" ref="AE17:AN17" si="5">AE16/AE10</f>
        <v>3.930432506520419E-2</v>
      </c>
      <c r="AF17" s="32">
        <f t="shared" si="5"/>
        <v>3.830845792799268E-2</v>
      </c>
      <c r="AG17" s="32">
        <f t="shared" si="5"/>
        <v>3.7198343211374878E-2</v>
      </c>
      <c r="AH17" s="32">
        <f t="shared" si="5"/>
        <v>4.5368711974234435E-2</v>
      </c>
      <c r="AI17" s="32">
        <f t="shared" si="5"/>
        <v>4.6358351815291195E-2</v>
      </c>
      <c r="AJ17" s="32">
        <f t="shared" si="5"/>
        <v>4.5422734482731139E-2</v>
      </c>
      <c r="AK17" s="32">
        <f t="shared" si="5"/>
        <v>4.0552220709764282E-2</v>
      </c>
      <c r="AL17" s="32">
        <f t="shared" si="5"/>
        <v>4.0795487698142563E-2</v>
      </c>
      <c r="AM17" s="32">
        <f t="shared" si="5"/>
        <v>4.1105600706255026E-2</v>
      </c>
      <c r="AN17" s="33">
        <f t="shared" si="5"/>
        <v>3.6288604737254142E-2</v>
      </c>
      <c r="AO17" s="34">
        <f>+AN17</f>
        <v>3.6288604737254142E-2</v>
      </c>
      <c r="AP17" s="34">
        <f>+AO17</f>
        <v>3.6288604737254142E-2</v>
      </c>
      <c r="AQ17" s="34">
        <f>+AP17</f>
        <v>3.6288604737254142E-2</v>
      </c>
      <c r="AR17" s="34">
        <f>+AQ17</f>
        <v>3.6288604737254142E-2</v>
      </c>
    </row>
    <row r="18" spans="1:44" outlineLevel="2" x14ac:dyDescent="0.15"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24"/>
      <c r="AO18" s="24"/>
      <c r="AP18" s="24"/>
      <c r="AQ18" s="24"/>
      <c r="AR18" s="24"/>
    </row>
    <row r="19" spans="1:44" outlineLevel="2" x14ac:dyDescent="0.15">
      <c r="A19" t="s">
        <v>75</v>
      </c>
      <c r="AD19" s="2">
        <f>AD4-(AD13-AD16)</f>
        <v>0</v>
      </c>
      <c r="AE19" s="2">
        <f t="shared" ref="AE19:AN19" si="6">AE4-(AE13-AE16)</f>
        <v>138.29847999999947</v>
      </c>
      <c r="AF19" s="2">
        <f t="shared" si="6"/>
        <v>138.12729000000036</v>
      </c>
      <c r="AG19" s="2">
        <f t="shared" si="6"/>
        <v>121.47848999999951</v>
      </c>
      <c r="AH19" s="2">
        <f t="shared" si="6"/>
        <v>1254.3087599999999</v>
      </c>
      <c r="AI19" s="2">
        <f t="shared" si="6"/>
        <v>1573.2990200000004</v>
      </c>
      <c r="AJ19" s="2">
        <f t="shared" si="6"/>
        <v>555.79999999999927</v>
      </c>
      <c r="AK19" s="2">
        <f t="shared" si="6"/>
        <v>247.14999999999964</v>
      </c>
      <c r="AL19" s="2">
        <f t="shared" si="6"/>
        <v>524.64999999999964</v>
      </c>
      <c r="AM19" s="2">
        <f t="shared" si="6"/>
        <v>618.04999999999927</v>
      </c>
      <c r="AN19" s="2">
        <f t="shared" si="6"/>
        <v>370.45000000000073</v>
      </c>
      <c r="AO19" s="2">
        <f>+AN19</f>
        <v>370.45000000000073</v>
      </c>
      <c r="AP19" s="2">
        <f>+AO19</f>
        <v>370.45000000000073</v>
      </c>
      <c r="AQ19" s="2">
        <f>+AP19</f>
        <v>370.45000000000073</v>
      </c>
      <c r="AR19" s="2">
        <f>+AQ19</f>
        <v>370.45000000000073</v>
      </c>
    </row>
    <row r="20" spans="1:44" outlineLevel="2" x14ac:dyDescent="0.15"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outlineLevel="2" x14ac:dyDescent="0.15">
      <c r="A21" t="s">
        <v>4</v>
      </c>
      <c r="AD21" s="2">
        <f>AD4</f>
        <v>8143.3</v>
      </c>
      <c r="AE21" s="2">
        <f>AE4</f>
        <v>8799.1585400000004</v>
      </c>
      <c r="AF21" s="2">
        <f t="shared" ref="AF21:AN21" si="7">AF4</f>
        <v>9492.3680600000007</v>
      </c>
      <c r="AG21" s="2">
        <f t="shared" si="7"/>
        <v>10228.533030000001</v>
      </c>
      <c r="AH21" s="2">
        <f t="shared" si="7"/>
        <v>11320.46667</v>
      </c>
      <c r="AI21" s="2">
        <f t="shared" si="7"/>
        <v>12367.6</v>
      </c>
      <c r="AJ21" s="2">
        <f t="shared" si="7"/>
        <v>13431.5</v>
      </c>
      <c r="AK21" s="2">
        <f t="shared" si="7"/>
        <v>14644.25</v>
      </c>
      <c r="AL21" s="2">
        <f t="shared" si="7"/>
        <v>15930.15</v>
      </c>
      <c r="AM21" s="2">
        <f t="shared" si="7"/>
        <v>17330.849999999999</v>
      </c>
      <c r="AN21" s="2">
        <f t="shared" si="7"/>
        <v>18797.650000000001</v>
      </c>
      <c r="AO21" s="2">
        <f>AO13-AO16+AO19</f>
        <v>19998.168240341703</v>
      </c>
      <c r="AP21" s="2">
        <f t="shared" ref="AP21:AR21" si="8">AP13-AP16+AP19</f>
        <v>21188.906652721333</v>
      </c>
      <c r="AQ21" s="2">
        <f t="shared" si="8"/>
        <v>22358.551730460098</v>
      </c>
      <c r="AR21" s="2">
        <f t="shared" si="8"/>
        <v>23495.336589924886</v>
      </c>
    </row>
    <row r="22" spans="1:44" outlineLevel="2" x14ac:dyDescent="0.15">
      <c r="A22" t="s">
        <v>39</v>
      </c>
      <c r="AD22" s="2">
        <f t="shared" ref="AD22:AN22" si="9">-AD7/100*AD21</f>
        <v>-1886.5583110000002</v>
      </c>
      <c r="AE22" s="2">
        <f t="shared" si="9"/>
        <v>-2149.6344313220002</v>
      </c>
      <c r="AF22" s="2">
        <f t="shared" si="9"/>
        <v>-2298.0159267766539</v>
      </c>
      <c r="AG22" s="2">
        <f t="shared" si="9"/>
        <v>-2465.0764602300005</v>
      </c>
      <c r="AH22" s="2">
        <f t="shared" si="9"/>
        <v>-2755.4015874779998</v>
      </c>
      <c r="AI22" s="2">
        <f t="shared" si="9"/>
        <v>-3035.0090399999999</v>
      </c>
      <c r="AJ22" s="2">
        <f t="shared" si="9"/>
        <v>-3402.6462189499998</v>
      </c>
      <c r="AK22" s="2">
        <f t="shared" si="9"/>
        <v>-3758.6913214750002</v>
      </c>
      <c r="AL22" s="2">
        <f t="shared" si="9"/>
        <v>-4141.8389999999999</v>
      </c>
      <c r="AM22" s="2">
        <f t="shared" si="9"/>
        <v>-4506.0209999999997</v>
      </c>
      <c r="AN22" s="2">
        <f t="shared" si="9"/>
        <v>-4887.3890000000001</v>
      </c>
      <c r="AO22" s="2">
        <f>-$AN$7/100*AO21</f>
        <v>-5199.5237424888428</v>
      </c>
      <c r="AP22" s="2">
        <f>-$AN$7/100*AP21</f>
        <v>-5509.115729707547</v>
      </c>
      <c r="AQ22" s="2">
        <f>-$AN$7/100*AQ21</f>
        <v>-5813.2234499196256</v>
      </c>
      <c r="AR22" s="2">
        <f>-$AN$7/100*AR21</f>
        <v>-6108.78751338047</v>
      </c>
    </row>
    <row r="23" spans="1:44" outlineLevel="2" x14ac:dyDescent="0.15">
      <c r="AD23" s="35" t="s">
        <v>40</v>
      </c>
      <c r="AE23" s="35" t="s">
        <v>40</v>
      </c>
      <c r="AF23" s="35" t="s">
        <v>40</v>
      </c>
      <c r="AG23" s="35" t="s">
        <v>40</v>
      </c>
      <c r="AH23" s="35" t="s">
        <v>40</v>
      </c>
      <c r="AI23" s="35" t="s">
        <v>40</v>
      </c>
      <c r="AJ23" s="35" t="s">
        <v>40</v>
      </c>
      <c r="AK23" s="35" t="s">
        <v>40</v>
      </c>
      <c r="AL23" s="35" t="s">
        <v>40</v>
      </c>
      <c r="AM23" s="35" t="s">
        <v>40</v>
      </c>
      <c r="AN23" s="35" t="s">
        <v>40</v>
      </c>
      <c r="AO23" s="35" t="s">
        <v>40</v>
      </c>
      <c r="AP23" s="35" t="s">
        <v>40</v>
      </c>
      <c r="AQ23" s="35" t="s">
        <v>40</v>
      </c>
      <c r="AR23" s="35" t="s">
        <v>40</v>
      </c>
    </row>
    <row r="24" spans="1:44" outlineLevel="2" x14ac:dyDescent="0.15">
      <c r="A24" s="1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07">
        <f>+AD21+AD22</f>
        <v>6256.7416890000004</v>
      </c>
      <c r="AE24" s="107">
        <f t="shared" ref="AE24:AR24" si="10">+AE21+AE22</f>
        <v>6649.5241086780006</v>
      </c>
      <c r="AF24" s="107">
        <f t="shared" si="10"/>
        <v>7194.3521332233468</v>
      </c>
      <c r="AG24" s="107">
        <f t="shared" si="10"/>
        <v>7763.45656977</v>
      </c>
      <c r="AH24" s="107">
        <f t="shared" si="10"/>
        <v>8565.065082522</v>
      </c>
      <c r="AI24" s="107">
        <f t="shared" si="10"/>
        <v>9332.5909600000014</v>
      </c>
      <c r="AJ24" s="107">
        <f t="shared" si="10"/>
        <v>10028.85378105</v>
      </c>
      <c r="AK24" s="107">
        <f t="shared" si="10"/>
        <v>10885.558678525</v>
      </c>
      <c r="AL24" s="107">
        <f t="shared" si="10"/>
        <v>11788.311</v>
      </c>
      <c r="AM24" s="107">
        <f t="shared" si="10"/>
        <v>12824.828999999998</v>
      </c>
      <c r="AN24" s="107">
        <f t="shared" si="10"/>
        <v>13910.261000000002</v>
      </c>
      <c r="AO24" s="107">
        <f t="shared" si="10"/>
        <v>14798.64449785286</v>
      </c>
      <c r="AP24" s="107">
        <f t="shared" si="10"/>
        <v>15679.790923013785</v>
      </c>
      <c r="AQ24" s="107">
        <f t="shared" si="10"/>
        <v>16545.328280540474</v>
      </c>
      <c r="AR24" s="107">
        <f t="shared" si="10"/>
        <v>17386.549076544416</v>
      </c>
    </row>
    <row r="25" spans="1:44" outlineLevel="2" x14ac:dyDescent="0.15"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</row>
    <row r="26" spans="1:44" outlineLevel="2" x14ac:dyDescent="0.15">
      <c r="A26" s="39" t="s">
        <v>72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8">
        <f>AD16</f>
        <v>1715</v>
      </c>
      <c r="AE26" s="38">
        <f>AE16</f>
        <v>1724.93256</v>
      </c>
      <c r="AF26" s="38">
        <f t="shared" ref="AF26:AN26" si="11">AF16</f>
        <v>1782.2378900000001</v>
      </c>
      <c r="AG26" s="38">
        <f t="shared" si="11"/>
        <v>1840.9936700000001</v>
      </c>
      <c r="AH26" s="38">
        <f t="shared" si="11"/>
        <v>2449</v>
      </c>
      <c r="AI26" s="38">
        <f t="shared" si="11"/>
        <v>2643</v>
      </c>
      <c r="AJ26" s="38">
        <f t="shared" si="11"/>
        <v>2849.3</v>
      </c>
      <c r="AK26" s="38">
        <f t="shared" si="11"/>
        <v>2725.9</v>
      </c>
      <c r="AL26" s="38">
        <f t="shared" si="11"/>
        <v>2936.5</v>
      </c>
      <c r="AM26" s="38">
        <f t="shared" si="11"/>
        <v>3166.2</v>
      </c>
      <c r="AN26" s="38">
        <f t="shared" si="11"/>
        <v>2989.8</v>
      </c>
      <c r="AO26" s="38">
        <f>AO16</f>
        <v>3184.583224525355</v>
      </c>
      <c r="AP26" s="38">
        <f t="shared" ref="AP26:AR26" si="12">AP16</f>
        <v>3377.7796789694717</v>
      </c>
      <c r="AQ26" s="38">
        <f t="shared" si="12"/>
        <v>3567.553754977946</v>
      </c>
      <c r="AR26" s="38">
        <f t="shared" si="12"/>
        <v>3751.9962841103061</v>
      </c>
    </row>
    <row r="27" spans="1:44" ht="12" outlineLevel="2" thickBot="1" x14ac:dyDescent="0.2">
      <c r="A27" t="s">
        <v>71</v>
      </c>
      <c r="AD27" s="2">
        <f t="shared" ref="AD27:AN27" si="13">+AD6</f>
        <v>1475.9</v>
      </c>
      <c r="AE27" s="2">
        <f t="shared" si="13"/>
        <v>1655.1635200000001</v>
      </c>
      <c r="AF27" s="2">
        <f t="shared" si="13"/>
        <v>1752.5326399999999</v>
      </c>
      <c r="AG27" s="2">
        <f t="shared" si="13"/>
        <v>1850.9856</v>
      </c>
      <c r="AH27" s="2">
        <f t="shared" si="13"/>
        <v>1969.6714300000001</v>
      </c>
      <c r="AI27" s="2">
        <f t="shared" si="13"/>
        <v>2045.70174</v>
      </c>
      <c r="AJ27" s="2">
        <f t="shared" si="13"/>
        <v>2222.6999999999998</v>
      </c>
      <c r="AK27" s="2">
        <f t="shared" si="13"/>
        <v>2475.6333300000001</v>
      </c>
      <c r="AL27" s="2">
        <f t="shared" si="13"/>
        <v>2631.8333299999999</v>
      </c>
      <c r="AM27" s="2">
        <f t="shared" si="13"/>
        <v>2823.73333</v>
      </c>
      <c r="AN27" s="2">
        <f t="shared" si="13"/>
        <v>3029.6333300000001</v>
      </c>
      <c r="AO27" s="2">
        <f>AN27-($AN27-$AR27)/4</f>
        <v>3210.2240685275765</v>
      </c>
      <c r="AP27" s="2">
        <f>AO27-($AN27-$AR27)/4</f>
        <v>3390.8148070551529</v>
      </c>
      <c r="AQ27" s="2">
        <f>AP27-($AN27-$AR27)/4</f>
        <v>3571.4055455827292</v>
      </c>
      <c r="AR27" s="41">
        <f>AR26</f>
        <v>3751.9962841103061</v>
      </c>
    </row>
    <row r="28" spans="1:44" outlineLevel="1" x14ac:dyDescent="0.15">
      <c r="A28" s="108" t="s">
        <v>73</v>
      </c>
      <c r="AD28" s="2"/>
      <c r="AE28" s="2">
        <f>AE40-AD40</f>
        <v>-99.482972914247966</v>
      </c>
      <c r="AF28" s="2">
        <f t="shared" ref="AF28:AR28" si="14">AF40-AE40</f>
        <v>-97.006447276246035</v>
      </c>
      <c r="AG28" s="2">
        <f t="shared" si="14"/>
        <v>-109.18980371616613</v>
      </c>
      <c r="AH28" s="2">
        <f t="shared" si="14"/>
        <v>-165.13701229629123</v>
      </c>
      <c r="AI28" s="2">
        <f t="shared" si="14"/>
        <v>-111.56346810871128</v>
      </c>
      <c r="AJ28" s="2">
        <f t="shared" si="14"/>
        <v>-210.29545139768152</v>
      </c>
      <c r="AK28" s="2">
        <f t="shared" si="14"/>
        <v>-165.22343471134627</v>
      </c>
      <c r="AL28" s="2">
        <f t="shared" si="14"/>
        <v>-175.17510228859373</v>
      </c>
      <c r="AM28" s="2">
        <f t="shared" si="14"/>
        <v>-185.60503854792751</v>
      </c>
      <c r="AN28" s="2">
        <f t="shared" si="14"/>
        <v>-197.32262125903026</v>
      </c>
      <c r="AO28" s="2">
        <f t="shared" si="14"/>
        <v>-197.47397662260983</v>
      </c>
      <c r="AP28" s="2">
        <f t="shared" si="14"/>
        <v>-195.86528676396574</v>
      </c>
      <c r="AQ28" s="2">
        <f t="shared" si="14"/>
        <v>-192.39563130035685</v>
      </c>
      <c r="AR28" s="2">
        <f t="shared" si="14"/>
        <v>-186.99043398040476</v>
      </c>
    </row>
    <row r="29" spans="1:44" outlineLevel="1" x14ac:dyDescent="0.15">
      <c r="A29" s="109" t="s">
        <v>74</v>
      </c>
      <c r="AD29" s="2"/>
      <c r="AE29" s="3">
        <f>AE27-AE26+AE28</f>
        <v>-169.25201291424787</v>
      </c>
      <c r="AF29" s="3">
        <f t="shared" ref="AF29:AN29" si="15">AF27-AF26+AF28</f>
        <v>-126.71169727624624</v>
      </c>
      <c r="AG29" s="3">
        <f t="shared" si="15"/>
        <v>-99.197873716166214</v>
      </c>
      <c r="AH29" s="3">
        <f t="shared" si="15"/>
        <v>-644.46558229629113</v>
      </c>
      <c r="AI29" s="3">
        <f t="shared" si="15"/>
        <v>-708.8617281087113</v>
      </c>
      <c r="AJ29" s="3">
        <f t="shared" si="15"/>
        <v>-836.89545139768188</v>
      </c>
      <c r="AK29" s="3">
        <f t="shared" si="15"/>
        <v>-415.49010471134625</v>
      </c>
      <c r="AL29" s="3">
        <f t="shared" si="15"/>
        <v>-479.8417722885938</v>
      </c>
      <c r="AM29" s="3">
        <f t="shared" si="15"/>
        <v>-528.0717085479273</v>
      </c>
      <c r="AN29" s="3">
        <f t="shared" si="15"/>
        <v>-157.48929125903032</v>
      </c>
      <c r="AO29" s="2">
        <f t="shared" ref="AO29" si="16">AO27-AO26+AO28</f>
        <v>-171.83313262038837</v>
      </c>
      <c r="AP29" s="2">
        <f t="shared" ref="AP29" si="17">AP27-AP26+AP28</f>
        <v>-182.83015867828453</v>
      </c>
      <c r="AQ29" s="2">
        <f t="shared" ref="AQ29" si="18">AQ27-AQ26+AQ28</f>
        <v>-188.54384069557364</v>
      </c>
      <c r="AR29" s="2">
        <f t="shared" ref="AR29" si="19">AR27-AR26+AR28</f>
        <v>-186.99043398040476</v>
      </c>
    </row>
    <row r="30" spans="1:44" outlineLevel="1" x14ac:dyDescent="0.15">
      <c r="AD30" s="12"/>
      <c r="AE30" s="12" t="s">
        <v>14</v>
      </c>
      <c r="AF30" s="12" t="s">
        <v>14</v>
      </c>
      <c r="AG30" s="12" t="s">
        <v>14</v>
      </c>
      <c r="AH30" s="12" t="s">
        <v>14</v>
      </c>
      <c r="AI30" s="12" t="s">
        <v>14</v>
      </c>
      <c r="AJ30" s="12" t="s">
        <v>14</v>
      </c>
      <c r="AK30" s="12" t="s">
        <v>14</v>
      </c>
      <c r="AL30" s="12" t="s">
        <v>14</v>
      </c>
      <c r="AM30" s="12" t="s">
        <v>14</v>
      </c>
      <c r="AN30" s="12" t="s">
        <v>14</v>
      </c>
      <c r="AO30" s="12" t="s">
        <v>14</v>
      </c>
      <c r="AP30" s="12" t="s">
        <v>14</v>
      </c>
      <c r="AQ30" s="12" t="s">
        <v>14</v>
      </c>
      <c r="AR30" s="12" t="s">
        <v>14</v>
      </c>
    </row>
    <row r="31" spans="1:44" x14ac:dyDescent="0.15">
      <c r="A31" s="1" t="s">
        <v>26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3">
        <f>AE24-AE29</f>
        <v>6818.7761215922483</v>
      </c>
      <c r="AF31" s="3">
        <f t="shared" ref="AF31:AR31" si="20">AF24-AF29</f>
        <v>7321.0638304995928</v>
      </c>
      <c r="AG31" s="3">
        <f t="shared" si="20"/>
        <v>7862.6544434861662</v>
      </c>
      <c r="AH31" s="3">
        <f t="shared" si="20"/>
        <v>9209.5306648182905</v>
      </c>
      <c r="AI31" s="3">
        <f t="shared" si="20"/>
        <v>10041.452688108713</v>
      </c>
      <c r="AJ31" s="3">
        <f t="shared" si="20"/>
        <v>10865.749232447683</v>
      </c>
      <c r="AK31" s="3">
        <f t="shared" si="20"/>
        <v>11301.048783236347</v>
      </c>
      <c r="AL31" s="3">
        <f t="shared" si="20"/>
        <v>12268.152772288593</v>
      </c>
      <c r="AM31" s="3">
        <f t="shared" si="20"/>
        <v>13352.900708547924</v>
      </c>
      <c r="AN31" s="3">
        <f t="shared" si="20"/>
        <v>14067.750291259032</v>
      </c>
      <c r="AO31" s="3">
        <f t="shared" si="20"/>
        <v>14970.477630473248</v>
      </c>
      <c r="AP31" s="3">
        <f t="shared" si="20"/>
        <v>15862.621081692068</v>
      </c>
      <c r="AQ31" s="3">
        <f t="shared" si="20"/>
        <v>16733.872121236047</v>
      </c>
      <c r="AR31" s="3">
        <f t="shared" si="20"/>
        <v>17573.539510524821</v>
      </c>
    </row>
    <row r="32" spans="1:44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outlineLevel="1" x14ac:dyDescent="0.15">
      <c r="A33" t="s">
        <v>25</v>
      </c>
      <c r="AE33" s="6">
        <f>+AR46</f>
        <v>0.19452054794520549</v>
      </c>
      <c r="AF33" s="6">
        <f>+AE33+1</f>
        <v>1.1945205479452055</v>
      </c>
      <c r="AG33" s="6">
        <f t="shared" ref="AG33:AR33" si="21">+AF33+1</f>
        <v>2.1945205479452055</v>
      </c>
      <c r="AH33" s="6">
        <f t="shared" si="21"/>
        <v>3.1945205479452055</v>
      </c>
      <c r="AI33" s="6">
        <f t="shared" si="21"/>
        <v>4.1945205479452055</v>
      </c>
      <c r="AJ33" s="6">
        <f t="shared" si="21"/>
        <v>5.1945205479452055</v>
      </c>
      <c r="AK33" s="6">
        <f t="shared" si="21"/>
        <v>6.1945205479452055</v>
      </c>
      <c r="AL33" s="6">
        <f t="shared" si="21"/>
        <v>7.1945205479452055</v>
      </c>
      <c r="AM33" s="6">
        <f t="shared" si="21"/>
        <v>8.1945205479452063</v>
      </c>
      <c r="AN33" s="6">
        <f t="shared" si="21"/>
        <v>9.1945205479452063</v>
      </c>
      <c r="AO33" s="6">
        <f t="shared" si="21"/>
        <v>10.194520547945206</v>
      </c>
      <c r="AP33" s="6">
        <f t="shared" si="21"/>
        <v>11.194520547945206</v>
      </c>
      <c r="AQ33" s="6">
        <f t="shared" si="21"/>
        <v>12.194520547945206</v>
      </c>
      <c r="AR33" s="6">
        <f t="shared" si="21"/>
        <v>13.194520547945206</v>
      </c>
    </row>
    <row r="34" spans="1:44" outlineLevel="1" x14ac:dyDescent="0.15">
      <c r="A34" t="s">
        <v>44</v>
      </c>
      <c r="AD34" s="66">
        <f>AD64</f>
        <v>0.1</v>
      </c>
      <c r="AE34" s="6">
        <f>(1+$AD$34)^-AE33</f>
        <v>0.98163101628694649</v>
      </c>
      <c r="AF34" s="6">
        <f t="shared" ref="AF34:AR34" si="22">(1+$AD$34)^-AF33</f>
        <v>0.89239183298813318</v>
      </c>
      <c r="AG34" s="6">
        <f t="shared" si="22"/>
        <v>0.81126530271648467</v>
      </c>
      <c r="AH34" s="6">
        <f t="shared" si="22"/>
        <v>0.73751391156044044</v>
      </c>
      <c r="AI34" s="6">
        <f t="shared" si="22"/>
        <v>0.67046719232767316</v>
      </c>
      <c r="AJ34" s="6">
        <f t="shared" si="22"/>
        <v>0.60951562938879367</v>
      </c>
      <c r="AK34" s="6">
        <f t="shared" si="22"/>
        <v>0.55410511762617609</v>
      </c>
      <c r="AL34" s="6">
        <f t="shared" si="22"/>
        <v>0.50373192511470555</v>
      </c>
      <c r="AM34" s="6">
        <f t="shared" si="22"/>
        <v>0.4579381137406412</v>
      </c>
      <c r="AN34" s="6">
        <f t="shared" si="22"/>
        <v>0.41630737612785568</v>
      </c>
      <c r="AO34" s="6">
        <f t="shared" si="22"/>
        <v>0.3784612510253233</v>
      </c>
      <c r="AP34" s="6">
        <f t="shared" si="22"/>
        <v>0.34405568275029386</v>
      </c>
      <c r="AQ34" s="6">
        <f t="shared" si="22"/>
        <v>0.31277789340935808</v>
      </c>
      <c r="AR34" s="6">
        <f t="shared" si="22"/>
        <v>0.28434353946305274</v>
      </c>
    </row>
    <row r="35" spans="1:44" ht="12" outlineLevel="1" thickBot="1" x14ac:dyDescent="0.2">
      <c r="A35" s="10" t="s">
        <v>24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4">
        <f>AE31*AE34</f>
        <v>6693.5221340717617</v>
      </c>
      <c r="AF35" s="4">
        <f t="shared" ref="AF35:AR35" si="23">AF31*AF34</f>
        <v>6533.2575711226555</v>
      </c>
      <c r="AG35" s="4">
        <f t="shared" si="23"/>
        <v>6378.6987372499179</v>
      </c>
      <c r="AH35" s="4">
        <f t="shared" si="23"/>
        <v>6792.1569842459612</v>
      </c>
      <c r="AI35" s="4">
        <f t="shared" si="23"/>
        <v>6732.4645906874148</v>
      </c>
      <c r="AJ35" s="4">
        <f t="shared" si="23"/>
        <v>6622.843982196151</v>
      </c>
      <c r="AK35" s="4">
        <f t="shared" si="23"/>
        <v>6261.9689653343303</v>
      </c>
      <c r="AL35" s="4">
        <f t="shared" si="23"/>
        <v>6179.8602135862448</v>
      </c>
      <c r="AM35" s="4">
        <f t="shared" si="23"/>
        <v>6114.8021634385077</v>
      </c>
      <c r="AN35" s="4">
        <f t="shared" si="23"/>
        <v>5856.5082117759248</v>
      </c>
      <c r="AO35" s="4">
        <f t="shared" si="23"/>
        <v>5665.7456924755234</v>
      </c>
      <c r="AP35" s="4">
        <f t="shared" si="23"/>
        <v>5457.6249264707694</v>
      </c>
      <c r="AQ35" s="4">
        <f t="shared" si="23"/>
        <v>5233.9852706617967</v>
      </c>
      <c r="AR35" s="77">
        <f t="shared" si="23"/>
        <v>4996.9224253164311</v>
      </c>
    </row>
    <row r="36" spans="1:44" ht="12" thickTop="1" x14ac:dyDescent="0.15">
      <c r="A36" s="1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4" outlineLevel="1" x14ac:dyDescent="0.3">
      <c r="AD37" s="26">
        <v>2023</v>
      </c>
      <c r="AE37" s="42">
        <v>2024</v>
      </c>
      <c r="AF37" s="42">
        <v>2025</v>
      </c>
      <c r="AG37" s="42">
        <v>2026</v>
      </c>
      <c r="AH37" s="42">
        <v>2027</v>
      </c>
      <c r="AI37" s="42">
        <v>2028</v>
      </c>
      <c r="AJ37" s="42">
        <v>2029</v>
      </c>
      <c r="AK37" s="42">
        <v>2030</v>
      </c>
      <c r="AL37" s="42">
        <v>2031</v>
      </c>
      <c r="AM37" s="42">
        <v>2032</v>
      </c>
      <c r="AN37" s="42">
        <v>2033</v>
      </c>
      <c r="AO37" s="42">
        <v>2034</v>
      </c>
      <c r="AP37" s="42">
        <v>2035</v>
      </c>
      <c r="AQ37" s="42">
        <v>2036</v>
      </c>
      <c r="AR37" s="42">
        <v>2037</v>
      </c>
    </row>
    <row r="38" spans="1:44" outlineLevel="2" x14ac:dyDescent="0.15">
      <c r="A38" s="11" t="s">
        <v>23</v>
      </c>
      <c r="AD38" s="22">
        <v>22427.100000000002</v>
      </c>
    </row>
    <row r="39" spans="1:44" outlineLevel="2" x14ac:dyDescent="0.15">
      <c r="A39" s="11" t="s">
        <v>22</v>
      </c>
      <c r="AD39" s="22">
        <v>13102.6</v>
      </c>
    </row>
    <row r="40" spans="1:44" ht="12" outlineLevel="1" thickBot="1" x14ac:dyDescent="0.2">
      <c r="A40" s="11" t="s">
        <v>21</v>
      </c>
      <c r="AD40" s="22">
        <v>-1515.1000000000029</v>
      </c>
      <c r="AE40" s="2">
        <f>+AE41*AE10</f>
        <v>-1614.5829729142508</v>
      </c>
      <c r="AF40" s="2">
        <f t="shared" ref="AF40:AR40" si="24">+AF41*AF10</f>
        <v>-1711.5894201904969</v>
      </c>
      <c r="AG40" s="2">
        <f t="shared" si="24"/>
        <v>-1820.779223906663</v>
      </c>
      <c r="AH40" s="2">
        <f t="shared" si="24"/>
        <v>-1985.9162362029542</v>
      </c>
      <c r="AI40" s="2">
        <f t="shared" si="24"/>
        <v>-2097.4797043116655</v>
      </c>
      <c r="AJ40" s="2">
        <f t="shared" si="24"/>
        <v>-2307.775155709347</v>
      </c>
      <c r="AK40" s="2">
        <f t="shared" si="24"/>
        <v>-2472.9985904206933</v>
      </c>
      <c r="AL40" s="2">
        <f t="shared" si="24"/>
        <v>-2648.173692709287</v>
      </c>
      <c r="AM40" s="2">
        <f t="shared" si="24"/>
        <v>-2833.7787312572145</v>
      </c>
      <c r="AN40" s="2">
        <f t="shared" si="24"/>
        <v>-3031.1013525162448</v>
      </c>
      <c r="AO40" s="2">
        <f t="shared" si="24"/>
        <v>-3228.5753291388546</v>
      </c>
      <c r="AP40" s="2">
        <f t="shared" si="24"/>
        <v>-3424.4406159028204</v>
      </c>
      <c r="AQ40" s="2">
        <f t="shared" si="24"/>
        <v>-3616.8362472031772</v>
      </c>
      <c r="AR40" s="2">
        <f t="shared" si="24"/>
        <v>-3803.826681183582</v>
      </c>
    </row>
    <row r="41" spans="1:44" ht="12" outlineLevel="1" thickBot="1" x14ac:dyDescent="0.2">
      <c r="A41" s="11" t="s">
        <v>42</v>
      </c>
      <c r="AD41" s="18">
        <f>+AD40/AD10</f>
        <v>-3.6789898621987567E-2</v>
      </c>
      <c r="AE41" s="13">
        <f>+AD41</f>
        <v>-3.6789898621987567E-2</v>
      </c>
      <c r="AF41" s="13">
        <f t="shared" ref="AF41:AR41" si="25">+AE41</f>
        <v>-3.6789898621987567E-2</v>
      </c>
      <c r="AG41" s="13">
        <f t="shared" si="25"/>
        <v>-3.6789898621987567E-2</v>
      </c>
      <c r="AH41" s="13">
        <f t="shared" si="25"/>
        <v>-3.6789898621987567E-2</v>
      </c>
      <c r="AI41" s="13">
        <f t="shared" si="25"/>
        <v>-3.6789898621987567E-2</v>
      </c>
      <c r="AJ41" s="13">
        <f t="shared" si="25"/>
        <v>-3.6789898621987567E-2</v>
      </c>
      <c r="AK41" s="13">
        <f t="shared" si="25"/>
        <v>-3.6789898621987567E-2</v>
      </c>
      <c r="AL41" s="13">
        <f t="shared" si="25"/>
        <v>-3.6789898621987567E-2</v>
      </c>
      <c r="AM41" s="13">
        <f t="shared" si="25"/>
        <v>-3.6789898621987567E-2</v>
      </c>
      <c r="AN41" s="13">
        <f t="shared" si="25"/>
        <v>-3.6789898621987567E-2</v>
      </c>
      <c r="AO41" s="13">
        <f t="shared" si="25"/>
        <v>-3.6789898621987567E-2</v>
      </c>
      <c r="AP41" s="13">
        <f t="shared" si="25"/>
        <v>-3.6789898621987567E-2</v>
      </c>
      <c r="AQ41" s="13">
        <f t="shared" si="25"/>
        <v>-3.6789898621987567E-2</v>
      </c>
      <c r="AR41" s="13">
        <f t="shared" si="25"/>
        <v>-3.6789898621987567E-2</v>
      </c>
    </row>
    <row r="42" spans="1:44" outlineLevel="1" x14ac:dyDescent="0.15">
      <c r="A42" s="11"/>
      <c r="AD42" s="12" t="s">
        <v>14</v>
      </c>
      <c r="AQ42" s="43"/>
      <c r="AR42" s="2"/>
    </row>
    <row r="43" spans="1:44" x14ac:dyDescent="0.15">
      <c r="A43" s="21" t="s">
        <v>13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3">
        <f>SUM(AD38:AD40)</f>
        <v>34014.6</v>
      </c>
      <c r="AN43" t="s">
        <v>12</v>
      </c>
      <c r="AQ43" s="43"/>
      <c r="AR43" s="67">
        <v>45586</v>
      </c>
    </row>
    <row r="44" spans="1:44" x14ac:dyDescent="0.15">
      <c r="A44" s="11"/>
      <c r="AD44" s="2"/>
      <c r="AN44" t="s">
        <v>10</v>
      </c>
      <c r="AQ44" s="43"/>
      <c r="AR44" s="67">
        <v>45657</v>
      </c>
    </row>
    <row r="45" spans="1:44" x14ac:dyDescent="0.15">
      <c r="A45" s="11" t="s">
        <v>20</v>
      </c>
      <c r="AD45" s="22">
        <v>29081.599999999999</v>
      </c>
      <c r="AF45" t="s">
        <v>19</v>
      </c>
      <c r="AH45" s="8">
        <v>2.8799999999999999E-2</v>
      </c>
      <c r="AN45" t="s">
        <v>43</v>
      </c>
      <c r="AR45" s="2">
        <f>+AR44-AR43</f>
        <v>71</v>
      </c>
    </row>
    <row r="46" spans="1:44" x14ac:dyDescent="0.15">
      <c r="A46" s="11" t="s">
        <v>18</v>
      </c>
      <c r="AD46" s="22">
        <v>562</v>
      </c>
      <c r="AF46" t="s">
        <v>17</v>
      </c>
      <c r="AH46" s="5">
        <f>5.32%+0.72%</f>
        <v>6.0400000000000002E-2</v>
      </c>
      <c r="AN46" t="s">
        <v>9</v>
      </c>
      <c r="AR46" s="6">
        <f>+AR45/365</f>
        <v>0.19452054794520549</v>
      </c>
    </row>
    <row r="47" spans="1:44" x14ac:dyDescent="0.15">
      <c r="A47" s="11" t="s">
        <v>7</v>
      </c>
      <c r="AD47" s="79">
        <v>4371.0000000000009</v>
      </c>
      <c r="AF47" t="s">
        <v>16</v>
      </c>
      <c r="AH47">
        <v>0.99</v>
      </c>
      <c r="AN47" s="69" t="s">
        <v>11</v>
      </c>
      <c r="AO47" s="70"/>
      <c r="AP47" s="70"/>
      <c r="AQ47" s="70"/>
      <c r="AR47" s="71">
        <v>200000</v>
      </c>
    </row>
    <row r="48" spans="1:44" x14ac:dyDescent="0.15">
      <c r="A48" s="11"/>
      <c r="AD48" s="12" t="s">
        <v>14</v>
      </c>
      <c r="AH48" s="6"/>
    </row>
    <row r="49" spans="1:44" x14ac:dyDescent="0.15">
      <c r="A49" s="21" t="s">
        <v>13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3">
        <f>SUM(AD45:AD47)</f>
        <v>34014.6</v>
      </c>
      <c r="AH49" s="6"/>
      <c r="AN49" t="s">
        <v>46</v>
      </c>
      <c r="AR49" s="2">
        <f>SUM(AE35:AR35)</f>
        <v>85520.361868633394</v>
      </c>
    </row>
    <row r="50" spans="1:44" ht="12" thickBot="1" x14ac:dyDescent="0.2">
      <c r="AF50" s="1"/>
      <c r="AG50" s="1"/>
      <c r="AH50" s="1"/>
      <c r="AI50" s="1"/>
      <c r="AN50" t="s">
        <v>47</v>
      </c>
      <c r="AR50" s="44">
        <v>5.1700000000000003E-2</v>
      </c>
    </row>
    <row r="51" spans="1:44" s="76" customFormat="1" ht="21.75" customHeight="1" x14ac:dyDescent="0.15">
      <c r="A51" s="72" t="s">
        <v>19</v>
      </c>
      <c r="B51" s="73"/>
      <c r="C51" s="74">
        <v>2.8799999999999999E-2</v>
      </c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5">
        <v>2.8799999999999999E-2</v>
      </c>
      <c r="AN51" s="76" t="s">
        <v>15</v>
      </c>
      <c r="AR51" s="78">
        <f>AR35*(1+AR50)/(AD34-AR50)</f>
        <v>108804.62349286316</v>
      </c>
    </row>
    <row r="52" spans="1:44" x14ac:dyDescent="0.15">
      <c r="A52" s="46" t="s">
        <v>17</v>
      </c>
      <c r="C52" s="23">
        <f>5.32%+0.72%</f>
        <v>6.0400000000000002E-2</v>
      </c>
      <c r="AD52" s="81">
        <v>6.0400000000000002E-2</v>
      </c>
      <c r="AN52" t="s">
        <v>49</v>
      </c>
      <c r="AR52" s="2">
        <f>AR49+AR51</f>
        <v>194324.98536149657</v>
      </c>
    </row>
    <row r="53" spans="1:44" x14ac:dyDescent="0.15">
      <c r="A53" s="46" t="s">
        <v>16</v>
      </c>
      <c r="C53">
        <v>0.99</v>
      </c>
      <c r="AD53" s="47">
        <v>0.99</v>
      </c>
      <c r="AN53" t="s">
        <v>51</v>
      </c>
      <c r="AR53" s="80">
        <f>AD47</f>
        <v>4371.0000000000009</v>
      </c>
    </row>
    <row r="54" spans="1:44" x14ac:dyDescent="0.15">
      <c r="A54" s="46"/>
      <c r="AD54" s="48"/>
      <c r="AF54" s="1"/>
      <c r="AG54" s="1"/>
      <c r="AH54" s="7"/>
      <c r="AR54" s="36" t="s">
        <v>52</v>
      </c>
    </row>
    <row r="55" spans="1:44" ht="12" thickBot="1" x14ac:dyDescent="0.2">
      <c r="A55" s="46"/>
      <c r="AD55" s="48"/>
      <c r="AF55" s="1"/>
      <c r="AG55" s="1"/>
      <c r="AH55" s="7"/>
      <c r="AN55" s="10" t="s">
        <v>50</v>
      </c>
      <c r="AO55" s="10"/>
      <c r="AP55" s="10"/>
      <c r="AQ55" s="10"/>
      <c r="AR55" s="4">
        <f>AR52-AR53</f>
        <v>189953.98536149657</v>
      </c>
    </row>
    <row r="56" spans="1:44" ht="13" thickTop="1" thickBot="1" x14ac:dyDescent="0.2">
      <c r="A56" s="49" t="s">
        <v>53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1">
        <f>AD51+AD52*AD53</f>
        <v>8.8596000000000008E-2</v>
      </c>
      <c r="AH56" s="6"/>
    </row>
    <row r="57" spans="1:44" ht="12" thickBot="1" x14ac:dyDescent="0.2"/>
    <row r="58" spans="1:44" x14ac:dyDescent="0.15">
      <c r="A58" s="62" t="s">
        <v>45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52"/>
    </row>
    <row r="59" spans="1:44" x14ac:dyDescent="0.15">
      <c r="A59" s="60" t="s">
        <v>54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4">
        <v>0.03</v>
      </c>
    </row>
    <row r="60" spans="1:44" x14ac:dyDescent="0.15">
      <c r="A60" s="82" t="s">
        <v>56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83">
        <f>AD59*(1-AD61)</f>
        <v>2.2199999999999998E-2</v>
      </c>
    </row>
    <row r="61" spans="1:44" x14ac:dyDescent="0.15">
      <c r="A61" s="61" t="s">
        <v>55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5">
        <v>0.26</v>
      </c>
    </row>
    <row r="62" spans="1:44" ht="12" thickBot="1" x14ac:dyDescent="0.2">
      <c r="A62" s="56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8"/>
    </row>
    <row r="63" spans="1:44" ht="12" thickBot="1" x14ac:dyDescent="0.2"/>
    <row r="64" spans="1:44" ht="12" thickBot="1" x14ac:dyDescent="0.2">
      <c r="A64" s="63" t="s">
        <v>8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8">
        <v>0.1</v>
      </c>
    </row>
    <row r="64906" spans="40:40" x14ac:dyDescent="0.15">
      <c r="AN64906" t="s">
        <v>48</v>
      </c>
    </row>
  </sheetData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EE40-834E-EA4D-A3CE-B0DCDCB960E5}">
  <sheetPr>
    <tabColor rgb="FFFF0000"/>
    <outlinePr summaryBelow="0" summaryRight="0"/>
    <pageSetUpPr autoPageBreaks="0"/>
  </sheetPr>
  <dimension ref="A1:CE64900"/>
  <sheetViews>
    <sheetView tabSelected="1" zoomScale="104" zoomScaleNormal="175" workbookViewId="0"/>
  </sheetViews>
  <sheetFormatPr baseColWidth="10" defaultColWidth="9" defaultRowHeight="11" outlineLevelRow="2" outlineLevelCol="1" x14ac:dyDescent="0.15"/>
  <cols>
    <col min="1" max="1" width="19.33203125" customWidth="1" collapsed="1"/>
    <col min="2" max="28" width="20.83203125" hidden="1" customWidth="1" outlineLevel="1"/>
    <col min="29" max="29" width="0.83203125" hidden="1" customWidth="1" outlineLevel="1"/>
    <col min="30" max="31" width="6.6640625" customWidth="1"/>
    <col min="32" max="38" width="6.6640625" customWidth="1" outlineLevel="1"/>
    <col min="39" max="44" width="6.6640625" customWidth="1"/>
    <col min="45" max="45" width="7.1640625" customWidth="1"/>
    <col min="46" max="46" width="5" customWidth="1"/>
    <col min="47" max="81" width="20.83203125" customWidth="1"/>
    <col min="82" max="83" width="1.83203125" customWidth="1"/>
  </cols>
  <sheetData>
    <row r="1" spans="1:83" ht="14" x14ac:dyDescent="0.3">
      <c r="A1" s="20" t="s">
        <v>70</v>
      </c>
      <c r="B1" s="19">
        <v>1995</v>
      </c>
      <c r="C1" s="19">
        <v>1996</v>
      </c>
      <c r="D1" s="19">
        <v>1997</v>
      </c>
      <c r="E1" s="19">
        <v>1998</v>
      </c>
      <c r="F1" s="19">
        <v>1999</v>
      </c>
      <c r="G1" s="19">
        <v>2000</v>
      </c>
      <c r="H1" s="19">
        <v>2001</v>
      </c>
      <c r="I1" s="19">
        <v>2002</v>
      </c>
      <c r="J1" s="19">
        <v>2003</v>
      </c>
      <c r="K1" s="19">
        <v>2004</v>
      </c>
      <c r="L1" s="19">
        <v>2005</v>
      </c>
      <c r="M1" s="19">
        <v>2006</v>
      </c>
      <c r="N1" s="19">
        <v>2007</v>
      </c>
      <c r="O1" s="19">
        <v>2008</v>
      </c>
      <c r="P1" s="19">
        <v>2009</v>
      </c>
      <c r="Q1" s="19">
        <v>2010</v>
      </c>
      <c r="R1" s="19">
        <v>2011</v>
      </c>
      <c r="S1" s="19">
        <v>2012</v>
      </c>
      <c r="T1" s="19">
        <v>2013</v>
      </c>
      <c r="U1" s="19">
        <v>2014</v>
      </c>
      <c r="V1" s="19">
        <v>2015</v>
      </c>
      <c r="W1" s="19">
        <v>2016</v>
      </c>
      <c r="X1" s="19">
        <v>2017</v>
      </c>
      <c r="Y1" s="19">
        <v>2018</v>
      </c>
      <c r="Z1" s="19">
        <v>2019</v>
      </c>
      <c r="AA1" s="19">
        <v>2020</v>
      </c>
      <c r="AB1" s="19">
        <v>2021</v>
      </c>
      <c r="AC1" s="19">
        <v>2022</v>
      </c>
      <c r="AD1" s="19">
        <v>2023</v>
      </c>
      <c r="AE1" s="19">
        <v>2024</v>
      </c>
      <c r="AF1" s="19">
        <v>2025</v>
      </c>
      <c r="AG1" s="19">
        <v>2026</v>
      </c>
      <c r="AH1" s="19">
        <v>2027</v>
      </c>
      <c r="AI1" s="19">
        <v>2028</v>
      </c>
      <c r="AJ1" s="19">
        <v>2029</v>
      </c>
      <c r="AK1" s="19">
        <v>2030</v>
      </c>
      <c r="AL1" s="19">
        <v>2031</v>
      </c>
      <c r="AM1" s="19">
        <v>2032</v>
      </c>
      <c r="AN1" s="19">
        <v>2033</v>
      </c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</row>
    <row r="2" spans="1:83" x14ac:dyDescent="0.15">
      <c r="A2" s="1" t="s">
        <v>6</v>
      </c>
      <c r="B2" s="98" t="s">
        <v>0</v>
      </c>
      <c r="C2" s="98" t="s">
        <v>0</v>
      </c>
      <c r="D2" s="99">
        <v>10427.74713</v>
      </c>
      <c r="E2" s="99">
        <v>11497.9</v>
      </c>
      <c r="F2" s="99">
        <v>10751</v>
      </c>
      <c r="G2" s="99">
        <v>12700</v>
      </c>
      <c r="H2" s="99">
        <v>13740</v>
      </c>
      <c r="I2" s="99">
        <v>14288</v>
      </c>
      <c r="J2" s="99">
        <v>14029</v>
      </c>
      <c r="K2" s="99">
        <v>14533.9</v>
      </c>
      <c r="L2" s="99">
        <v>14532.5</v>
      </c>
      <c r="M2" s="99">
        <v>15790.1</v>
      </c>
      <c r="N2" s="99">
        <v>17062.599999999999</v>
      </c>
      <c r="O2" s="99">
        <v>17541.8</v>
      </c>
      <c r="P2" s="99">
        <v>17472.599999999999</v>
      </c>
      <c r="Q2" s="99">
        <v>19495.8</v>
      </c>
      <c r="R2" s="99">
        <v>20343.099999999999</v>
      </c>
      <c r="S2" s="99">
        <v>22462.7</v>
      </c>
      <c r="T2" s="99">
        <v>22976.6</v>
      </c>
      <c r="U2" s="99">
        <v>22532</v>
      </c>
      <c r="V2" s="99">
        <v>25257.4</v>
      </c>
      <c r="W2" s="99">
        <v>25837.1</v>
      </c>
      <c r="X2" s="99">
        <v>26023.7</v>
      </c>
      <c r="Y2" s="99">
        <v>26937.4</v>
      </c>
      <c r="Z2" s="99">
        <v>29873.599999999999</v>
      </c>
      <c r="AA2" s="99">
        <v>27992.1</v>
      </c>
      <c r="AB2" s="99">
        <v>32287.599999999999</v>
      </c>
      <c r="AC2" s="99">
        <v>38260.6</v>
      </c>
      <c r="AD2" s="100">
        <v>41182.5</v>
      </c>
      <c r="AE2" s="100">
        <v>43886.583910000001</v>
      </c>
      <c r="AF2" s="100">
        <v>46523.352449999998</v>
      </c>
      <c r="AG2" s="100">
        <v>49491.281360000001</v>
      </c>
      <c r="AH2" s="100">
        <v>53979.932280000001</v>
      </c>
      <c r="AI2" s="100">
        <v>57012.380649999999</v>
      </c>
      <c r="AJ2" s="100">
        <v>62728.5</v>
      </c>
      <c r="AK2" s="100">
        <v>67219.5</v>
      </c>
      <c r="AL2" s="100">
        <v>71981</v>
      </c>
      <c r="AM2" s="100">
        <v>77026</v>
      </c>
      <c r="AN2" s="100">
        <v>82389.5</v>
      </c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</row>
    <row r="3" spans="1:83" x14ac:dyDescent="0.15">
      <c r="A3" s="1" t="s">
        <v>5</v>
      </c>
      <c r="B3" s="98" t="s">
        <v>0</v>
      </c>
      <c r="C3" s="98" t="s">
        <v>0</v>
      </c>
      <c r="D3" s="98" t="s">
        <v>0</v>
      </c>
      <c r="E3" s="98" t="s">
        <v>0</v>
      </c>
      <c r="F3" s="99">
        <v>1522.8</v>
      </c>
      <c r="G3" s="99">
        <v>1866.8</v>
      </c>
      <c r="H3" s="99">
        <v>2098.5</v>
      </c>
      <c r="I3" s="99">
        <v>2340.6</v>
      </c>
      <c r="J3" s="99">
        <v>2414.4</v>
      </c>
      <c r="K3" s="99">
        <v>2595.8000000000002</v>
      </c>
      <c r="L3" s="99">
        <v>2763</v>
      </c>
      <c r="M3" s="99">
        <v>3120.3</v>
      </c>
      <c r="N3" s="99">
        <v>3425.7</v>
      </c>
      <c r="O3" s="99">
        <v>3430.7</v>
      </c>
      <c r="P3" s="99">
        <v>3411.6</v>
      </c>
      <c r="Q3" s="99">
        <v>3791.1</v>
      </c>
      <c r="R3" s="99">
        <v>3906.9</v>
      </c>
      <c r="S3" s="99">
        <v>4388.8999999999996</v>
      </c>
      <c r="T3" s="99">
        <v>4714.8999999999996</v>
      </c>
      <c r="U3" s="99">
        <v>4746.8999999999996</v>
      </c>
      <c r="V3" s="99">
        <v>5321.5</v>
      </c>
      <c r="W3" s="99">
        <v>5964.4</v>
      </c>
      <c r="X3" s="99">
        <v>5894.9</v>
      </c>
      <c r="Y3" s="99">
        <v>6031.3</v>
      </c>
      <c r="Z3" s="99">
        <v>7505.8</v>
      </c>
      <c r="AA3" s="99">
        <v>7237.1</v>
      </c>
      <c r="AB3" s="99">
        <v>7941.3</v>
      </c>
      <c r="AC3" s="99">
        <v>8993</v>
      </c>
      <c r="AD3" s="100">
        <v>9858.2999999999993</v>
      </c>
      <c r="AE3" s="100">
        <v>10385.79262</v>
      </c>
      <c r="AF3" s="100">
        <v>11136.478660000001</v>
      </c>
      <c r="AG3" s="100">
        <v>11948.048210000001</v>
      </c>
      <c r="AH3" s="100">
        <v>12515.15791</v>
      </c>
      <c r="AI3" s="100">
        <v>13437.30098</v>
      </c>
      <c r="AJ3" s="100">
        <v>15725</v>
      </c>
      <c r="AK3" s="100">
        <v>17123</v>
      </c>
      <c r="AL3" s="100">
        <v>18342</v>
      </c>
      <c r="AM3" s="100">
        <v>19879</v>
      </c>
      <c r="AN3" s="100">
        <v>21417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</row>
    <row r="4" spans="1:83" x14ac:dyDescent="0.15">
      <c r="A4" s="1" t="s">
        <v>4</v>
      </c>
      <c r="B4" s="98" t="s">
        <v>0</v>
      </c>
      <c r="C4" s="98" t="s">
        <v>0</v>
      </c>
      <c r="D4" s="98" t="s">
        <v>0</v>
      </c>
      <c r="E4" s="98" t="s">
        <v>0</v>
      </c>
      <c r="F4" s="99">
        <v>1229.9000000000001</v>
      </c>
      <c r="G4" s="99">
        <v>1481.3</v>
      </c>
      <c r="H4" s="99">
        <v>1626</v>
      </c>
      <c r="I4" s="99">
        <v>1840.6</v>
      </c>
      <c r="J4" s="99">
        <v>1963.8</v>
      </c>
      <c r="K4" s="99">
        <v>2115.9</v>
      </c>
      <c r="L4" s="99">
        <v>2266</v>
      </c>
      <c r="M4" s="99">
        <v>2540.9</v>
      </c>
      <c r="N4" s="99">
        <v>2827.2</v>
      </c>
      <c r="O4" s="99">
        <v>2724.6</v>
      </c>
      <c r="P4" s="99">
        <v>2577.6</v>
      </c>
      <c r="Q4" s="99">
        <v>3056.9</v>
      </c>
      <c r="R4" s="99">
        <v>3292.6</v>
      </c>
      <c r="S4" s="99">
        <v>3697.3</v>
      </c>
      <c r="T4" s="99">
        <v>3874.8</v>
      </c>
      <c r="U4" s="99">
        <v>3890.7</v>
      </c>
      <c r="V4" s="99">
        <v>4387.7</v>
      </c>
      <c r="W4" s="99">
        <v>4539.8999999999996</v>
      </c>
      <c r="X4" s="99">
        <v>4676.3</v>
      </c>
      <c r="Y4" s="99">
        <v>4922</v>
      </c>
      <c r="Z4" s="99">
        <v>5547.5</v>
      </c>
      <c r="AA4" s="99">
        <v>5209</v>
      </c>
      <c r="AB4" s="99">
        <v>6160.3</v>
      </c>
      <c r="AC4" s="99">
        <v>7456.9</v>
      </c>
      <c r="AD4" s="100">
        <v>8143.3</v>
      </c>
      <c r="AE4" s="100">
        <v>8799.1585400000004</v>
      </c>
      <c r="AF4" s="100">
        <v>9492.3680600000007</v>
      </c>
      <c r="AG4" s="100">
        <v>10228.533030000001</v>
      </c>
      <c r="AH4" s="100">
        <v>11320.46667</v>
      </c>
      <c r="AI4" s="100">
        <v>12367.6</v>
      </c>
      <c r="AJ4" s="100">
        <v>13431.5</v>
      </c>
      <c r="AK4" s="100">
        <v>14644.25</v>
      </c>
      <c r="AL4" s="100">
        <v>15930.15</v>
      </c>
      <c r="AM4" s="100">
        <v>17330.849999999999</v>
      </c>
      <c r="AN4" s="100">
        <v>18797.650000000001</v>
      </c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</row>
    <row r="5" spans="1:83" x14ac:dyDescent="0.15">
      <c r="A5" s="1" t="s">
        <v>3</v>
      </c>
      <c r="B5" s="98" t="s">
        <v>0</v>
      </c>
      <c r="C5" s="98" t="s">
        <v>0</v>
      </c>
      <c r="D5" s="98" t="s">
        <v>0</v>
      </c>
      <c r="E5" s="98" t="s">
        <v>0</v>
      </c>
      <c r="F5" s="98" t="s">
        <v>0</v>
      </c>
      <c r="G5" s="98" t="s">
        <v>0</v>
      </c>
      <c r="H5" s="98" t="s">
        <v>0</v>
      </c>
      <c r="I5" s="98" t="s">
        <v>0</v>
      </c>
      <c r="J5" s="98" t="s">
        <v>0</v>
      </c>
      <c r="K5" s="98" t="s">
        <v>0</v>
      </c>
      <c r="L5" s="98" t="s">
        <v>0</v>
      </c>
      <c r="M5" s="98" t="s">
        <v>0</v>
      </c>
      <c r="N5" s="98" t="s">
        <v>0</v>
      </c>
      <c r="O5" s="98" t="s">
        <v>0</v>
      </c>
      <c r="P5" s="98" t="s">
        <v>0</v>
      </c>
      <c r="Q5" s="99">
        <v>734.2</v>
      </c>
      <c r="R5" s="99">
        <v>614.29999999999995</v>
      </c>
      <c r="S5" s="99">
        <v>691.6</v>
      </c>
      <c r="T5" s="99">
        <v>840.1</v>
      </c>
      <c r="U5" s="99">
        <v>856.2</v>
      </c>
      <c r="V5" s="99">
        <v>933.8</v>
      </c>
      <c r="W5" s="99">
        <v>1424.5</v>
      </c>
      <c r="X5" s="99">
        <v>1218.5</v>
      </c>
      <c r="Y5" s="99">
        <v>1109.3</v>
      </c>
      <c r="Z5" s="99">
        <v>1958.3</v>
      </c>
      <c r="AA5" s="99">
        <v>2028.1</v>
      </c>
      <c r="AB5" s="99">
        <v>1781</v>
      </c>
      <c r="AC5" s="99">
        <v>1536.1</v>
      </c>
      <c r="AD5" s="100">
        <v>1715</v>
      </c>
      <c r="AE5" s="100">
        <v>1724.93256</v>
      </c>
      <c r="AF5" s="100">
        <v>1782.2378900000001</v>
      </c>
      <c r="AG5" s="100">
        <v>1840.9936700000001</v>
      </c>
      <c r="AH5" s="100">
        <v>2449</v>
      </c>
      <c r="AI5" s="100">
        <v>2643</v>
      </c>
      <c r="AJ5" s="100">
        <v>2849.3</v>
      </c>
      <c r="AK5" s="100">
        <v>2725.9</v>
      </c>
      <c r="AL5" s="100">
        <v>2936.5</v>
      </c>
      <c r="AM5" s="100">
        <v>3166.2</v>
      </c>
      <c r="AN5" s="100">
        <v>2989.8</v>
      </c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</row>
    <row r="6" spans="1:83" x14ac:dyDescent="0.15">
      <c r="A6" s="1" t="s">
        <v>2</v>
      </c>
      <c r="B6" s="98" t="s">
        <v>0</v>
      </c>
      <c r="C6" s="98" t="s">
        <v>0</v>
      </c>
      <c r="D6" s="98" t="s">
        <v>0</v>
      </c>
      <c r="E6" s="98" t="s">
        <v>0</v>
      </c>
      <c r="F6" s="98" t="s">
        <v>0</v>
      </c>
      <c r="G6" s="98" t="s">
        <v>0</v>
      </c>
      <c r="H6" s="98" t="s">
        <v>0</v>
      </c>
      <c r="I6" s="98" t="s">
        <v>0</v>
      </c>
      <c r="J6" s="98" t="s">
        <v>0</v>
      </c>
      <c r="K6" s="98" t="s">
        <v>0</v>
      </c>
      <c r="L6" s="99">
        <v>-662</v>
      </c>
      <c r="M6" s="99">
        <v>-745.2</v>
      </c>
      <c r="N6" s="99">
        <v>-776</v>
      </c>
      <c r="O6" s="99">
        <v>-745.9</v>
      </c>
      <c r="P6" s="99">
        <v>-628</v>
      </c>
      <c r="Q6" s="99">
        <v>-677.9</v>
      </c>
      <c r="R6" s="99">
        <v>-865.7</v>
      </c>
      <c r="S6" s="99">
        <v>-955</v>
      </c>
      <c r="T6" s="99">
        <v>-1060.5</v>
      </c>
      <c r="U6" s="99">
        <v>-1008.2</v>
      </c>
      <c r="V6" s="99">
        <v>-1172</v>
      </c>
      <c r="W6" s="99">
        <v>-1386.5</v>
      </c>
      <c r="X6" s="99">
        <v>-1263.5</v>
      </c>
      <c r="Y6" s="99">
        <v>-1416.1</v>
      </c>
      <c r="Z6" s="99">
        <v>-1231</v>
      </c>
      <c r="AA6" s="99">
        <v>-972.4</v>
      </c>
      <c r="AB6" s="99">
        <v>-1075.2</v>
      </c>
      <c r="AC6" s="99">
        <v>-1334</v>
      </c>
      <c r="AD6" s="100">
        <v>-1475.9</v>
      </c>
      <c r="AE6" s="100">
        <v>-1655.1635200000001</v>
      </c>
      <c r="AF6" s="100">
        <v>-1752.5326399999999</v>
      </c>
      <c r="AG6" s="100">
        <v>-1850.9856</v>
      </c>
      <c r="AH6" s="100">
        <v>-1969.6714300000001</v>
      </c>
      <c r="AI6" s="100">
        <v>-2045.70174</v>
      </c>
      <c r="AJ6" s="100">
        <v>-2222.6999999999998</v>
      </c>
      <c r="AK6" s="100">
        <v>-2475.6333300000001</v>
      </c>
      <c r="AL6" s="100">
        <v>-2631.8333299999999</v>
      </c>
      <c r="AM6" s="100">
        <v>-2823.73333</v>
      </c>
      <c r="AN6" s="100">
        <v>-3029.6333300000001</v>
      </c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</row>
    <row r="7" spans="1:83" x14ac:dyDescent="0.15">
      <c r="A7" s="1" t="s">
        <v>1</v>
      </c>
      <c r="B7" s="98" t="s">
        <v>0</v>
      </c>
      <c r="C7" s="98" t="s">
        <v>0</v>
      </c>
      <c r="D7" s="98" t="s">
        <v>0</v>
      </c>
      <c r="E7" s="98" t="s">
        <v>0</v>
      </c>
      <c r="F7" s="98" t="s">
        <v>0</v>
      </c>
      <c r="G7" s="98" t="s">
        <v>0</v>
      </c>
      <c r="H7" s="98" t="s">
        <v>0</v>
      </c>
      <c r="I7" s="98" t="s">
        <v>0</v>
      </c>
      <c r="J7" s="98" t="s">
        <v>0</v>
      </c>
      <c r="K7" s="98" t="s">
        <v>0</v>
      </c>
      <c r="L7" s="98" t="s">
        <v>0</v>
      </c>
      <c r="M7" s="98" t="s">
        <v>0</v>
      </c>
      <c r="N7" s="98" t="s">
        <v>0</v>
      </c>
      <c r="O7" s="98" t="s">
        <v>0</v>
      </c>
      <c r="P7" s="98" t="s">
        <v>0</v>
      </c>
      <c r="Q7" s="99">
        <v>28.87</v>
      </c>
      <c r="R7" s="99">
        <v>27.4</v>
      </c>
      <c r="S7" s="99">
        <v>25.6</v>
      </c>
      <c r="T7" s="99">
        <v>26.413879999999999</v>
      </c>
      <c r="U7" s="99">
        <v>28.557500000000001</v>
      </c>
      <c r="V7" s="99">
        <v>27.07</v>
      </c>
      <c r="W7" s="99">
        <v>25</v>
      </c>
      <c r="X7" s="99">
        <v>25.075399999999998</v>
      </c>
      <c r="Y7" s="99">
        <v>24.4544</v>
      </c>
      <c r="Z7" s="99">
        <v>25.4</v>
      </c>
      <c r="AA7" s="99">
        <v>25.2</v>
      </c>
      <c r="AB7" s="99">
        <v>23.902999999999999</v>
      </c>
      <c r="AC7" s="99">
        <v>22.839700000000001</v>
      </c>
      <c r="AD7" s="101">
        <v>23.167000000000002</v>
      </c>
      <c r="AE7" s="101">
        <v>24.43</v>
      </c>
      <c r="AF7" s="101">
        <v>24.20909</v>
      </c>
      <c r="AG7" s="101">
        <v>24.1</v>
      </c>
      <c r="AH7" s="101">
        <v>24.34</v>
      </c>
      <c r="AI7" s="101">
        <v>24.54</v>
      </c>
      <c r="AJ7" s="101">
        <v>25.33333</v>
      </c>
      <c r="AK7" s="101">
        <v>25.66667</v>
      </c>
      <c r="AL7" s="101">
        <v>26</v>
      </c>
      <c r="AM7" s="101">
        <v>26</v>
      </c>
      <c r="AN7" s="101">
        <v>26</v>
      </c>
      <c r="AO7" s="15"/>
      <c r="AP7" s="15"/>
      <c r="AQ7" s="15"/>
      <c r="AR7" s="15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</row>
    <row r="8" spans="1:83" x14ac:dyDescent="0.1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25" t="s">
        <v>33</v>
      </c>
      <c r="AE8" s="27" t="s">
        <v>34</v>
      </c>
      <c r="AF8" s="27"/>
      <c r="AG8" s="27"/>
      <c r="AH8" s="27"/>
      <c r="AI8" s="27"/>
      <c r="AJ8" s="27"/>
      <c r="AK8" s="27"/>
      <c r="AL8" s="27"/>
      <c r="AM8" s="27"/>
      <c r="AN8" s="27"/>
      <c r="AO8" s="29" t="s">
        <v>35</v>
      </c>
      <c r="AP8" s="29"/>
      <c r="AQ8" s="29"/>
      <c r="AR8" s="29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</row>
    <row r="9" spans="1:83" ht="14" x14ac:dyDescent="0.3">
      <c r="A9" s="20" t="s">
        <v>70</v>
      </c>
      <c r="B9" s="19">
        <v>1995</v>
      </c>
      <c r="C9" s="19">
        <v>1996</v>
      </c>
      <c r="D9" s="19">
        <v>1997</v>
      </c>
      <c r="E9" s="19">
        <v>1998</v>
      </c>
      <c r="F9" s="19">
        <v>1999</v>
      </c>
      <c r="G9" s="19">
        <v>2000</v>
      </c>
      <c r="H9" s="19">
        <v>2001</v>
      </c>
      <c r="I9" s="19">
        <v>2002</v>
      </c>
      <c r="J9" s="19">
        <v>2003</v>
      </c>
      <c r="K9" s="19">
        <v>2004</v>
      </c>
      <c r="L9" s="19">
        <v>2005</v>
      </c>
      <c r="M9" s="19">
        <v>2006</v>
      </c>
      <c r="N9" s="19">
        <v>2007</v>
      </c>
      <c r="O9" s="19">
        <v>2008</v>
      </c>
      <c r="P9" s="19">
        <v>2009</v>
      </c>
      <c r="Q9" s="19">
        <v>2010</v>
      </c>
      <c r="R9" s="19">
        <v>2011</v>
      </c>
      <c r="S9" s="19">
        <v>2012</v>
      </c>
      <c r="T9" s="19">
        <v>2013</v>
      </c>
      <c r="U9" s="19">
        <v>2014</v>
      </c>
      <c r="V9" s="19">
        <v>2015</v>
      </c>
      <c r="W9" s="19">
        <v>2016</v>
      </c>
      <c r="X9" s="19">
        <v>2017</v>
      </c>
      <c r="Y9" s="19">
        <v>2018</v>
      </c>
      <c r="Z9" s="19">
        <v>2019</v>
      </c>
      <c r="AA9" s="19">
        <v>2020</v>
      </c>
      <c r="AB9" s="19">
        <v>2021</v>
      </c>
      <c r="AC9" s="19">
        <v>2022</v>
      </c>
      <c r="AD9" s="26">
        <v>2023</v>
      </c>
      <c r="AE9" s="28">
        <v>2024</v>
      </c>
      <c r="AF9" s="28">
        <v>2025</v>
      </c>
      <c r="AG9" s="28">
        <v>2026</v>
      </c>
      <c r="AH9" s="28">
        <v>2027</v>
      </c>
      <c r="AI9" s="28">
        <v>2028</v>
      </c>
      <c r="AJ9" s="28">
        <v>2029</v>
      </c>
      <c r="AK9" s="28">
        <v>2030</v>
      </c>
      <c r="AL9" s="28">
        <v>2031</v>
      </c>
      <c r="AM9" s="28">
        <v>2032</v>
      </c>
      <c r="AN9" s="28">
        <v>2033</v>
      </c>
      <c r="AO9" s="30">
        <v>2034</v>
      </c>
      <c r="AP9" s="30">
        <v>2035</v>
      </c>
      <c r="AQ9" s="30">
        <v>2036</v>
      </c>
      <c r="AR9" s="30">
        <v>2037</v>
      </c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</row>
    <row r="10" spans="1:83" ht="12" outlineLevel="1" thickBot="1" x14ac:dyDescent="0.2">
      <c r="A10" t="s">
        <v>38</v>
      </c>
      <c r="AD10" s="2">
        <f t="shared" ref="AD10:AN10" si="0">AD2</f>
        <v>41182.5</v>
      </c>
      <c r="AE10" s="2">
        <f t="shared" si="0"/>
        <v>43886.583910000001</v>
      </c>
      <c r="AF10" s="2">
        <f t="shared" si="0"/>
        <v>46523.352449999998</v>
      </c>
      <c r="AG10" s="2">
        <f t="shared" si="0"/>
        <v>49491.281360000001</v>
      </c>
      <c r="AH10" s="2">
        <f t="shared" si="0"/>
        <v>53979.932280000001</v>
      </c>
      <c r="AI10" s="2">
        <f t="shared" si="0"/>
        <v>57012.380649999999</v>
      </c>
      <c r="AJ10" s="2">
        <f t="shared" si="0"/>
        <v>62728.5</v>
      </c>
      <c r="AK10" s="2">
        <f t="shared" si="0"/>
        <v>67219.5</v>
      </c>
      <c r="AL10" s="2">
        <f t="shared" si="0"/>
        <v>71981</v>
      </c>
      <c r="AM10" s="2">
        <f t="shared" si="0"/>
        <v>77026</v>
      </c>
      <c r="AN10" s="2">
        <f t="shared" si="0"/>
        <v>82389.5</v>
      </c>
      <c r="AO10" s="2">
        <f>+AN10*(1+AO11)</f>
        <v>87757.114046769595</v>
      </c>
      <c r="AP10" s="2">
        <f>+AO10*(1+AP11)</f>
        <v>93081.001692573176</v>
      </c>
      <c r="AQ10" s="2">
        <f>+AP10*(1+AQ11)</f>
        <v>98310.579334990791</v>
      </c>
      <c r="AR10" s="2">
        <f>+AQ10*(1+AR11)</f>
        <v>103393.23628660983</v>
      </c>
      <c r="AT10" s="12"/>
    </row>
    <row r="11" spans="1:83" ht="12" outlineLevel="1" thickBot="1" x14ac:dyDescent="0.2">
      <c r="A11" t="s">
        <v>32</v>
      </c>
      <c r="AE11" s="5">
        <f>AE10/AD10-1</f>
        <v>6.5660994597219746E-2</v>
      </c>
      <c r="AF11" s="5">
        <f t="shared" ref="AF11:AN11" si="1">AF10/AE10-1</f>
        <v>6.0081425918392828E-2</v>
      </c>
      <c r="AG11" s="5">
        <f t="shared" si="1"/>
        <v>6.3794390423383973E-2</v>
      </c>
      <c r="AH11" s="5">
        <f t="shared" si="1"/>
        <v>9.0695791190967823E-2</v>
      </c>
      <c r="AI11" s="5">
        <f t="shared" si="1"/>
        <v>5.6177328164665807E-2</v>
      </c>
      <c r="AJ11" s="5">
        <f t="shared" si="1"/>
        <v>0.10026101848107971</v>
      </c>
      <c r="AK11" s="5">
        <f t="shared" si="1"/>
        <v>7.1594251416820187E-2</v>
      </c>
      <c r="AL11" s="5">
        <f t="shared" si="1"/>
        <v>7.0835099933798995E-2</v>
      </c>
      <c r="AM11" s="5">
        <f t="shared" si="1"/>
        <v>7.0087939873022087E-2</v>
      </c>
      <c r="AN11" s="16">
        <f t="shared" si="1"/>
        <v>6.96323319398644E-2</v>
      </c>
      <c r="AO11" s="23">
        <f>AN11-($AN11-$AR11)/4</f>
        <v>6.5149248954898306E-2</v>
      </c>
      <c r="AP11" s="23">
        <f>AO11-($AN11-$AR11)/4</f>
        <v>6.0666165969932205E-2</v>
      </c>
      <c r="AQ11" s="23">
        <f>AP11-($AN11-$AR11)/4</f>
        <v>5.6183082984966104E-2</v>
      </c>
      <c r="AR11" s="16">
        <f>AR48</f>
        <v>5.1700000000000003E-2</v>
      </c>
      <c r="AT11" s="12"/>
    </row>
    <row r="12" spans="1:83" outlineLevel="2" x14ac:dyDescent="0.15">
      <c r="AO12" s="31"/>
      <c r="AP12" s="31"/>
      <c r="AQ12" s="31"/>
      <c r="AR12" s="31"/>
      <c r="AT12" s="12"/>
    </row>
    <row r="13" spans="1:83" ht="12" outlineLevel="2" thickBot="1" x14ac:dyDescent="0.2">
      <c r="A13" t="s">
        <v>5</v>
      </c>
      <c r="AD13" s="2">
        <f t="shared" ref="AD13:AN13" si="2">AD3</f>
        <v>9858.2999999999993</v>
      </c>
      <c r="AE13" s="2">
        <f t="shared" si="2"/>
        <v>10385.79262</v>
      </c>
      <c r="AF13" s="2">
        <f t="shared" si="2"/>
        <v>11136.478660000001</v>
      </c>
      <c r="AG13" s="2">
        <f t="shared" si="2"/>
        <v>11948.048210000001</v>
      </c>
      <c r="AH13" s="2">
        <f t="shared" si="2"/>
        <v>12515.15791</v>
      </c>
      <c r="AI13" s="2">
        <f t="shared" si="2"/>
        <v>13437.30098</v>
      </c>
      <c r="AJ13" s="2">
        <f t="shared" si="2"/>
        <v>15725</v>
      </c>
      <c r="AK13" s="2">
        <f t="shared" si="2"/>
        <v>17123</v>
      </c>
      <c r="AL13" s="2">
        <f t="shared" si="2"/>
        <v>18342</v>
      </c>
      <c r="AM13" s="2">
        <f t="shared" si="2"/>
        <v>19879</v>
      </c>
      <c r="AN13" s="2">
        <f t="shared" si="2"/>
        <v>21417</v>
      </c>
      <c r="AO13" s="2">
        <f>+AO14*AO10</f>
        <v>22812.301464867058</v>
      </c>
      <c r="AP13" s="2">
        <f>+AP14*AP10</f>
        <v>24196.236331690805</v>
      </c>
      <c r="AQ13" s="2">
        <f>+AQ14*AQ10</f>
        <v>25555.655485438045</v>
      </c>
      <c r="AR13" s="2">
        <f>+AR14*AR10</f>
        <v>26876.882874035193</v>
      </c>
      <c r="AT13" s="12"/>
    </row>
    <row r="14" spans="1:83" ht="12" outlineLevel="2" thickBot="1" x14ac:dyDescent="0.2">
      <c r="A14" t="s">
        <v>31</v>
      </c>
      <c r="AD14" s="9">
        <f>AD13/AD10</f>
        <v>0.23938080495356034</v>
      </c>
      <c r="AE14" s="9">
        <f t="shared" ref="AE14:AN14" si="3">AE13/AE10</f>
        <v>0.23665074140421971</v>
      </c>
      <c r="AF14" s="9">
        <f t="shared" si="3"/>
        <v>0.23937395036113743</v>
      </c>
      <c r="AG14" s="9">
        <f t="shared" si="3"/>
        <v>0.2414172331302113</v>
      </c>
      <c r="AH14" s="9">
        <f t="shared" si="3"/>
        <v>0.23184834403056423</v>
      </c>
      <c r="AI14" s="9">
        <f t="shared" si="3"/>
        <v>0.23569092935255284</v>
      </c>
      <c r="AJ14" s="9">
        <f t="shared" si="3"/>
        <v>0.25068350111990562</v>
      </c>
      <c r="AK14" s="9">
        <f t="shared" si="3"/>
        <v>0.25473262966847415</v>
      </c>
      <c r="AL14" s="9">
        <f t="shared" si="3"/>
        <v>0.25481724343924089</v>
      </c>
      <c r="AM14" s="9">
        <f t="shared" si="3"/>
        <v>0.25808168670319115</v>
      </c>
      <c r="AN14" s="18">
        <f t="shared" si="3"/>
        <v>0.25994817300748274</v>
      </c>
      <c r="AO14" s="24">
        <f>+AN14</f>
        <v>0.25994817300748274</v>
      </c>
      <c r="AP14" s="24">
        <f>+AO14</f>
        <v>0.25994817300748274</v>
      </c>
      <c r="AQ14" s="24">
        <f>+AP14</f>
        <v>0.25994817300748274</v>
      </c>
      <c r="AR14" s="24">
        <f>+AQ14</f>
        <v>0.25994817300748274</v>
      </c>
      <c r="AT14" s="12"/>
    </row>
    <row r="15" spans="1:83" outlineLevel="2" x14ac:dyDescent="0.15">
      <c r="AT15" s="12"/>
    </row>
    <row r="16" spans="1:83" ht="12" outlineLevel="2" thickBot="1" x14ac:dyDescent="0.2">
      <c r="A16" s="37" t="s">
        <v>30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8">
        <f t="shared" ref="AD16:AN16" si="4">-AD5</f>
        <v>-1715</v>
      </c>
      <c r="AE16" s="38">
        <f t="shared" si="4"/>
        <v>-1724.93256</v>
      </c>
      <c r="AF16" s="38">
        <f t="shared" si="4"/>
        <v>-1782.2378900000001</v>
      </c>
      <c r="AG16" s="38">
        <f t="shared" si="4"/>
        <v>-1840.9936700000001</v>
      </c>
      <c r="AH16" s="38">
        <f t="shared" si="4"/>
        <v>-2449</v>
      </c>
      <c r="AI16" s="38">
        <f t="shared" si="4"/>
        <v>-2643</v>
      </c>
      <c r="AJ16" s="38">
        <f t="shared" si="4"/>
        <v>-2849.3</v>
      </c>
      <c r="AK16" s="38">
        <f t="shared" si="4"/>
        <v>-2725.9</v>
      </c>
      <c r="AL16" s="38">
        <f t="shared" si="4"/>
        <v>-2936.5</v>
      </c>
      <c r="AM16" s="38">
        <f t="shared" si="4"/>
        <v>-3166.2</v>
      </c>
      <c r="AN16" s="38">
        <f t="shared" si="4"/>
        <v>-2989.8</v>
      </c>
      <c r="AO16" s="38">
        <f>+AO17*AO10</f>
        <v>-3184.583224525355</v>
      </c>
      <c r="AP16" s="38">
        <f>+AP17*AP10</f>
        <v>-3377.7796789694717</v>
      </c>
      <c r="AQ16" s="38">
        <f>+AQ17*AQ10</f>
        <v>-3567.553754977946</v>
      </c>
      <c r="AR16" s="38">
        <f>+AR17*AR10</f>
        <v>-3751.9962841103061</v>
      </c>
      <c r="AT16" s="12"/>
    </row>
    <row r="17" spans="1:46" ht="12" outlineLevel="2" thickBot="1" x14ac:dyDescent="0.2">
      <c r="A17" t="s">
        <v>37</v>
      </c>
      <c r="AD17" s="32">
        <f>AD16/AD10</f>
        <v>-4.16439021429005E-2</v>
      </c>
      <c r="AE17" s="32">
        <f t="shared" ref="AE17:AN17" si="5">AE16/AE10</f>
        <v>-3.930432506520419E-2</v>
      </c>
      <c r="AF17" s="32">
        <f t="shared" si="5"/>
        <v>-3.830845792799268E-2</v>
      </c>
      <c r="AG17" s="32">
        <f t="shared" si="5"/>
        <v>-3.7198343211374878E-2</v>
      </c>
      <c r="AH17" s="32">
        <f t="shared" si="5"/>
        <v>-4.5368711974234435E-2</v>
      </c>
      <c r="AI17" s="32">
        <f t="shared" si="5"/>
        <v>-4.6358351815291195E-2</v>
      </c>
      <c r="AJ17" s="32">
        <f t="shared" si="5"/>
        <v>-4.5422734482731139E-2</v>
      </c>
      <c r="AK17" s="32">
        <f t="shared" si="5"/>
        <v>-4.0552220709764282E-2</v>
      </c>
      <c r="AL17" s="32">
        <f t="shared" si="5"/>
        <v>-4.0795487698142563E-2</v>
      </c>
      <c r="AM17" s="32">
        <f t="shared" si="5"/>
        <v>-4.1105600706255026E-2</v>
      </c>
      <c r="AN17" s="33">
        <f t="shared" si="5"/>
        <v>-3.6288604737254142E-2</v>
      </c>
      <c r="AO17" s="34">
        <f>+AN17</f>
        <v>-3.6288604737254142E-2</v>
      </c>
      <c r="AP17" s="34">
        <f>+AO17</f>
        <v>-3.6288604737254142E-2</v>
      </c>
      <c r="AQ17" s="34">
        <f>+AP17</f>
        <v>-3.6288604737254142E-2</v>
      </c>
      <c r="AR17" s="34">
        <f>+AQ17</f>
        <v>-3.6288604737254142E-2</v>
      </c>
      <c r="AT17" s="12"/>
    </row>
    <row r="18" spans="1:46" ht="12" outlineLevel="2" thickBot="1" x14ac:dyDescent="0.2"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24"/>
      <c r="AO18" s="24"/>
      <c r="AP18" s="24"/>
      <c r="AQ18" s="24"/>
      <c r="AR18" s="24"/>
      <c r="AT18" s="12"/>
    </row>
    <row r="19" spans="1:46" ht="12" outlineLevel="2" thickBot="1" x14ac:dyDescent="0.2">
      <c r="A19" t="s">
        <v>36</v>
      </c>
      <c r="AD19" s="2">
        <f t="shared" ref="AD19:AN19" si="6">AD4-(AD13+AD16)</f>
        <v>0</v>
      </c>
      <c r="AE19" s="2">
        <f t="shared" si="6"/>
        <v>138.29847999999947</v>
      </c>
      <c r="AF19" s="2">
        <f t="shared" si="6"/>
        <v>138.12729000000036</v>
      </c>
      <c r="AG19" s="2">
        <f t="shared" si="6"/>
        <v>121.47848999999951</v>
      </c>
      <c r="AH19" s="2">
        <f t="shared" si="6"/>
        <v>1254.3087599999999</v>
      </c>
      <c r="AI19" s="2">
        <f t="shared" si="6"/>
        <v>1573.2990200000004</v>
      </c>
      <c r="AJ19" s="2">
        <f t="shared" si="6"/>
        <v>555.79999999999927</v>
      </c>
      <c r="AK19" s="2">
        <f t="shared" si="6"/>
        <v>247.14999999999964</v>
      </c>
      <c r="AL19" s="2">
        <f t="shared" si="6"/>
        <v>524.64999999999964</v>
      </c>
      <c r="AM19" s="2">
        <f t="shared" si="6"/>
        <v>618.04999999999927</v>
      </c>
      <c r="AN19" s="17">
        <f t="shared" si="6"/>
        <v>370.45000000000073</v>
      </c>
      <c r="AO19" s="2">
        <f>+AN19</f>
        <v>370.45000000000073</v>
      </c>
      <c r="AP19" s="2">
        <f>+AO19</f>
        <v>370.45000000000073</v>
      </c>
      <c r="AQ19" s="2">
        <f>+AP19</f>
        <v>370.45000000000073</v>
      </c>
      <c r="AR19" s="2">
        <f>+AQ19</f>
        <v>370.45000000000073</v>
      </c>
      <c r="AT19" s="12"/>
    </row>
    <row r="20" spans="1:46" outlineLevel="2" x14ac:dyDescent="0.15">
      <c r="A20" t="s">
        <v>4</v>
      </c>
      <c r="AD20" s="2">
        <f t="shared" ref="AD20:AN20" si="7">AD13+AD16+AD19</f>
        <v>8143.2999999999993</v>
      </c>
      <c r="AE20" s="2">
        <f t="shared" si="7"/>
        <v>8799.1585400000004</v>
      </c>
      <c r="AF20" s="2">
        <f t="shared" si="7"/>
        <v>9492.3680600000007</v>
      </c>
      <c r="AG20" s="2">
        <f t="shared" si="7"/>
        <v>10228.533030000001</v>
      </c>
      <c r="AH20" s="2">
        <f t="shared" si="7"/>
        <v>11320.46667</v>
      </c>
      <c r="AI20" s="2">
        <f t="shared" si="7"/>
        <v>12367.6</v>
      </c>
      <c r="AJ20" s="2">
        <f t="shared" si="7"/>
        <v>13431.5</v>
      </c>
      <c r="AK20" s="2">
        <f t="shared" si="7"/>
        <v>14644.25</v>
      </c>
      <c r="AL20" s="2">
        <f t="shared" si="7"/>
        <v>15930.15</v>
      </c>
      <c r="AM20" s="2">
        <f t="shared" si="7"/>
        <v>17330.849999999999</v>
      </c>
      <c r="AN20" s="2">
        <f t="shared" si="7"/>
        <v>18797.650000000001</v>
      </c>
      <c r="AO20" s="2">
        <f>+AO13+AO16+AO19</f>
        <v>19998.168240341703</v>
      </c>
      <c r="AP20" s="2">
        <f>+AP13+AP16+AP19</f>
        <v>21188.906652721333</v>
      </c>
      <c r="AQ20" s="2">
        <f>+AQ13+AQ16+AQ19</f>
        <v>22358.551730460098</v>
      </c>
      <c r="AR20" s="2">
        <f>+AR13+AR16+AR19</f>
        <v>23495.336589924886</v>
      </c>
      <c r="AT20" s="12"/>
    </row>
    <row r="21" spans="1:46" outlineLevel="2" x14ac:dyDescent="0.15">
      <c r="A21" t="s">
        <v>39</v>
      </c>
      <c r="AD21" s="2">
        <f t="shared" ref="AD21:AN21" si="8">-AD7/100*AD20</f>
        <v>-1886.558311</v>
      </c>
      <c r="AE21" s="2">
        <f t="shared" si="8"/>
        <v>-2149.6344313220002</v>
      </c>
      <c r="AF21" s="2">
        <f t="shared" si="8"/>
        <v>-2298.0159267766539</v>
      </c>
      <c r="AG21" s="2">
        <f t="shared" si="8"/>
        <v>-2465.0764602300005</v>
      </c>
      <c r="AH21" s="2">
        <f t="shared" si="8"/>
        <v>-2755.4015874779998</v>
      </c>
      <c r="AI21" s="2">
        <f t="shared" si="8"/>
        <v>-3035.0090399999999</v>
      </c>
      <c r="AJ21" s="2">
        <f t="shared" si="8"/>
        <v>-3402.6462189499998</v>
      </c>
      <c r="AK21" s="2">
        <f t="shared" si="8"/>
        <v>-3758.6913214750002</v>
      </c>
      <c r="AL21" s="2">
        <f t="shared" si="8"/>
        <v>-4141.8389999999999</v>
      </c>
      <c r="AM21" s="2">
        <f t="shared" si="8"/>
        <v>-4506.0209999999997</v>
      </c>
      <c r="AN21" s="2">
        <f t="shared" si="8"/>
        <v>-4887.3890000000001</v>
      </c>
      <c r="AO21" s="2">
        <f>-$AN$7/100*AO20</f>
        <v>-5199.5237424888428</v>
      </c>
      <c r="AP21" s="2">
        <f>-$AN$7/100*AP20</f>
        <v>-5509.115729707547</v>
      </c>
      <c r="AQ21" s="2">
        <f>-$AN$7/100*AQ20</f>
        <v>-5813.2234499196256</v>
      </c>
      <c r="AR21" s="2">
        <f>-$AN$7/100*AR20</f>
        <v>-6108.78751338047</v>
      </c>
      <c r="AT21" s="12"/>
    </row>
    <row r="22" spans="1:46" outlineLevel="2" x14ac:dyDescent="0.15">
      <c r="AD22" s="35" t="s">
        <v>40</v>
      </c>
      <c r="AE22" s="35" t="s">
        <v>40</v>
      </c>
      <c r="AF22" s="35" t="s">
        <v>40</v>
      </c>
      <c r="AG22" s="35" t="s">
        <v>40</v>
      </c>
      <c r="AH22" s="35" t="s">
        <v>40</v>
      </c>
      <c r="AI22" s="35" t="s">
        <v>40</v>
      </c>
      <c r="AJ22" s="35" t="s">
        <v>40</v>
      </c>
      <c r="AK22" s="35" t="s">
        <v>40</v>
      </c>
      <c r="AL22" s="35" t="s">
        <v>40</v>
      </c>
      <c r="AM22" s="35" t="s">
        <v>40</v>
      </c>
      <c r="AN22" s="35" t="s">
        <v>40</v>
      </c>
      <c r="AO22" s="35" t="s">
        <v>40</v>
      </c>
      <c r="AP22" s="35" t="s">
        <v>40</v>
      </c>
      <c r="AQ22" s="35" t="s">
        <v>40</v>
      </c>
      <c r="AR22" s="35" t="s">
        <v>40</v>
      </c>
      <c r="AT22" s="12"/>
    </row>
    <row r="23" spans="1:46" ht="12" outlineLevel="2" thickBot="1" x14ac:dyDescent="0.2">
      <c r="A23" t="s">
        <v>29</v>
      </c>
      <c r="AD23" s="36">
        <f>+AD20+AD21</f>
        <v>6256.7416889999995</v>
      </c>
      <c r="AE23" s="36">
        <f t="shared" ref="AE23:AR23" si="9">+AE20+AE21</f>
        <v>6649.5241086780006</v>
      </c>
      <c r="AF23" s="36">
        <f t="shared" si="9"/>
        <v>7194.3521332233468</v>
      </c>
      <c r="AG23" s="36">
        <f t="shared" si="9"/>
        <v>7763.45656977</v>
      </c>
      <c r="AH23" s="36">
        <f t="shared" si="9"/>
        <v>8565.065082522</v>
      </c>
      <c r="AI23" s="36">
        <f t="shared" si="9"/>
        <v>9332.5909600000014</v>
      </c>
      <c r="AJ23" s="36">
        <f t="shared" si="9"/>
        <v>10028.85378105</v>
      </c>
      <c r="AK23" s="36">
        <f t="shared" si="9"/>
        <v>10885.558678525</v>
      </c>
      <c r="AL23" s="36">
        <f t="shared" si="9"/>
        <v>11788.311</v>
      </c>
      <c r="AM23" s="36">
        <f t="shared" si="9"/>
        <v>12824.828999999998</v>
      </c>
      <c r="AN23" s="36">
        <f t="shared" si="9"/>
        <v>13910.261000000002</v>
      </c>
      <c r="AO23" s="36">
        <f t="shared" si="9"/>
        <v>14798.64449785286</v>
      </c>
      <c r="AP23" s="36">
        <f t="shared" si="9"/>
        <v>15679.790923013785</v>
      </c>
      <c r="AQ23" s="36">
        <f t="shared" si="9"/>
        <v>16545.328280540474</v>
      </c>
      <c r="AR23" s="36">
        <f t="shared" si="9"/>
        <v>17386.549076544416</v>
      </c>
      <c r="AT23" s="12"/>
    </row>
    <row r="24" spans="1:46" outlineLevel="2" x14ac:dyDescent="0.15">
      <c r="A24" s="39" t="s">
        <v>41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8">
        <f>-AD16</f>
        <v>1715</v>
      </c>
      <c r="AE24" s="38">
        <f t="shared" ref="AE24:AR24" si="10">-AE16</f>
        <v>1724.93256</v>
      </c>
      <c r="AF24" s="38">
        <f t="shared" si="10"/>
        <v>1782.2378900000001</v>
      </c>
      <c r="AG24" s="38">
        <f t="shared" si="10"/>
        <v>1840.9936700000001</v>
      </c>
      <c r="AH24" s="38">
        <f t="shared" si="10"/>
        <v>2449</v>
      </c>
      <c r="AI24" s="38">
        <f t="shared" si="10"/>
        <v>2643</v>
      </c>
      <c r="AJ24" s="38">
        <f t="shared" si="10"/>
        <v>2849.3</v>
      </c>
      <c r="AK24" s="38">
        <f t="shared" si="10"/>
        <v>2725.9</v>
      </c>
      <c r="AL24" s="38">
        <f t="shared" si="10"/>
        <v>2936.5</v>
      </c>
      <c r="AM24" s="38">
        <f t="shared" si="10"/>
        <v>3166.2</v>
      </c>
      <c r="AN24" s="38">
        <f t="shared" si="10"/>
        <v>2989.8</v>
      </c>
      <c r="AO24" s="38">
        <f t="shared" si="10"/>
        <v>3184.583224525355</v>
      </c>
      <c r="AP24" s="38">
        <f t="shared" si="10"/>
        <v>3377.7796789694717</v>
      </c>
      <c r="AQ24" s="38">
        <f t="shared" si="10"/>
        <v>3567.553754977946</v>
      </c>
      <c r="AR24" s="40">
        <f t="shared" si="10"/>
        <v>3751.9962841103061</v>
      </c>
      <c r="AT24" s="12"/>
    </row>
    <row r="25" spans="1:46" ht="12" outlineLevel="2" thickBot="1" x14ac:dyDescent="0.2">
      <c r="A25" t="s">
        <v>28</v>
      </c>
      <c r="AD25" s="2">
        <f t="shared" ref="AD25:AN25" si="11">+AD6</f>
        <v>-1475.9</v>
      </c>
      <c r="AE25" s="2">
        <f t="shared" si="11"/>
        <v>-1655.1635200000001</v>
      </c>
      <c r="AF25" s="2">
        <f t="shared" si="11"/>
        <v>-1752.5326399999999</v>
      </c>
      <c r="AG25" s="2">
        <f t="shared" si="11"/>
        <v>-1850.9856</v>
      </c>
      <c r="AH25" s="2">
        <f t="shared" si="11"/>
        <v>-1969.6714300000001</v>
      </c>
      <c r="AI25" s="2">
        <f t="shared" si="11"/>
        <v>-2045.70174</v>
      </c>
      <c r="AJ25" s="2">
        <f t="shared" si="11"/>
        <v>-2222.6999999999998</v>
      </c>
      <c r="AK25" s="2">
        <f t="shared" si="11"/>
        <v>-2475.6333300000001</v>
      </c>
      <c r="AL25" s="2">
        <f t="shared" si="11"/>
        <v>-2631.8333299999999</v>
      </c>
      <c r="AM25" s="2">
        <f t="shared" si="11"/>
        <v>-2823.73333</v>
      </c>
      <c r="AN25" s="2">
        <f t="shared" si="11"/>
        <v>-3029.6333300000001</v>
      </c>
      <c r="AO25" s="2">
        <f>AN25-($AN25-$AR25)/4</f>
        <v>-3210.2240685275765</v>
      </c>
      <c r="AP25" s="2">
        <f>AO25-($AN25-$AR25)/4</f>
        <v>-3390.8148070551529</v>
      </c>
      <c r="AQ25" s="2">
        <f>AP25-($AN25-$AR25)/4</f>
        <v>-3571.4055455827292</v>
      </c>
      <c r="AR25" s="41">
        <f>-AR24</f>
        <v>-3751.9962841103061</v>
      </c>
      <c r="AT25" s="12"/>
    </row>
    <row r="26" spans="1:46" outlineLevel="1" x14ac:dyDescent="0.15">
      <c r="A26" t="s">
        <v>27</v>
      </c>
      <c r="AD26" s="2"/>
      <c r="AE26" s="2">
        <f>AD36-AE36</f>
        <v>99.482972914247966</v>
      </c>
      <c r="AF26" s="2">
        <f t="shared" ref="AF26:AR26" si="12">AE36-AF36</f>
        <v>97.006447276246035</v>
      </c>
      <c r="AG26" s="2">
        <f t="shared" si="12"/>
        <v>109.18980371616613</v>
      </c>
      <c r="AH26" s="2">
        <f t="shared" si="12"/>
        <v>165.13701229629123</v>
      </c>
      <c r="AI26" s="2">
        <f t="shared" si="12"/>
        <v>111.56346810871128</v>
      </c>
      <c r="AJ26" s="2">
        <f t="shared" si="12"/>
        <v>210.29545139768152</v>
      </c>
      <c r="AK26" s="2">
        <f t="shared" si="12"/>
        <v>165.22343471134627</v>
      </c>
      <c r="AL26" s="2">
        <f t="shared" si="12"/>
        <v>175.17510228859373</v>
      </c>
      <c r="AM26" s="2">
        <f t="shared" si="12"/>
        <v>185.60503854792751</v>
      </c>
      <c r="AN26" s="2">
        <f t="shared" si="12"/>
        <v>197.32262125903026</v>
      </c>
      <c r="AO26" s="2">
        <f t="shared" si="12"/>
        <v>197.47397662260983</v>
      </c>
      <c r="AP26" s="2">
        <f t="shared" si="12"/>
        <v>195.86528676396574</v>
      </c>
      <c r="AQ26" s="2">
        <f t="shared" si="12"/>
        <v>192.39563130035685</v>
      </c>
      <c r="AR26" s="2">
        <f t="shared" si="12"/>
        <v>186.99043398040476</v>
      </c>
      <c r="AT26" s="12"/>
    </row>
    <row r="27" spans="1:46" outlineLevel="1" x14ac:dyDescent="0.15">
      <c r="AD27" s="12"/>
      <c r="AE27" s="12" t="s">
        <v>14</v>
      </c>
      <c r="AF27" s="12" t="s">
        <v>14</v>
      </c>
      <c r="AG27" s="12" t="s">
        <v>14</v>
      </c>
      <c r="AH27" s="12" t="s">
        <v>14</v>
      </c>
      <c r="AI27" s="12" t="s">
        <v>14</v>
      </c>
      <c r="AJ27" s="12" t="s">
        <v>14</v>
      </c>
      <c r="AK27" s="12" t="s">
        <v>14</v>
      </c>
      <c r="AL27" s="12" t="s">
        <v>14</v>
      </c>
      <c r="AM27" s="12" t="s">
        <v>14</v>
      </c>
      <c r="AN27" s="12" t="s">
        <v>14</v>
      </c>
      <c r="AO27" s="12" t="s">
        <v>14</v>
      </c>
      <c r="AP27" s="12" t="s">
        <v>14</v>
      </c>
      <c r="AQ27" s="12" t="s">
        <v>14</v>
      </c>
      <c r="AR27" s="12" t="s">
        <v>14</v>
      </c>
      <c r="AT27" s="12"/>
    </row>
    <row r="28" spans="1:46" x14ac:dyDescent="0.15">
      <c r="A28" s="1" t="s">
        <v>26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3">
        <f>+SUM(AE23:AE26)</f>
        <v>6818.7761215922474</v>
      </c>
      <c r="AF28" s="3">
        <f t="shared" ref="AF28:AR28" si="13">+SUM(AF23:AF26)</f>
        <v>7321.0638304995937</v>
      </c>
      <c r="AG28" s="3">
        <f t="shared" si="13"/>
        <v>7862.6544434861662</v>
      </c>
      <c r="AH28" s="3">
        <f t="shared" si="13"/>
        <v>9209.5306648182905</v>
      </c>
      <c r="AI28" s="3">
        <f t="shared" si="13"/>
        <v>10041.452688108711</v>
      </c>
      <c r="AJ28" s="3">
        <f t="shared" si="13"/>
        <v>10865.749232447683</v>
      </c>
      <c r="AK28" s="3">
        <f t="shared" si="13"/>
        <v>11301.048783236345</v>
      </c>
      <c r="AL28" s="3">
        <f t="shared" si="13"/>
        <v>12268.152772288595</v>
      </c>
      <c r="AM28" s="3">
        <f t="shared" si="13"/>
        <v>13352.900708547928</v>
      </c>
      <c r="AN28" s="3">
        <f t="shared" si="13"/>
        <v>14067.750291259032</v>
      </c>
      <c r="AO28" s="3">
        <f t="shared" si="13"/>
        <v>14970.47763047325</v>
      </c>
      <c r="AP28" s="3">
        <f t="shared" si="13"/>
        <v>15862.621081692072</v>
      </c>
      <c r="AQ28" s="3">
        <f t="shared" si="13"/>
        <v>16733.872121236051</v>
      </c>
      <c r="AR28" s="3">
        <f t="shared" si="13"/>
        <v>17573.539510524824</v>
      </c>
      <c r="AT28" s="12"/>
    </row>
    <row r="29" spans="1:46" x14ac:dyDescent="0.15">
      <c r="A29" t="s">
        <v>25</v>
      </c>
      <c r="AE29" s="6">
        <f>+AR42</f>
        <v>0.19452054794520549</v>
      </c>
      <c r="AF29" s="6">
        <f>+AE29+1</f>
        <v>1.1945205479452055</v>
      </c>
      <c r="AG29" s="6">
        <f t="shared" ref="AG29:AR29" si="14">+AF29+1</f>
        <v>2.1945205479452055</v>
      </c>
      <c r="AH29" s="6">
        <f t="shared" si="14"/>
        <v>3.1945205479452055</v>
      </c>
      <c r="AI29" s="6">
        <f t="shared" si="14"/>
        <v>4.1945205479452055</v>
      </c>
      <c r="AJ29" s="6">
        <f t="shared" si="14"/>
        <v>5.1945205479452055</v>
      </c>
      <c r="AK29" s="6">
        <f t="shared" si="14"/>
        <v>6.1945205479452055</v>
      </c>
      <c r="AL29" s="6">
        <f t="shared" si="14"/>
        <v>7.1945205479452055</v>
      </c>
      <c r="AM29" s="6">
        <f t="shared" si="14"/>
        <v>8.1945205479452063</v>
      </c>
      <c r="AN29" s="6">
        <f t="shared" si="14"/>
        <v>9.1945205479452063</v>
      </c>
      <c r="AO29" s="6">
        <f t="shared" si="14"/>
        <v>10.194520547945206</v>
      </c>
      <c r="AP29" s="6">
        <f t="shared" si="14"/>
        <v>11.194520547945206</v>
      </c>
      <c r="AQ29" s="6">
        <f t="shared" si="14"/>
        <v>12.194520547945206</v>
      </c>
      <c r="AR29" s="6">
        <f t="shared" si="14"/>
        <v>13.194520547945206</v>
      </c>
      <c r="AT29" s="12"/>
    </row>
    <row r="30" spans="1:46" x14ac:dyDescent="0.15">
      <c r="A30" t="s">
        <v>44</v>
      </c>
      <c r="AD30" s="66">
        <f ca="1">AD58</f>
        <v>8.749168804445745E-2</v>
      </c>
      <c r="AE30" s="6">
        <f ca="1">(1+$AD$30)^-AE29</f>
        <v>0.98381718630507298</v>
      </c>
      <c r="AF30" s="6">
        <f t="shared" ref="AF30:AR30" ca="1" si="15">(1+$AD$30)^-AF29</f>
        <v>0.904666396185691</v>
      </c>
      <c r="AG30" s="6">
        <f t="shared" ca="1" si="15"/>
        <v>0.83188350415116696</v>
      </c>
      <c r="AH30" s="6">
        <f t="shared" ca="1" si="15"/>
        <v>0.76495619534074</v>
      </c>
      <c r="AI30" s="6">
        <f t="shared" ca="1" si="15"/>
        <v>0.70341337202888854</v>
      </c>
      <c r="AJ30" s="6">
        <f t="shared" ca="1" si="15"/>
        <v>0.64682183759378997</v>
      </c>
      <c r="AK30" s="6">
        <f t="shared" ca="1" si="15"/>
        <v>0.59478324726960807</v>
      </c>
      <c r="AL30" s="6">
        <f t="shared" ca="1" si="15"/>
        <v>0.54693130421912051</v>
      </c>
      <c r="AM30" s="6">
        <f t="shared" ca="1" si="15"/>
        <v>0.50292918118999141</v>
      </c>
      <c r="AN30" s="6">
        <f t="shared" ca="1" si="15"/>
        <v>0.4624671496058656</v>
      </c>
      <c r="AO30" s="6">
        <f t="shared" ca="1" si="15"/>
        <v>0.42526039940358568</v>
      </c>
      <c r="AP30" s="6">
        <f t="shared" ca="1" si="15"/>
        <v>0.39104703427048243</v>
      </c>
      <c r="AQ30" s="6">
        <f t="shared" ca="1" si="15"/>
        <v>0.35958622817032149</v>
      </c>
      <c r="AR30" s="6">
        <f t="shared" ca="1" si="15"/>
        <v>0.33065653018179342</v>
      </c>
      <c r="AT30" s="12"/>
    </row>
    <row r="31" spans="1:46" ht="12" thickBot="1" x14ac:dyDescent="0.2">
      <c r="A31" s="10" t="s">
        <v>24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4">
        <f ca="1">AE28*AE30</f>
        <v>6708.4291379891029</v>
      </c>
      <c r="AF31" s="4">
        <f t="shared" ref="AF31:AR31" ca="1" si="16">AF28*AF30</f>
        <v>6623.1204317834781</v>
      </c>
      <c r="AG31" s="4">
        <f t="shared" ca="1" si="16"/>
        <v>6540.8125303770157</v>
      </c>
      <c r="AH31" s="4">
        <f t="shared" ca="1" si="16"/>
        <v>7044.8875382332753</v>
      </c>
      <c r="AI31" s="4">
        <f t="shared" ca="1" si="16"/>
        <v>7063.2920954110959</v>
      </c>
      <c r="AJ31" s="4">
        <f t="shared" ca="1" si="16"/>
        <v>7028.2038853651229</v>
      </c>
      <c r="AK31" s="4">
        <f t="shared" ca="1" si="16"/>
        <v>6721.6744928455664</v>
      </c>
      <c r="AL31" s="4">
        <f t="shared" ca="1" si="16"/>
        <v>6709.8367961072199</v>
      </c>
      <c r="AM31" s="4">
        <f t="shared" ca="1" si="16"/>
        <v>6715.5634198612652</v>
      </c>
      <c r="AN31" s="4">
        <f t="shared" ca="1" si="16"/>
        <v>6505.8723785656503</v>
      </c>
      <c r="AO31" s="4">
        <f t="shared" ca="1" si="16"/>
        <v>6366.351296397499</v>
      </c>
      <c r="AP31" s="4">
        <f t="shared" ca="1" si="16"/>
        <v>6203.0309297521171</v>
      </c>
      <c r="AQ31" s="4">
        <f t="shared" ca="1" si="16"/>
        <v>6017.2699587597681</v>
      </c>
      <c r="AR31" s="77">
        <f t="shared" ca="1" si="16"/>
        <v>5810.8055975627904</v>
      </c>
      <c r="AT31" s="12"/>
    </row>
    <row r="32" spans="1:46" ht="12" thickTop="1" x14ac:dyDescent="0.15">
      <c r="A32" s="1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T32" s="12"/>
    </row>
    <row r="33" spans="1:46" ht="14" outlineLevel="1" x14ac:dyDescent="0.3">
      <c r="AD33" s="26">
        <v>2023</v>
      </c>
      <c r="AE33" s="42">
        <v>2024</v>
      </c>
      <c r="AF33" s="42">
        <v>2025</v>
      </c>
      <c r="AG33" s="42">
        <v>2026</v>
      </c>
      <c r="AH33" s="42">
        <v>2027</v>
      </c>
      <c r="AI33" s="42">
        <v>2028</v>
      </c>
      <c r="AJ33" s="42">
        <v>2029</v>
      </c>
      <c r="AK33" s="42">
        <v>2030</v>
      </c>
      <c r="AL33" s="42">
        <v>2031</v>
      </c>
      <c r="AM33" s="42">
        <v>2032</v>
      </c>
      <c r="AN33" s="42">
        <v>2033</v>
      </c>
      <c r="AO33" s="42">
        <v>2034</v>
      </c>
      <c r="AP33" s="42">
        <v>2035</v>
      </c>
      <c r="AQ33" s="42">
        <v>2036</v>
      </c>
      <c r="AR33" s="42">
        <v>2037</v>
      </c>
      <c r="AT33" s="12"/>
    </row>
    <row r="34" spans="1:46" outlineLevel="2" x14ac:dyDescent="0.15">
      <c r="A34" s="11" t="s">
        <v>23</v>
      </c>
      <c r="AD34" s="22">
        <v>22427.100000000002</v>
      </c>
    </row>
    <row r="35" spans="1:46" outlineLevel="2" x14ac:dyDescent="0.15">
      <c r="A35" s="11" t="s">
        <v>22</v>
      </c>
      <c r="AD35" s="22">
        <v>13102.6</v>
      </c>
    </row>
    <row r="36" spans="1:46" ht="12" outlineLevel="1" thickBot="1" x14ac:dyDescent="0.2">
      <c r="A36" s="11" t="s">
        <v>21</v>
      </c>
      <c r="AD36" s="22">
        <v>-1515.1000000000029</v>
      </c>
      <c r="AE36" s="2">
        <f>+AE37*AE10</f>
        <v>-1614.5829729142508</v>
      </c>
      <c r="AF36" s="2">
        <f t="shared" ref="AF36:AR36" si="17">+AF37*AF10</f>
        <v>-1711.5894201904969</v>
      </c>
      <c r="AG36" s="2">
        <f t="shared" si="17"/>
        <v>-1820.779223906663</v>
      </c>
      <c r="AH36" s="2">
        <f t="shared" si="17"/>
        <v>-1985.9162362029542</v>
      </c>
      <c r="AI36" s="2">
        <f t="shared" si="17"/>
        <v>-2097.4797043116655</v>
      </c>
      <c r="AJ36" s="2">
        <f t="shared" si="17"/>
        <v>-2307.775155709347</v>
      </c>
      <c r="AK36" s="2">
        <f t="shared" si="17"/>
        <v>-2472.9985904206933</v>
      </c>
      <c r="AL36" s="2">
        <f t="shared" si="17"/>
        <v>-2648.173692709287</v>
      </c>
      <c r="AM36" s="2">
        <f t="shared" si="17"/>
        <v>-2833.7787312572145</v>
      </c>
      <c r="AN36" s="2">
        <f t="shared" si="17"/>
        <v>-3031.1013525162448</v>
      </c>
      <c r="AO36" s="2">
        <f t="shared" si="17"/>
        <v>-3228.5753291388546</v>
      </c>
      <c r="AP36" s="2">
        <f t="shared" si="17"/>
        <v>-3424.4406159028204</v>
      </c>
      <c r="AQ36" s="2">
        <f t="shared" si="17"/>
        <v>-3616.8362472031772</v>
      </c>
      <c r="AR36" s="2">
        <f t="shared" si="17"/>
        <v>-3803.826681183582</v>
      </c>
    </row>
    <row r="37" spans="1:46" ht="12" outlineLevel="1" thickBot="1" x14ac:dyDescent="0.2">
      <c r="A37" s="11" t="s">
        <v>42</v>
      </c>
      <c r="AD37" s="18">
        <f>+AD36/AD10</f>
        <v>-3.6789898621987567E-2</v>
      </c>
      <c r="AE37" s="13">
        <f>+AD37</f>
        <v>-3.6789898621987567E-2</v>
      </c>
      <c r="AF37" s="13">
        <f t="shared" ref="AF37:AR37" si="18">+AE37</f>
        <v>-3.6789898621987567E-2</v>
      </c>
      <c r="AG37" s="13">
        <f t="shared" si="18"/>
        <v>-3.6789898621987567E-2</v>
      </c>
      <c r="AH37" s="13">
        <f t="shared" si="18"/>
        <v>-3.6789898621987567E-2</v>
      </c>
      <c r="AI37" s="13">
        <f t="shared" si="18"/>
        <v>-3.6789898621987567E-2</v>
      </c>
      <c r="AJ37" s="13">
        <f t="shared" si="18"/>
        <v>-3.6789898621987567E-2</v>
      </c>
      <c r="AK37" s="13">
        <f t="shared" si="18"/>
        <v>-3.6789898621987567E-2</v>
      </c>
      <c r="AL37" s="13">
        <f t="shared" si="18"/>
        <v>-3.6789898621987567E-2</v>
      </c>
      <c r="AM37" s="13">
        <f t="shared" si="18"/>
        <v>-3.6789898621987567E-2</v>
      </c>
      <c r="AN37" s="13">
        <f t="shared" si="18"/>
        <v>-3.6789898621987567E-2</v>
      </c>
      <c r="AO37" s="13">
        <f t="shared" si="18"/>
        <v>-3.6789898621987567E-2</v>
      </c>
      <c r="AP37" s="13">
        <f t="shared" si="18"/>
        <v>-3.6789898621987567E-2</v>
      </c>
      <c r="AQ37" s="13">
        <f t="shared" si="18"/>
        <v>-3.6789898621987567E-2</v>
      </c>
      <c r="AR37" s="13">
        <f t="shared" si="18"/>
        <v>-3.6789898621987567E-2</v>
      </c>
    </row>
    <row r="38" spans="1:46" outlineLevel="1" x14ac:dyDescent="0.15">
      <c r="A38" s="11"/>
      <c r="AD38" s="12" t="s">
        <v>14</v>
      </c>
      <c r="AQ38" s="43"/>
      <c r="AR38" s="2"/>
    </row>
    <row r="39" spans="1:46" x14ac:dyDescent="0.15">
      <c r="A39" s="21" t="s">
        <v>13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3">
        <f>SUM(AD34:AD36)</f>
        <v>34014.6</v>
      </c>
      <c r="AN39" t="s">
        <v>12</v>
      </c>
      <c r="AQ39" s="102">
        <v>45586</v>
      </c>
      <c r="AR39" s="103"/>
    </row>
    <row r="40" spans="1:46" x14ac:dyDescent="0.15">
      <c r="A40" s="11"/>
      <c r="AD40" s="2"/>
      <c r="AN40" t="s">
        <v>10</v>
      </c>
      <c r="AQ40" s="102">
        <v>45657</v>
      </c>
      <c r="AR40" s="103"/>
    </row>
    <row r="41" spans="1:46" x14ac:dyDescent="0.15">
      <c r="A41" s="11" t="s">
        <v>20</v>
      </c>
      <c r="AD41" s="22">
        <v>29081.599999999999</v>
      </c>
      <c r="AF41" t="s">
        <v>19</v>
      </c>
      <c r="AH41" s="8">
        <v>2.8799999999999999E-2</v>
      </c>
      <c r="AN41" t="s">
        <v>43</v>
      </c>
      <c r="AR41" s="2">
        <f>+AQ40-AQ39</f>
        <v>71</v>
      </c>
    </row>
    <row r="42" spans="1:46" x14ac:dyDescent="0.15">
      <c r="A42" s="11" t="s">
        <v>18</v>
      </c>
      <c r="AD42" s="22">
        <v>562</v>
      </c>
      <c r="AF42" t="s">
        <v>17</v>
      </c>
      <c r="AH42" s="5">
        <f>5.32%+0.72%</f>
        <v>6.0400000000000002E-2</v>
      </c>
      <c r="AN42" t="s">
        <v>9</v>
      </c>
      <c r="AR42" s="6">
        <f>+AR41/365</f>
        <v>0.19452054794520549</v>
      </c>
    </row>
    <row r="43" spans="1:46" x14ac:dyDescent="0.15">
      <c r="A43" s="11" t="s">
        <v>7</v>
      </c>
      <c r="AD43" s="79">
        <v>4371.0000000000009</v>
      </c>
      <c r="AF43" t="s">
        <v>16</v>
      </c>
      <c r="AH43">
        <v>0.99</v>
      </c>
      <c r="AN43" s="69" t="s">
        <v>11</v>
      </c>
      <c r="AO43" s="70"/>
      <c r="AP43" s="70"/>
      <c r="AQ43" s="70"/>
      <c r="AR43" s="86">
        <v>200000</v>
      </c>
    </row>
    <row r="44" spans="1:46" x14ac:dyDescent="0.15">
      <c r="A44" s="11"/>
      <c r="AD44" s="12" t="s">
        <v>14</v>
      </c>
      <c r="AH44" s="6"/>
      <c r="AN44" t="s">
        <v>67</v>
      </c>
      <c r="AR44" s="22">
        <v>534.31194600000003</v>
      </c>
    </row>
    <row r="45" spans="1:46" x14ac:dyDescent="0.15">
      <c r="A45" s="21" t="s">
        <v>13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3">
        <f>SUM(AD41:AD43)</f>
        <v>34014.6</v>
      </c>
      <c r="AH45" s="6"/>
      <c r="AN45" t="s">
        <v>68</v>
      </c>
      <c r="AR45" s="104">
        <f>AR43/AR44</f>
        <v>374.31317322633845</v>
      </c>
    </row>
    <row r="46" spans="1:46" ht="12" thickBot="1" x14ac:dyDescent="0.2">
      <c r="AF46" s="1"/>
      <c r="AG46" s="1"/>
      <c r="AH46" s="1"/>
      <c r="AI46" s="1"/>
    </row>
    <row r="47" spans="1:46" s="76" customFormat="1" x14ac:dyDescent="0.15">
      <c r="A47" s="72" t="s">
        <v>19</v>
      </c>
      <c r="B47" s="73"/>
      <c r="C47" s="74">
        <v>2.8799999999999999E-2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5">
        <v>2.8799999999999999E-2</v>
      </c>
      <c r="AN47" t="s">
        <v>46</v>
      </c>
      <c r="AO47"/>
      <c r="AP47"/>
      <c r="AQ47"/>
      <c r="AR47" s="2">
        <f ca="1">SUM(AE31:AR31)</f>
        <v>92059.150489010979</v>
      </c>
    </row>
    <row r="48" spans="1:46" x14ac:dyDescent="0.15">
      <c r="A48" s="46" t="s">
        <v>17</v>
      </c>
      <c r="C48" s="23">
        <f>5.32%+0.72%</f>
        <v>6.0400000000000002E-2</v>
      </c>
      <c r="AD48" s="81">
        <v>6.0400000000000002E-2</v>
      </c>
      <c r="AN48" t="s">
        <v>47</v>
      </c>
      <c r="AR48" s="44">
        <v>5.1700000000000003E-2</v>
      </c>
    </row>
    <row r="49" spans="1:45" ht="23.75" customHeight="1" x14ac:dyDescent="0.15">
      <c r="A49" s="46" t="s">
        <v>58</v>
      </c>
      <c r="C49">
        <v>0.99</v>
      </c>
      <c r="AD49" s="87">
        <v>0.99</v>
      </c>
      <c r="AN49" s="76" t="s">
        <v>15</v>
      </c>
      <c r="AO49" s="76"/>
      <c r="AP49" s="76"/>
      <c r="AQ49" s="76"/>
      <c r="AR49" s="78">
        <f ca="1">AR31*(1+AR48)/(AD30-AR48)</f>
        <v>170744.23087745777</v>
      </c>
    </row>
    <row r="50" spans="1:45" ht="12" thickBot="1" x14ac:dyDescent="0.2">
      <c r="A50" s="49" t="s">
        <v>53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91">
        <f>AD47+AD48*AD49</f>
        <v>8.8596000000000008E-2</v>
      </c>
      <c r="AF50" s="1"/>
      <c r="AG50" s="1"/>
      <c r="AH50" s="7"/>
      <c r="AN50" t="s">
        <v>49</v>
      </c>
      <c r="AR50" s="2">
        <f ca="1">AR47+AR49</f>
        <v>262803.38136646873</v>
      </c>
    </row>
    <row r="51" spans="1:45" ht="12" thickBot="1" x14ac:dyDescent="0.2">
      <c r="AN51" t="s">
        <v>51</v>
      </c>
      <c r="AR51" s="80">
        <f>AD43</f>
        <v>4371.0000000000009</v>
      </c>
      <c r="AS51" s="76"/>
    </row>
    <row r="52" spans="1:45" ht="19.5" customHeight="1" thickBot="1" x14ac:dyDescent="0.2">
      <c r="A52" s="62" t="s">
        <v>45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52"/>
      <c r="AN52" s="84" t="s">
        <v>60</v>
      </c>
      <c r="AO52" s="84"/>
      <c r="AP52" s="84"/>
      <c r="AQ52" s="84"/>
      <c r="AR52" s="85">
        <f ca="1">AR50-AR51</f>
        <v>258432.38136646873</v>
      </c>
      <c r="AS52" s="76"/>
    </row>
    <row r="53" spans="1:45" ht="13" thickTop="1" thickBot="1" x14ac:dyDescent="0.2">
      <c r="A53" s="60" t="s">
        <v>54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4">
        <v>0.03</v>
      </c>
      <c r="AN53" s="76"/>
      <c r="AO53" s="76"/>
      <c r="AP53" s="76"/>
      <c r="AQ53" s="76"/>
      <c r="AR53" s="76"/>
      <c r="AS53" s="76"/>
    </row>
    <row r="54" spans="1:45" x14ac:dyDescent="0.15">
      <c r="A54" s="82" t="s">
        <v>56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83">
        <f>AD53*(1-AD55)</f>
        <v>2.2199999999999998E-2</v>
      </c>
      <c r="AO54" s="72" t="s">
        <v>66</v>
      </c>
      <c r="AP54" s="73"/>
      <c r="AQ54" s="73"/>
      <c r="AR54" s="105">
        <f ca="1">AR52/AR43-1</f>
        <v>0.29216190683234378</v>
      </c>
      <c r="AS54" s="76"/>
    </row>
    <row r="55" spans="1:45" ht="12" thickBot="1" x14ac:dyDescent="0.2">
      <c r="A55" s="61" t="s">
        <v>55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5">
        <v>0.26</v>
      </c>
      <c r="AN55" s="76"/>
      <c r="AO55" s="88" t="s">
        <v>69</v>
      </c>
      <c r="AP55" s="89"/>
      <c r="AQ55" s="89"/>
      <c r="AR55" s="106">
        <f ca="1">AR52/AR44</f>
        <v>483.67322366861083</v>
      </c>
      <c r="AS55" s="76"/>
    </row>
    <row r="56" spans="1:45" s="76" customFormat="1" ht="31.25" customHeight="1" outlineLevel="1" thickBot="1" x14ac:dyDescent="0.2">
      <c r="A56" s="88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90"/>
    </row>
    <row r="57" spans="1:45" ht="12" thickBot="1" x14ac:dyDescent="0.2"/>
    <row r="58" spans="1:45" ht="12" thickBot="1" x14ac:dyDescent="0.2">
      <c r="A58" s="63" t="s">
        <v>57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5">
        <f ca="1">AD50*AR52/AR50+AD54*AR51/AR50</f>
        <v>8.749168804445745E-2</v>
      </c>
      <c r="AN58" s="1" t="s">
        <v>61</v>
      </c>
    </row>
    <row r="59" spans="1:45" x14ac:dyDescent="0.15">
      <c r="AN59" s="1" t="s">
        <v>64</v>
      </c>
    </row>
    <row r="60" spans="1:45" x14ac:dyDescent="0.15">
      <c r="A60" t="s">
        <v>59</v>
      </c>
      <c r="AN60" s="1" t="s">
        <v>65</v>
      </c>
    </row>
    <row r="61" spans="1:45" x14ac:dyDescent="0.15">
      <c r="AN61" s="92" t="s">
        <v>63</v>
      </c>
      <c r="AO61" s="96" t="s">
        <v>62</v>
      </c>
      <c r="AP61" s="93"/>
      <c r="AQ61" s="93"/>
    </row>
    <row r="62" spans="1:45" x14ac:dyDescent="0.15">
      <c r="AN62" s="97">
        <f ca="1">AR52</f>
        <v>258432.38136646873</v>
      </c>
      <c r="AO62" s="94">
        <f>AP62-0.5%</f>
        <v>2.3799999999999998E-2</v>
      </c>
      <c r="AP62" s="95">
        <v>2.8799999999999999E-2</v>
      </c>
      <c r="AQ62" s="94">
        <f>AP62+0.5%</f>
        <v>3.3799999999999997E-2</v>
      </c>
    </row>
    <row r="63" spans="1:45" x14ac:dyDescent="0.15">
      <c r="AN63" s="94">
        <f>AN64-1%</f>
        <v>4.1700000000000001E-2</v>
      </c>
      <c r="AO63" s="2">
        <f t="dataTable" ref="AO63:AQ65" dt2D="1" dtr="0" r1="AD47" r2="AR48" ca="1"/>
        <v>243818.22919560983</v>
      </c>
      <c r="AP63" s="2">
        <v>217296.34015693021</v>
      </c>
      <c r="AQ63" s="2">
        <v>195915.44840756469</v>
      </c>
    </row>
    <row r="64" spans="1:45" x14ac:dyDescent="0.15">
      <c r="AN64" s="95">
        <v>5.1700000000000003E-2</v>
      </c>
      <c r="AO64" s="2">
        <v>299241.41199999931</v>
      </c>
      <c r="AP64" s="3">
        <v>258432.38136548025</v>
      </c>
      <c r="AQ64" s="2">
        <v>227388.13779176521</v>
      </c>
    </row>
    <row r="65" spans="40:43" x14ac:dyDescent="0.15">
      <c r="AN65" s="94">
        <f>AN64+1%</f>
        <v>6.1700000000000005E-2</v>
      </c>
      <c r="AO65" s="2">
        <v>405349.44837869942</v>
      </c>
      <c r="AP65" s="2">
        <v>330207.03908669821</v>
      </c>
      <c r="AQ65" s="2">
        <v>278637.17253737513</v>
      </c>
    </row>
    <row r="64900" spans="40:40" x14ac:dyDescent="0.15">
      <c r="AN64900" t="s">
        <v>48</v>
      </c>
    </row>
  </sheetData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 on L'Oreal Step 1 to 4</vt:lpstr>
      <vt:lpstr>DCF on L'Oreal Steps 5 and 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2026-03-23T13:28:31Z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