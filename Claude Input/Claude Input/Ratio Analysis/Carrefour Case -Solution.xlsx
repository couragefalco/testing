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X14\Dropbox\Teaching\LSE - AC444 2025\Lecture notes\Week 4-1&amp;5-1 - Carrefour case\"/>
    </mc:Choice>
  </mc:AlternateContent>
  <xr:revisionPtr revIDLastSave="0" documentId="13_ncr:1_{4FA208AC-62AF-40F5-A56B-5FBFD3E0FF7F}" xr6:coauthVersionLast="47" xr6:coauthVersionMax="47" xr10:uidLastSave="{00000000-0000-0000-0000-000000000000}"/>
  <bookViews>
    <workbookView xWindow="-28920" yWindow="-1350" windowWidth="29040" windowHeight="15840" tabRatio="741" activeTab="1" xr2:uid="{00000000-000D-0000-FFFF-FFFF00000000}"/>
  </bookViews>
  <sheets>
    <sheet name="Exhibit 2-Geographic Segment" sheetId="36" r:id="rId1"/>
    <sheet name="Exhibit 3-Financial Statements" sheetId="30" r:id="rId2"/>
    <sheet name="Exhibit 4-LFL sales growth" sheetId="32" r:id="rId3"/>
    <sheet name="Exhibit 5 - Casino" sheetId="34" r:id="rId4"/>
    <sheet name="Condensed statements" sheetId="20" r:id="rId5"/>
    <sheet name="Ratio analysis" sheetId="23" r:id="rId6"/>
    <sheet name="Segment analysis" sheetId="3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1" i="23" l="1"/>
  <c r="D71" i="23"/>
  <c r="E71" i="23"/>
  <c r="F71" i="23"/>
  <c r="B71" i="23"/>
  <c r="C35" i="23"/>
  <c r="D35" i="23"/>
  <c r="E35" i="23"/>
  <c r="F35" i="23"/>
  <c r="B35" i="23"/>
  <c r="B22" i="23"/>
  <c r="B16" i="37" l="1"/>
  <c r="C16" i="37"/>
  <c r="D16" i="37"/>
  <c r="E16" i="37"/>
  <c r="B17" i="37"/>
  <c r="C17" i="37"/>
  <c r="D17" i="37"/>
  <c r="E17" i="37"/>
  <c r="B18" i="37"/>
  <c r="C18" i="37"/>
  <c r="D18" i="37"/>
  <c r="E18" i="37"/>
  <c r="B19" i="37"/>
  <c r="C19" i="37"/>
  <c r="D19" i="37"/>
  <c r="E19" i="37"/>
  <c r="C15" i="37"/>
  <c r="D15" i="37"/>
  <c r="E15" i="37"/>
  <c r="B15" i="37"/>
  <c r="B10" i="37"/>
  <c r="C10" i="37"/>
  <c r="D10" i="37"/>
  <c r="E10" i="37"/>
  <c r="B11" i="37"/>
  <c r="C11" i="37"/>
  <c r="D11" i="37"/>
  <c r="E11" i="37"/>
  <c r="B12" i="37"/>
  <c r="C12" i="37"/>
  <c r="D12" i="37"/>
  <c r="E12" i="37"/>
  <c r="B13" i="37"/>
  <c r="C13" i="37"/>
  <c r="D13" i="37"/>
  <c r="E13" i="37"/>
  <c r="C9" i="37"/>
  <c r="D9" i="37"/>
  <c r="E9" i="37"/>
  <c r="B9" i="37"/>
  <c r="B4" i="37"/>
  <c r="C4" i="37"/>
  <c r="D4" i="37"/>
  <c r="E4" i="37"/>
  <c r="B5" i="37"/>
  <c r="C5" i="37"/>
  <c r="D5" i="37"/>
  <c r="E5" i="37"/>
  <c r="B6" i="37"/>
  <c r="C6" i="37"/>
  <c r="D6" i="37"/>
  <c r="E6" i="37"/>
  <c r="B7" i="37"/>
  <c r="C7" i="37"/>
  <c r="D7" i="37"/>
  <c r="E7" i="37"/>
  <c r="C3" i="37"/>
  <c r="D3" i="37"/>
  <c r="E3" i="37"/>
  <c r="B3" i="37"/>
  <c r="D61" i="36"/>
  <c r="C61" i="36"/>
  <c r="E55" i="36"/>
  <c r="D55" i="36"/>
  <c r="C55" i="36"/>
  <c r="F49" i="36"/>
  <c r="E49" i="36"/>
  <c r="D49" i="36"/>
  <c r="C49" i="36"/>
  <c r="F43" i="36"/>
  <c r="E43" i="36"/>
  <c r="D43" i="36"/>
  <c r="C43" i="36"/>
  <c r="C17" i="23" l="1"/>
  <c r="D17" i="23"/>
  <c r="E17" i="23"/>
  <c r="F17" i="23"/>
  <c r="B17" i="23"/>
  <c r="C64" i="23" l="1"/>
  <c r="D64" i="23"/>
  <c r="E64" i="23"/>
  <c r="F64" i="23"/>
  <c r="B64" i="23"/>
  <c r="C62" i="23"/>
  <c r="D62" i="23"/>
  <c r="E62" i="23"/>
  <c r="F62" i="23"/>
  <c r="B62" i="23"/>
  <c r="C60" i="23"/>
  <c r="D60" i="23"/>
  <c r="E60" i="23"/>
  <c r="F60" i="23"/>
  <c r="B60" i="23"/>
  <c r="C56" i="23"/>
  <c r="D56" i="23"/>
  <c r="E56" i="23"/>
  <c r="F56" i="23"/>
  <c r="B56" i="23"/>
  <c r="C55" i="23"/>
  <c r="D55" i="23"/>
  <c r="E55" i="23"/>
  <c r="F55" i="23"/>
  <c r="B55" i="23"/>
  <c r="C54" i="23"/>
  <c r="D54" i="23"/>
  <c r="E54" i="23"/>
  <c r="F54" i="23"/>
  <c r="B54" i="23"/>
  <c r="B42" i="23"/>
  <c r="C42" i="23"/>
  <c r="D42" i="23"/>
  <c r="E42" i="23"/>
  <c r="F42" i="23"/>
  <c r="J36" i="23"/>
  <c r="I36" i="23"/>
  <c r="H36" i="23"/>
  <c r="G36" i="23"/>
  <c r="C22" i="23"/>
  <c r="D22" i="23"/>
  <c r="E22" i="23"/>
  <c r="F22" i="23"/>
  <c r="C4" i="23"/>
  <c r="D4" i="23"/>
  <c r="E4" i="23"/>
  <c r="F4" i="23"/>
  <c r="B4" i="23"/>
  <c r="E6" i="34"/>
  <c r="C6" i="34"/>
  <c r="B6" i="34"/>
  <c r="C34" i="23"/>
  <c r="D34" i="23"/>
  <c r="E34" i="23"/>
  <c r="F34" i="23"/>
  <c r="B34" i="23"/>
  <c r="B3" i="23"/>
  <c r="C3" i="23"/>
  <c r="D3" i="23"/>
  <c r="E3" i="23"/>
  <c r="F3" i="23"/>
  <c r="B21" i="23"/>
  <c r="C21" i="23"/>
  <c r="D21" i="23"/>
  <c r="E21" i="23"/>
  <c r="F21" i="23"/>
  <c r="D6" i="34" l="1"/>
  <c r="C29" i="23" l="1"/>
  <c r="D29" i="23"/>
  <c r="E29" i="23"/>
  <c r="F29" i="23"/>
  <c r="B29" i="23"/>
  <c r="B11" i="23"/>
  <c r="C27" i="23"/>
  <c r="D27" i="23"/>
  <c r="E27" i="23"/>
  <c r="F27" i="23"/>
  <c r="B27" i="23"/>
  <c r="B9" i="23"/>
  <c r="C11" i="23"/>
  <c r="D11" i="23"/>
  <c r="E11" i="23"/>
  <c r="F11" i="23"/>
  <c r="C9" i="23"/>
  <c r="D9" i="23"/>
  <c r="E9" i="23"/>
  <c r="F9" i="23"/>
  <c r="G74" i="20" l="1"/>
  <c r="F74" i="20"/>
  <c r="E74" i="20"/>
  <c r="D74" i="20"/>
  <c r="C74" i="20"/>
  <c r="G73" i="20"/>
  <c r="G78" i="20" s="1"/>
  <c r="G83" i="20" s="1"/>
  <c r="G84" i="20" s="1"/>
  <c r="G81" i="20" s="1"/>
  <c r="G69" i="20" s="1"/>
  <c r="F73" i="20"/>
  <c r="E73" i="20"/>
  <c r="D73" i="20"/>
  <c r="D78" i="20" s="1"/>
  <c r="C73" i="20"/>
  <c r="C78" i="20" s="1"/>
  <c r="C83" i="20" s="1"/>
  <c r="C84" i="20" s="1"/>
  <c r="C81" i="20" s="1"/>
  <c r="C69" i="20" s="1"/>
  <c r="G72" i="20"/>
  <c r="F72" i="20"/>
  <c r="F75" i="20" s="1"/>
  <c r="F71" i="20" s="1"/>
  <c r="E72" i="20"/>
  <c r="D72" i="20"/>
  <c r="C72" i="20"/>
  <c r="B74" i="20"/>
  <c r="G65" i="20"/>
  <c r="F65" i="20"/>
  <c r="E65" i="20"/>
  <c r="D65" i="20"/>
  <c r="C65" i="20"/>
  <c r="B65" i="20"/>
  <c r="G77" i="20"/>
  <c r="F77" i="20"/>
  <c r="F80" i="20" s="1"/>
  <c r="F76" i="20" s="1"/>
  <c r="F68" i="20" s="1"/>
  <c r="F70" i="20" s="1"/>
  <c r="E77" i="20"/>
  <c r="D77" i="20"/>
  <c r="C77" i="20"/>
  <c r="B77" i="20"/>
  <c r="G82" i="20"/>
  <c r="F82" i="20"/>
  <c r="E82" i="20"/>
  <c r="D82" i="20"/>
  <c r="C82" i="20"/>
  <c r="G79" i="20"/>
  <c r="F79" i="20"/>
  <c r="E79" i="20"/>
  <c r="D79" i="20"/>
  <c r="C79" i="20"/>
  <c r="E75" i="20"/>
  <c r="E71" i="20" s="1"/>
  <c r="F78" i="20"/>
  <c r="F83" i="20" s="1"/>
  <c r="F84" i="20" s="1"/>
  <c r="F81" i="20" s="1"/>
  <c r="F69" i="20" s="1"/>
  <c r="E78" i="20"/>
  <c r="E83" i="20" s="1"/>
  <c r="E84" i="20" s="1"/>
  <c r="E81" i="20" s="1"/>
  <c r="E69" i="20" s="1"/>
  <c r="D75" i="20"/>
  <c r="D71" i="20" s="1"/>
  <c r="G67" i="20"/>
  <c r="F67" i="20"/>
  <c r="E67" i="20"/>
  <c r="D67" i="20"/>
  <c r="C67" i="20"/>
  <c r="B82" i="20"/>
  <c r="B79" i="20"/>
  <c r="B73" i="20"/>
  <c r="B78" i="20" s="1"/>
  <c r="B83" i="20" s="1"/>
  <c r="B72" i="20"/>
  <c r="B67" i="20"/>
  <c r="F65" i="23"/>
  <c r="E65" i="23"/>
  <c r="D65" i="23"/>
  <c r="C65" i="23"/>
  <c r="F63" i="23"/>
  <c r="E63" i="23"/>
  <c r="D63" i="23"/>
  <c r="C63" i="23"/>
  <c r="B65" i="23"/>
  <c r="B63" i="23"/>
  <c r="F61" i="23"/>
  <c r="E61" i="23"/>
  <c r="D61" i="23"/>
  <c r="C61" i="23"/>
  <c r="F59" i="23"/>
  <c r="E59" i="23"/>
  <c r="D59" i="23"/>
  <c r="C59" i="23"/>
  <c r="F58" i="23"/>
  <c r="E58" i="23"/>
  <c r="D58" i="23"/>
  <c r="C58" i="23"/>
  <c r="F57" i="23"/>
  <c r="E57" i="23"/>
  <c r="D57" i="23"/>
  <c r="C57" i="23"/>
  <c r="B61" i="23"/>
  <c r="F50" i="23"/>
  <c r="E50" i="23"/>
  <c r="D50" i="23"/>
  <c r="C50" i="23"/>
  <c r="B50" i="23"/>
  <c r="F49" i="23"/>
  <c r="E49" i="23"/>
  <c r="D49" i="23"/>
  <c r="C49" i="23"/>
  <c r="B49" i="23"/>
  <c r="F47" i="23"/>
  <c r="E47" i="23"/>
  <c r="D47" i="23"/>
  <c r="C47" i="23"/>
  <c r="B47" i="23"/>
  <c r="F46" i="23"/>
  <c r="E46" i="23"/>
  <c r="D46" i="23"/>
  <c r="C46" i="23"/>
  <c r="B46" i="23"/>
  <c r="G75" i="20" l="1"/>
  <c r="G71" i="20" s="1"/>
  <c r="G80" i="20"/>
  <c r="G76" i="20" s="1"/>
  <c r="G68" i="20" s="1"/>
  <c r="G70" i="20" s="1"/>
  <c r="C80" i="20"/>
  <c r="C76" i="20" s="1"/>
  <c r="C68" i="20" s="1"/>
  <c r="C70" i="20" s="1"/>
  <c r="E80" i="20"/>
  <c r="E76" i="20" s="1"/>
  <c r="E68" i="20" s="1"/>
  <c r="E70" i="20" s="1"/>
  <c r="D83" i="20"/>
  <c r="D84" i="20" s="1"/>
  <c r="D81" i="20" s="1"/>
  <c r="D69" i="20" s="1"/>
  <c r="D80" i="20"/>
  <c r="D76" i="20" s="1"/>
  <c r="D68" i="20" s="1"/>
  <c r="D70" i="20" s="1"/>
  <c r="F66" i="20"/>
  <c r="F85" i="20"/>
  <c r="C75" i="20"/>
  <c r="C71" i="20" s="1"/>
  <c r="B84" i="20"/>
  <c r="B81" i="20" s="1"/>
  <c r="B69" i="20" s="1"/>
  <c r="B75" i="20"/>
  <c r="B71" i="20" s="1"/>
  <c r="B80" i="20"/>
  <c r="B76" i="20" s="1"/>
  <c r="B68" i="20" s="1"/>
  <c r="F66" i="23"/>
  <c r="E66" i="23"/>
  <c r="D66" i="23"/>
  <c r="C66" i="23"/>
  <c r="D66" i="20" l="1"/>
  <c r="D85" i="20"/>
  <c r="G85" i="20"/>
  <c r="G66" i="20"/>
  <c r="C66" i="20"/>
  <c r="C85" i="20"/>
  <c r="E66" i="20"/>
  <c r="E85" i="20"/>
  <c r="B70" i="20"/>
  <c r="B66" i="20" s="1"/>
  <c r="F44" i="23"/>
  <c r="E44" i="23"/>
  <c r="D44" i="23"/>
  <c r="C44" i="23"/>
  <c r="B44" i="23"/>
  <c r="F43" i="23"/>
  <c r="E43" i="23"/>
  <c r="D43" i="23"/>
  <c r="C43" i="23"/>
  <c r="B43" i="23"/>
  <c r="G19" i="20"/>
  <c r="F19" i="20"/>
  <c r="E19" i="20"/>
  <c r="D19" i="20"/>
  <c r="C19" i="20"/>
  <c r="B19" i="20"/>
  <c r="G17" i="20"/>
  <c r="F17" i="20"/>
  <c r="E17" i="20"/>
  <c r="D17" i="20"/>
  <c r="C17" i="20"/>
  <c r="B17" i="20"/>
  <c r="B20" i="20" s="1"/>
  <c r="G43" i="20"/>
  <c r="F43" i="20"/>
  <c r="E43" i="20"/>
  <c r="D43" i="20"/>
  <c r="C43" i="20"/>
  <c r="G61" i="20"/>
  <c r="F61" i="20"/>
  <c r="E61" i="20"/>
  <c r="D61" i="20"/>
  <c r="C61" i="20"/>
  <c r="B61" i="20"/>
  <c r="B60" i="20"/>
  <c r="G60" i="20"/>
  <c r="F60" i="20"/>
  <c r="E60" i="20"/>
  <c r="D60" i="20"/>
  <c r="C60" i="20"/>
  <c r="G59" i="20"/>
  <c r="F59" i="20"/>
  <c r="E59" i="20"/>
  <c r="D59" i="20"/>
  <c r="C59" i="20"/>
  <c r="B59" i="20"/>
  <c r="G58" i="20"/>
  <c r="F58" i="20"/>
  <c r="E58" i="20"/>
  <c r="D58" i="20"/>
  <c r="C58" i="20"/>
  <c r="B58" i="20"/>
  <c r="G55" i="20"/>
  <c r="F55" i="20"/>
  <c r="E55" i="20"/>
  <c r="D55" i="20"/>
  <c r="C55" i="20"/>
  <c r="B55" i="20"/>
  <c r="G54" i="20"/>
  <c r="F54" i="20"/>
  <c r="E54" i="20"/>
  <c r="D54" i="20"/>
  <c r="C54" i="20"/>
  <c r="B54" i="20"/>
  <c r="G53" i="20"/>
  <c r="F53" i="20"/>
  <c r="E53" i="20"/>
  <c r="D53" i="20"/>
  <c r="C53" i="20"/>
  <c r="B53" i="20"/>
  <c r="G49" i="20"/>
  <c r="F49" i="20"/>
  <c r="E49" i="20"/>
  <c r="D49" i="20"/>
  <c r="C49" i="20"/>
  <c r="B49" i="20"/>
  <c r="G48" i="20"/>
  <c r="F48" i="20"/>
  <c r="E48" i="20"/>
  <c r="D48" i="20"/>
  <c r="C48" i="20"/>
  <c r="B48" i="20"/>
  <c r="G47" i="20"/>
  <c r="F47" i="20"/>
  <c r="E47" i="20"/>
  <c r="D47" i="20"/>
  <c r="C47" i="20"/>
  <c r="B47" i="20"/>
  <c r="G46" i="20"/>
  <c r="F46" i="20"/>
  <c r="E46" i="20"/>
  <c r="D46" i="20"/>
  <c r="C46" i="20"/>
  <c r="B46" i="20"/>
  <c r="G41" i="20"/>
  <c r="F41" i="20"/>
  <c r="E41" i="20"/>
  <c r="D41" i="20"/>
  <c r="C41" i="20"/>
  <c r="G39" i="20"/>
  <c r="F39" i="20"/>
  <c r="E39" i="20"/>
  <c r="D39" i="20"/>
  <c r="C39" i="20"/>
  <c r="G38" i="20"/>
  <c r="F38" i="20"/>
  <c r="E38" i="20"/>
  <c r="D38" i="20"/>
  <c r="C38" i="20"/>
  <c r="G37" i="20"/>
  <c r="F37" i="20"/>
  <c r="E37" i="20"/>
  <c r="D37" i="20"/>
  <c r="C37" i="20"/>
  <c r="B41" i="20"/>
  <c r="B39" i="20"/>
  <c r="B38" i="20"/>
  <c r="B43" i="20" s="1"/>
  <c r="B37" i="20"/>
  <c r="G34" i="20"/>
  <c r="F34" i="20"/>
  <c r="E34" i="20"/>
  <c r="D34" i="20"/>
  <c r="C34" i="20"/>
  <c r="B34" i="20"/>
  <c r="G33" i="20"/>
  <c r="F33" i="20"/>
  <c r="E33" i="20"/>
  <c r="D33" i="20"/>
  <c r="C33" i="20"/>
  <c r="B33" i="20"/>
  <c r="G32" i="20"/>
  <c r="F32" i="20"/>
  <c r="E32" i="20"/>
  <c r="D32" i="20"/>
  <c r="C32" i="20"/>
  <c r="B32" i="20"/>
  <c r="G31" i="20"/>
  <c r="F31" i="20"/>
  <c r="E31" i="20"/>
  <c r="D31" i="20"/>
  <c r="C31" i="20"/>
  <c r="B31" i="20"/>
  <c r="G30" i="20"/>
  <c r="F30" i="20"/>
  <c r="E30" i="20"/>
  <c r="D30" i="20"/>
  <c r="C30" i="20"/>
  <c r="B30" i="20"/>
  <c r="G22" i="20"/>
  <c r="F22" i="20"/>
  <c r="E22" i="20"/>
  <c r="D22" i="20"/>
  <c r="C22" i="20"/>
  <c r="B22" i="20"/>
  <c r="C18" i="20"/>
  <c r="G13" i="20"/>
  <c r="G18" i="20" s="1"/>
  <c r="G23" i="20" s="1"/>
  <c r="F13" i="20"/>
  <c r="F18" i="20" s="1"/>
  <c r="E13" i="20"/>
  <c r="E18" i="20" s="1"/>
  <c r="D13" i="20"/>
  <c r="D18" i="20" s="1"/>
  <c r="C13" i="20"/>
  <c r="B13" i="20"/>
  <c r="B18" i="20" s="1"/>
  <c r="B23" i="20" s="1"/>
  <c r="B85" i="20" l="1"/>
  <c r="C20" i="20"/>
  <c r="F20" i="20"/>
  <c r="F23" i="20"/>
  <c r="E20" i="20"/>
  <c r="E23" i="20"/>
  <c r="G20" i="20"/>
  <c r="D20" i="20"/>
  <c r="D23" i="20"/>
  <c r="C23" i="20"/>
  <c r="G14" i="20" l="1"/>
  <c r="F14" i="20"/>
  <c r="E14" i="20"/>
  <c r="D14" i="20"/>
  <c r="C14" i="20"/>
  <c r="B14" i="20"/>
  <c r="G12" i="20"/>
  <c r="F12" i="20"/>
  <c r="E12" i="20"/>
  <c r="D12" i="20"/>
  <c r="C12" i="20"/>
  <c r="B12" i="20"/>
  <c r="G7" i="20"/>
  <c r="F7" i="20"/>
  <c r="E7" i="20"/>
  <c r="D7" i="20"/>
  <c r="C7" i="20"/>
  <c r="B7" i="20"/>
  <c r="G5" i="20"/>
  <c r="G29" i="20" s="1"/>
  <c r="F5" i="20"/>
  <c r="F29" i="20" s="1"/>
  <c r="E5" i="20"/>
  <c r="E29" i="20" s="1"/>
  <c r="D5" i="20"/>
  <c r="D29" i="20" s="1"/>
  <c r="C5" i="20"/>
  <c r="C29" i="20" s="1"/>
  <c r="B5" i="20"/>
  <c r="B29" i="20" s="1"/>
  <c r="B35" i="20" l="1"/>
  <c r="B45" i="20"/>
  <c r="C45" i="20"/>
  <c r="C35" i="20"/>
  <c r="D35" i="20"/>
  <c r="D45" i="20"/>
  <c r="E35" i="20"/>
  <c r="E45" i="20"/>
  <c r="F35" i="20"/>
  <c r="F45" i="20"/>
  <c r="G35" i="20"/>
  <c r="G45" i="20"/>
  <c r="B15" i="20"/>
  <c r="C15" i="20"/>
  <c r="D15" i="20"/>
  <c r="E15" i="20"/>
  <c r="F15" i="20"/>
  <c r="G15" i="20"/>
  <c r="B24" i="20" l="1"/>
  <c r="B21" i="20" s="1"/>
  <c r="B9" i="20" s="1"/>
  <c r="B16" i="20"/>
  <c r="B11" i="20"/>
  <c r="B56" i="20"/>
  <c r="B8" i="20" l="1"/>
  <c r="B62" i="20"/>
  <c r="B50" i="20" l="1"/>
  <c r="B10" i="20" l="1"/>
  <c r="B16" i="23" l="1"/>
  <c r="B25" i="20"/>
  <c r="B6" i="20"/>
  <c r="B26" i="23" l="1"/>
  <c r="B8" i="23"/>
  <c r="B36" i="23" l="1"/>
  <c r="B28" i="23" l="1"/>
  <c r="B30" i="23" s="1"/>
  <c r="B70" i="23"/>
  <c r="B72" i="23" s="1"/>
  <c r="B10" i="23" l="1"/>
  <c r="B12" i="23" s="1"/>
  <c r="B18" i="23"/>
  <c r="C24" i="20" l="1"/>
  <c r="C56" i="20"/>
  <c r="B57" i="23" l="1"/>
  <c r="B66" i="23"/>
  <c r="C16" i="20"/>
  <c r="C21" i="20"/>
  <c r="C11" i="20"/>
  <c r="C62" i="20"/>
  <c r="C50" i="20"/>
  <c r="D24" i="20" l="1"/>
  <c r="C9" i="20"/>
  <c r="C8" i="20"/>
  <c r="D56" i="20"/>
  <c r="D21" i="20" l="1"/>
  <c r="D16" i="20"/>
  <c r="E24" i="20"/>
  <c r="D11" i="20"/>
  <c r="D62" i="20"/>
  <c r="E56" i="20"/>
  <c r="D50" i="20"/>
  <c r="E21" i="20" l="1"/>
  <c r="D8" i="20"/>
  <c r="E16" i="20"/>
  <c r="D9" i="20"/>
  <c r="E11" i="20"/>
  <c r="E62" i="20"/>
  <c r="E50" i="20"/>
  <c r="E9" i="20" l="1"/>
  <c r="E8" i="20"/>
  <c r="B59" i="23" l="1"/>
  <c r="C10" i="20"/>
  <c r="C16" i="23" l="1"/>
  <c r="C6" i="20"/>
  <c r="C25" i="20"/>
  <c r="D10" i="20"/>
  <c r="D16" i="23" l="1"/>
  <c r="C8" i="23"/>
  <c r="C26" i="23"/>
  <c r="D6" i="20"/>
  <c r="E10" i="20"/>
  <c r="D25" i="20"/>
  <c r="B58" i="23"/>
  <c r="E6" i="20" l="1"/>
  <c r="E16" i="23"/>
  <c r="D26" i="23"/>
  <c r="D8" i="23"/>
  <c r="E25" i="20"/>
  <c r="E8" i="23" l="1"/>
  <c r="E26" i="23"/>
  <c r="C70" i="23" l="1"/>
  <c r="C72" i="23" s="1"/>
  <c r="C36" i="23"/>
  <c r="C28" i="23" l="1"/>
  <c r="C30" i="23" s="1"/>
  <c r="C10" i="23"/>
  <c r="C12" i="23" s="1"/>
  <c r="C18" i="23"/>
  <c r="D36" i="23" l="1"/>
  <c r="D28" i="23" l="1"/>
  <c r="D30" i="23" s="1"/>
  <c r="D18" i="23" l="1"/>
  <c r="D10" i="23"/>
  <c r="D12" i="23" s="1"/>
  <c r="F56" i="20" l="1"/>
  <c r="F24" i="20"/>
  <c r="G24" i="20"/>
  <c r="G56" i="20"/>
  <c r="F62" i="20" l="1"/>
  <c r="F16" i="20"/>
  <c r="G16" i="20"/>
  <c r="G21" i="20"/>
  <c r="F11" i="20"/>
  <c r="F21" i="20"/>
  <c r="G11" i="20"/>
  <c r="G62" i="20"/>
  <c r="G50" i="20"/>
  <c r="F8" i="20" l="1"/>
  <c r="G8" i="20"/>
  <c r="F9" i="20"/>
  <c r="G9" i="20"/>
  <c r="F50" i="20"/>
  <c r="G10" i="20" l="1"/>
  <c r="F10" i="20"/>
  <c r="G6" i="20" l="1"/>
  <c r="F16" i="23"/>
  <c r="F6" i="20"/>
  <c r="F25" i="20"/>
  <c r="G25" i="20"/>
  <c r="F8" i="23" l="1"/>
  <c r="F26" i="23"/>
  <c r="D70" i="23" l="1"/>
  <c r="D72" i="23" l="1"/>
  <c r="E36" i="23" l="1"/>
  <c r="E28" i="23" l="1"/>
  <c r="E30" i="23" s="1"/>
  <c r="E18" i="23" l="1"/>
  <c r="E70" i="23"/>
  <c r="E10" i="23"/>
  <c r="E12" i="23" s="1"/>
  <c r="E72" i="23" l="1"/>
  <c r="F36" i="23" l="1"/>
  <c r="F28" i="23" l="1"/>
  <c r="F30" i="23" s="1"/>
  <c r="F18" i="23" l="1"/>
  <c r="F70" i="23"/>
  <c r="F10" i="23"/>
  <c r="F12" i="23" s="1"/>
  <c r="F72" i="23" l="1"/>
</calcChain>
</file>

<file path=xl/sharedStrings.xml><?xml version="1.0" encoding="utf-8"?>
<sst xmlns="http://schemas.openxmlformats.org/spreadsheetml/2006/main" count="278" uniqueCount="221">
  <si>
    <t>Sales</t>
  </si>
  <si>
    <t>Inventories</t>
  </si>
  <si>
    <t>Cost of sales</t>
  </si>
  <si>
    <t>Total Assets</t>
  </si>
  <si>
    <t>Operating profit</t>
  </si>
  <si>
    <t>Dividends received</t>
  </si>
  <si>
    <t>Interest income</t>
  </si>
  <si>
    <t>Interest expense</t>
  </si>
  <si>
    <t>Profit before taxes</t>
  </si>
  <si>
    <t>Tax expense</t>
  </si>
  <si>
    <t>Total Current Assets</t>
  </si>
  <si>
    <t>CONDENSED STATEMENTS OF EARNINGS</t>
  </si>
  <si>
    <t>CONDENSED BALANCE SHEETS</t>
  </si>
  <si>
    <t>+ Inventories</t>
  </si>
  <si>
    <t>+ Other current assets</t>
  </si>
  <si>
    <t>– Trade payables</t>
  </si>
  <si>
    <t>– Other current liabilities</t>
  </si>
  <si>
    <t>Non-current tangible assets</t>
  </si>
  <si>
    <t>– Other non-current liabilities (non-interest-bearing)</t>
  </si>
  <si>
    <t>Minority equity investments</t>
  </si>
  <si>
    <t>+ Other Non-Operating investments</t>
  </si>
  <si>
    <t>Current debt</t>
  </si>
  <si>
    <t>+ Non-current debt</t>
  </si>
  <si>
    <t>Ordinary shareholders' equity</t>
  </si>
  <si>
    <t>Non-current debt</t>
  </si>
  <si>
    <t>Deferred tax liability</t>
  </si>
  <si>
    <t>Ratio</t>
  </si>
  <si>
    <t>Return on equity</t>
  </si>
  <si>
    <t>Net profit margin (ROS)</t>
  </si>
  <si>
    <t>× Asset turnover</t>
  </si>
  <si>
    <t>× Financial leverage</t>
  </si>
  <si>
    <t>Net operating profit margin</t>
  </si>
  <si>
    <t>× Net operating asset turnover</t>
  </si>
  <si>
    <t>Line items as a percent of sales</t>
  </si>
  <si>
    <t>Selling, general, and admin. expense</t>
  </si>
  <si>
    <t>Personnel expense</t>
  </si>
  <si>
    <t>Depreciation and amortization</t>
  </si>
  <si>
    <t>Operating working capital/Sales</t>
  </si>
  <si>
    <t>PP&amp;E/Sales</t>
  </si>
  <si>
    <t>Operating working capital turnover</t>
  </si>
  <si>
    <t>Net non-current asset turnover</t>
  </si>
  <si>
    <t>PP&amp;E turnover</t>
  </si>
  <si>
    <t>Trade receivables turnover</t>
  </si>
  <si>
    <t>Days’ receivables</t>
  </si>
  <si>
    <t>Inventories turnover</t>
  </si>
  <si>
    <t>Days’ inventories</t>
  </si>
  <si>
    <t>Trade payables turnover</t>
  </si>
  <si>
    <t>Days’ payables</t>
  </si>
  <si>
    <t>ROE</t>
  </si>
  <si>
    <t>Dividend payout ratio</t>
  </si>
  <si>
    <t>Sustainable growth rate</t>
  </si>
  <si>
    <t>Assumptions:</t>
  </si>
  <si>
    <t>Operating cash percentage</t>
  </si>
  <si>
    <t>+ Interest expense after tax</t>
  </si>
  <si>
    <t>Operating cash</t>
  </si>
  <si>
    <t>+ Trade receivables</t>
  </si>
  <si>
    <t>Excess cash</t>
  </si>
  <si>
    <t>Operating expense line items as a percent of sales (by function)</t>
  </si>
  <si>
    <t>Operating expense line items as a percent of sales (by nature)</t>
  </si>
  <si>
    <t>x (1 – Tax rate)</t>
  </si>
  <si>
    <t>+ Preference shares</t>
  </si>
  <si>
    <t>Cash conversion cycle</t>
  </si>
  <si>
    <t>Impairment losses</t>
  </si>
  <si>
    <t>Restructuring costs</t>
  </si>
  <si>
    <t>Financing fees and commissions</t>
  </si>
  <si>
    <t>Cash and cash equivalents</t>
  </si>
  <si>
    <t>Goodwill</t>
  </si>
  <si>
    <t>Total non-current assets</t>
  </si>
  <si>
    <t>Consumer credit financing</t>
  </si>
  <si>
    <t>Trade receivables</t>
  </si>
  <si>
    <t>(in € mn)</t>
  </si>
  <si>
    <t>Fiscal year</t>
  </si>
  <si>
    <t>France</t>
  </si>
  <si>
    <t>Rest of Europe</t>
  </si>
  <si>
    <t>Latin America</t>
  </si>
  <si>
    <t>Asia</t>
  </si>
  <si>
    <t>Number of hypermarkets</t>
  </si>
  <si>
    <t>Number of supermarkets</t>
  </si>
  <si>
    <t>Number of convenience stores</t>
  </si>
  <si>
    <t>Number of cash &amp; carry stores</t>
  </si>
  <si>
    <t>Revenue</t>
  </si>
  <si>
    <t>Profit or loss</t>
  </si>
  <si>
    <t>Non-operating investment income</t>
  </si>
  <si>
    <t>Profit/loss to non-controlling interest</t>
  </si>
  <si>
    <t>Profit/loss to ordinary shareholders</t>
  </si>
  <si>
    <t>Net operating profit after tax</t>
  </si>
  <si>
    <t>of which: Net non-recurring expense after tax</t>
  </si>
  <si>
    <t>+ Net investment profit after tax</t>
  </si>
  <si>
    <t>– Interest expense after tax</t>
  </si>
  <si>
    <t xml:space="preserve"> = Profit or loss</t>
  </si>
  <si>
    <t>Ending operating working capital</t>
  </si>
  <si>
    <t>+ Ending net non-current operating assets</t>
  </si>
  <si>
    <t>+ Derivatives (asset net of liability)</t>
  </si>
  <si>
    <t>– Deferred tax liability (net of asset)</t>
  </si>
  <si>
    <t xml:space="preserve"> = Ending net non-current operating assets</t>
  </si>
  <si>
    <t>+ Ending non-operating investments</t>
  </si>
  <si>
    <t xml:space="preserve"> = Total business assets</t>
  </si>
  <si>
    <t>Ending debt</t>
  </si>
  <si>
    <t>+ Ending group equity</t>
  </si>
  <si>
    <t>= Ending group equity</t>
  </si>
  <si>
    <t xml:space="preserve"> = Total invested capital</t>
  </si>
  <si>
    <t>Theoretical income tax expense</t>
  </si>
  <si>
    <t>Total tax expense</t>
  </si>
  <si>
    <t>Spain</t>
  </si>
  <si>
    <t>Italy</t>
  </si>
  <si>
    <t>Brazil</t>
  </si>
  <si>
    <t>+ Goodwill</t>
  </si>
  <si>
    <t>+ Other non-current intangible assets</t>
  </si>
  <si>
    <t>Revenue – retail</t>
  </si>
  <si>
    <t>Revenue – Carrefour banque</t>
  </si>
  <si>
    <t>Total revenue</t>
  </si>
  <si>
    <t>SG&amp;A expenses</t>
  </si>
  <si>
    <t>Operating expenses – Carrefour banque</t>
  </si>
  <si>
    <t>Net other operating income or expense</t>
  </si>
  <si>
    <t>Other net non-recurring income or expense</t>
  </si>
  <si>
    <t>Tax expense – Carrefour banque</t>
  </si>
  <si>
    <t>Personnel Expenses</t>
  </si>
  <si>
    <t>Depreciation and Amortization</t>
  </si>
  <si>
    <t>Differences between the French and overseas corporate income tax rates</t>
  </si>
  <si>
    <t>Tax effect of permanent differences</t>
  </si>
  <si>
    <t>Other, including deferred tax expense</t>
  </si>
  <si>
    <t>Recurring tax expense</t>
  </si>
  <si>
    <t>Non-recurring tax items</t>
  </si>
  <si>
    <t>Effect of exchange rate changes on revenue</t>
  </si>
  <si>
    <t>Profit/loss of discontinued operations</t>
  </si>
  <si>
    <t>Other non-operating investments</t>
  </si>
  <si>
    <t>Deferred tax asset</t>
  </si>
  <si>
    <t>Other current assets</t>
  </si>
  <si>
    <t>Assets Held for Sale</t>
  </si>
  <si>
    <t>Ordinary shareholders’ equity</t>
  </si>
  <si>
    <t>Non-controlling interest in equity</t>
  </si>
  <si>
    <t>Non-current liabilities</t>
  </si>
  <si>
    <t>Trade payables</t>
  </si>
  <si>
    <t>Other current liabilities</t>
  </si>
  <si>
    <t>Current liabilities</t>
  </si>
  <si>
    <t>Liabilities held for sale</t>
  </si>
  <si>
    <t>Total liabilities and -shareholders’ equity</t>
  </si>
  <si>
    <t>Profit before interest and tax</t>
  </si>
  <si>
    <t>Taxes paid</t>
  </si>
  <si>
    <t>Non-operating losses (gains)</t>
  </si>
  <si>
    <t>Non-current operating accruals</t>
  </si>
  <si>
    <t>Net (investments in) or liquidation of operating working capital</t>
  </si>
  <si>
    <t>Operating cash flow</t>
  </si>
  <si>
    <t>Free cash flow available to debt and equity</t>
  </si>
  <si>
    <t>Interest paid</t>
  </si>
  <si>
    <t>Net debt (repayment) or issuance</t>
  </si>
  <si>
    <t>Free cash flow available to equity</t>
  </si>
  <si>
    <t>Dividend (payments)</t>
  </si>
  <si>
    <t>Net share (repurchase) or issuance</t>
  </si>
  <si>
    <t>Net increase (decrease) in cash balance</t>
  </si>
  <si>
    <t>Other non-current intangible assets</t>
  </si>
  <si>
    <t>Consumer credit granted by financial services companies</t>
  </si>
  <si>
    <t>Net (Investments in) or liquidation of other non-current assets</t>
  </si>
  <si>
    <t>Investments in non-current tangible and intangible assets</t>
  </si>
  <si>
    <t>Investments in subsidiaries</t>
  </si>
  <si>
    <t>Disposal of non-current tangible and intangible assets</t>
  </si>
  <si>
    <t>Disposal of subsidiaries</t>
  </si>
  <si>
    <t>Hypermarkets</t>
  </si>
  <si>
    <t>Supermarkets</t>
  </si>
  <si>
    <t>Group</t>
  </si>
  <si>
    <t>LFL at constant exchange rates</t>
  </si>
  <si>
    <t>Covenience &amp; other</t>
  </si>
  <si>
    <t>Global functions/Other regions</t>
  </si>
  <si>
    <t>End-of-year share price (€)</t>
  </si>
  <si>
    <t>Dividend per share (€)</t>
  </si>
  <si>
    <t>Average number of shares outstanding (million)</t>
  </si>
  <si>
    <t>Statutory tax rate</t>
  </si>
  <si>
    <t>+ Net investments in Carrefour Banque</t>
  </si>
  <si>
    <t>+ Non-controlling interest in equity</t>
  </si>
  <si>
    <t>Common-sized income statement and profitability ratios</t>
  </si>
  <si>
    <t>x</t>
  </si>
  <si>
    <t>Net non-current tangible and intangible assets/Sales</t>
  </si>
  <si>
    <t>Asset management ratios</t>
  </si>
  <si>
    <t xml:space="preserve"> = Return on net operating assets</t>
  </si>
  <si>
    <t>Return on net operating assets</t>
  </si>
  <si>
    <t>CONDENSED STATEMENTS OF EARNINGS WHEN ALLOCATING FINANCING FEES AND COMMISSIONS TO OPERATIONS</t>
  </si>
  <si>
    <t>Operating profit margin (as reported, including financial services)</t>
  </si>
  <si>
    <t>Revenue per square metre</t>
  </si>
  <si>
    <t>Total asset turnover</t>
  </si>
  <si>
    <r>
      <t xml:space="preserve">TAX EXPENSE ITEMS – </t>
    </r>
    <r>
      <rPr>
        <sz val="11"/>
        <rFont val="Calibri"/>
        <family val="2"/>
      </rPr>
      <t>€</t>
    </r>
    <r>
      <rPr>
        <b/>
        <sz val="11"/>
        <rFont val="Calibri"/>
        <family val="2"/>
      </rPr>
      <t xml:space="preserve"> mn</t>
    </r>
  </si>
  <si>
    <t>= Net operating profit after tax</t>
  </si>
  <si>
    <t>= Net non-recurring expense (income)</t>
  </si>
  <si>
    <t>+ Non-recurring tax expense (income)</t>
  </si>
  <si>
    <t>= Net non-recurring expense after tax</t>
  </si>
  <si>
    <t>= Investment and interest income</t>
  </si>
  <si>
    <t>+ Profit/loss Carrefour Banque</t>
  </si>
  <si>
    <t>= Net investment profit after tax</t>
  </si>
  <si>
    <t>= Interest expense</t>
  </si>
  <si>
    <t>= Interest expense after tax</t>
  </si>
  <si>
    <t>– Investment profit after tax</t>
  </si>
  <si>
    <t>= Ending operating working capital</t>
  </si>
  <si>
    <t>= Ending non-operating investments</t>
  </si>
  <si>
    <t>= Ending debt</t>
  </si>
  <si>
    <t>– Net assets held for sale</t>
  </si>
  <si>
    <t>= Return on assets (ROA)</t>
  </si>
  <si>
    <t>= Return on equity (ROE)</t>
  </si>
  <si>
    <t>= Return on net operating assets</t>
  </si>
  <si>
    <t>INCOME STATEMENT – € million</t>
  </si>
  <si>
    <r>
      <t xml:space="preserve">OPERATING EXPENSES BY NATURE – </t>
    </r>
    <r>
      <rPr>
        <sz val="11"/>
        <rFont val="Calibri"/>
        <family val="2"/>
      </rPr>
      <t>€</t>
    </r>
    <r>
      <rPr>
        <b/>
        <sz val="11"/>
        <rFont val="Calibri"/>
        <family val="2"/>
      </rPr>
      <t xml:space="preserve"> million</t>
    </r>
  </si>
  <si>
    <r>
      <t xml:space="preserve">OTHER INFORMATION – </t>
    </r>
    <r>
      <rPr>
        <sz val="11"/>
        <rFont val="Calibri"/>
        <family val="2"/>
      </rPr>
      <t>€</t>
    </r>
    <r>
      <rPr>
        <b/>
        <sz val="11"/>
        <rFont val="Calibri"/>
        <family val="2"/>
      </rPr>
      <t xml:space="preserve"> million</t>
    </r>
  </si>
  <si>
    <r>
      <t xml:space="preserve">BALANCE SHEET – </t>
    </r>
    <r>
      <rPr>
        <sz val="11"/>
        <rFont val="Calibri"/>
        <family val="2"/>
      </rPr>
      <t>€</t>
    </r>
    <r>
      <rPr>
        <b/>
        <sz val="11"/>
        <rFont val="Calibri"/>
        <family val="2"/>
      </rPr>
      <t xml:space="preserve"> million</t>
    </r>
  </si>
  <si>
    <r>
      <t xml:space="preserve">CASH FLOW STATEMENT – </t>
    </r>
    <r>
      <rPr>
        <sz val="11"/>
        <rFont val="Calibri"/>
        <family val="2"/>
      </rPr>
      <t>€</t>
    </r>
    <r>
      <rPr>
        <b/>
        <sz val="11"/>
        <rFont val="Calibri"/>
        <family val="2"/>
      </rPr>
      <t xml:space="preserve"> million</t>
    </r>
  </si>
  <si>
    <t>RNOA</t>
  </si>
  <si>
    <t>RNOA (after excluding non-recurring items after tax)</t>
  </si>
  <si>
    <t>ROE (after excluding non-recurring items after tax)</t>
  </si>
  <si>
    <t>Casino</t>
  </si>
  <si>
    <t>Financial leverage</t>
  </si>
  <si>
    <t>Personnel expense-to-revenue</t>
  </si>
  <si>
    <t>Operating working capital/Revenue</t>
  </si>
  <si>
    <t>Net non-current assets/Revenue</t>
  </si>
  <si>
    <t>PP&amp;E/Revenue</t>
  </si>
  <si>
    <t>Decomposition of ROE</t>
  </si>
  <si>
    <t>Decomposition of ROE (after excluding non-recurring items after tax)</t>
  </si>
  <si>
    <t>Decomposition of RNOA (after excluding non-recurring items after tax)</t>
  </si>
  <si>
    <t>Year</t>
  </si>
  <si>
    <t xml:space="preserve">Net revenue </t>
  </si>
  <si>
    <t>Recurring operating income</t>
  </si>
  <si>
    <t>Total segment assets</t>
  </si>
  <si>
    <t>Capital expenditures</t>
  </si>
  <si>
    <t>Depreciation and amortization expense</t>
  </si>
  <si>
    <t>Total sales area (in square meters, 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</si>
</sst>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.00_ ;_ * \-#,##0.00_ ;_ * &quot;-&quot;??_ ;_ @_ "/>
    <numFmt numFmtId="166" formatCode="#,##0.0"/>
    <numFmt numFmtId="167" formatCode="0.0%"/>
    <numFmt numFmtId="168" formatCode="0.0"/>
    <numFmt numFmtId="169" formatCode="_ * #,##0_ ;_ * \-#,##0_ ;_ * &quot;-&quot;??_ ;_ @_ 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b/>
      <i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9" fontId="8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0" applyFont="1"/>
    <xf numFmtId="0" fontId="4" fillId="0" borderId="0" xfId="0" applyFont="1" applyAlignment="1">
      <alignment vertical="justify"/>
    </xf>
    <xf numFmtId="0" fontId="3" fillId="0" borderId="0" xfId="0" applyFont="1"/>
    <xf numFmtId="166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vertical="justify"/>
    </xf>
    <xf numFmtId="166" fontId="3" fillId="0" borderId="1" xfId="0" applyNumberFormat="1" applyFont="1" applyBorder="1" applyAlignment="1">
      <alignment horizontal="right"/>
    </xf>
    <xf numFmtId="166" fontId="4" fillId="0" borderId="0" xfId="0" applyNumberFormat="1" applyFont="1"/>
    <xf numFmtId="0" fontId="5" fillId="0" borderId="0" xfId="0" applyFont="1" applyAlignment="1">
      <alignment vertical="justify"/>
    </xf>
    <xf numFmtId="0" fontId="3" fillId="0" borderId="0" xfId="0" applyFont="1" applyAlignment="1">
      <alignment horizontal="center" vertical="justify"/>
    </xf>
    <xf numFmtId="166" fontId="2" fillId="0" borderId="0" xfId="0" applyNumberFormat="1" applyFont="1"/>
    <xf numFmtId="0" fontId="4" fillId="0" borderId="0" xfId="0" applyFont="1" applyAlignment="1">
      <alignment horizontal="left" vertical="justify" indent="3"/>
    </xf>
    <xf numFmtId="166" fontId="2" fillId="0" borderId="3" xfId="0" applyNumberFormat="1" applyFont="1" applyBorder="1"/>
    <xf numFmtId="0" fontId="3" fillId="0" borderId="3" xfId="0" applyFont="1" applyBorder="1" applyAlignment="1">
      <alignment vertical="justify"/>
    </xf>
    <xf numFmtId="167" fontId="4" fillId="0" borderId="1" xfId="0" applyNumberFormat="1" applyFont="1" applyBorder="1" applyAlignment="1">
      <alignment horizontal="right"/>
    </xf>
    <xf numFmtId="0" fontId="4" fillId="0" borderId="0" xfId="0" quotePrefix="1" applyFont="1" applyAlignment="1">
      <alignment horizontal="left" vertical="justify" indent="3"/>
    </xf>
    <xf numFmtId="0" fontId="3" fillId="0" borderId="0" xfId="0" quotePrefix="1" applyFont="1" applyAlignment="1">
      <alignment horizontal="left" vertical="justify" indent="3"/>
    </xf>
    <xf numFmtId="0" fontId="5" fillId="0" borderId="1" xfId="0" applyFont="1" applyBorder="1" applyAlignment="1">
      <alignment vertical="justify"/>
    </xf>
    <xf numFmtId="167" fontId="4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4" fillId="0" borderId="0" xfId="0" applyNumberFormat="1" applyFont="1"/>
    <xf numFmtId="10" fontId="4" fillId="0" borderId="0" xfId="0" applyNumberFormat="1" applyFont="1" applyAlignment="1">
      <alignment horizontal="center"/>
    </xf>
    <xf numFmtId="0" fontId="9" fillId="0" borderId="0" xfId="0" applyFont="1"/>
    <xf numFmtId="37" fontId="4" fillId="0" borderId="0" xfId="0" applyNumberFormat="1" applyFont="1"/>
    <xf numFmtId="0" fontId="3" fillId="2" borderId="0" xfId="0" quotePrefix="1" applyFont="1" applyFill="1" applyAlignment="1">
      <alignment vertical="justify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37" fontId="6" fillId="0" borderId="0" xfId="0" applyNumberFormat="1" applyFont="1" applyAlignment="1">
      <alignment horizontal="right" vertical="center" wrapText="1"/>
    </xf>
    <xf numFmtId="37" fontId="6" fillId="0" borderId="6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37" fontId="10" fillId="0" borderId="0" xfId="0" applyNumberFormat="1" applyFont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37" fontId="10" fillId="0" borderId="6" xfId="0" applyNumberFormat="1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right" vertical="center" wrapText="1"/>
    </xf>
    <xf numFmtId="39" fontId="6" fillId="0" borderId="0" xfId="0" applyNumberFormat="1" applyFont="1" applyAlignment="1">
      <alignment horizontal="right" vertical="center" wrapText="1"/>
    </xf>
    <xf numFmtId="10" fontId="6" fillId="0" borderId="0" xfId="0" applyNumberFormat="1" applyFont="1"/>
    <xf numFmtId="0" fontId="6" fillId="0" borderId="0" xfId="0" applyFont="1" applyAlignment="1">
      <alignment horizontal="left" indent="1"/>
    </xf>
    <xf numFmtId="0" fontId="10" fillId="0" borderId="0" xfId="0" applyFont="1"/>
    <xf numFmtId="10" fontId="10" fillId="0" borderId="0" xfId="0" applyNumberFormat="1" applyFont="1"/>
    <xf numFmtId="167" fontId="10" fillId="0" borderId="6" xfId="1" applyNumberFormat="1" applyFont="1" applyBorder="1" applyAlignment="1">
      <alignment vertical="center" wrapText="1"/>
    </xf>
    <xf numFmtId="167" fontId="6" fillId="0" borderId="0" xfId="0" applyNumberFormat="1" applyFont="1"/>
    <xf numFmtId="167" fontId="4" fillId="0" borderId="0" xfId="0" applyNumberFormat="1" applyFont="1" applyAlignment="1">
      <alignment horizontal="right"/>
    </xf>
    <xf numFmtId="2" fontId="4" fillId="0" borderId="1" xfId="0" applyNumberFormat="1" applyFont="1" applyBorder="1" applyAlignment="1">
      <alignment horizontal="right"/>
    </xf>
    <xf numFmtId="167" fontId="10" fillId="0" borderId="6" xfId="1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wrapText="1"/>
    </xf>
    <xf numFmtId="0" fontId="6" fillId="0" borderId="1" xfId="0" applyFont="1" applyBorder="1"/>
    <xf numFmtId="0" fontId="3" fillId="0" borderId="1" xfId="0" applyFont="1" applyBorder="1" applyAlignment="1">
      <alignment horizontal="center" wrapText="1"/>
    </xf>
    <xf numFmtId="167" fontId="6" fillId="0" borderId="0" xfId="1" applyNumberFormat="1" applyFont="1"/>
    <xf numFmtId="0" fontId="4" fillId="2" borderId="0" xfId="0" quotePrefix="1" applyFont="1" applyFill="1" applyAlignment="1">
      <alignment horizontal="left" vertical="justify" indent="3"/>
    </xf>
    <xf numFmtId="0" fontId="7" fillId="0" borderId="0" xfId="0" applyFont="1"/>
    <xf numFmtId="0" fontId="3" fillId="0" borderId="1" xfId="0" applyFont="1" applyBorder="1" applyAlignment="1">
      <alignment vertical="justify"/>
    </xf>
    <xf numFmtId="0" fontId="3" fillId="0" borderId="1" xfId="0" applyFont="1" applyBorder="1" applyAlignment="1">
      <alignment horizontal="center" vertical="justify"/>
    </xf>
    <xf numFmtId="0" fontId="4" fillId="0" borderId="0" xfId="0" quotePrefix="1" applyFont="1" applyAlignment="1">
      <alignment vertical="justify"/>
    </xf>
    <xf numFmtId="0" fontId="11" fillId="0" borderId="0" xfId="0" applyFont="1"/>
    <xf numFmtId="0" fontId="12" fillId="0" borderId="0" xfId="0" applyFont="1" applyAlignment="1">
      <alignment vertical="justify"/>
    </xf>
    <xf numFmtId="0" fontId="5" fillId="0" borderId="0" xfId="0" quotePrefix="1" applyFont="1" applyAlignment="1">
      <alignment vertical="justify"/>
    </xf>
    <xf numFmtId="0" fontId="3" fillId="3" borderId="1" xfId="0" applyFont="1" applyFill="1" applyBorder="1" applyAlignment="1">
      <alignment horizontal="center" vertical="justify"/>
    </xf>
    <xf numFmtId="167" fontId="4" fillId="3" borderId="0" xfId="0" applyNumberFormat="1" applyFont="1" applyFill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0" xfId="0" applyFont="1" applyFill="1"/>
    <xf numFmtId="37" fontId="4" fillId="0" borderId="0" xfId="17" applyNumberFormat="1" applyFont="1"/>
    <xf numFmtId="37" fontId="0" fillId="0" borderId="0" xfId="17" applyNumberFormat="1" applyFont="1"/>
    <xf numFmtId="169" fontId="0" fillId="0" borderId="0" xfId="17" applyNumberFormat="1" applyFont="1"/>
    <xf numFmtId="2" fontId="6" fillId="0" borderId="0" xfId="17" applyNumberFormat="1" applyFont="1"/>
    <xf numFmtId="0" fontId="3" fillId="4" borderId="0" xfId="0" applyFont="1" applyFill="1"/>
    <xf numFmtId="0" fontId="4" fillId="4" borderId="0" xfId="0" applyFont="1" applyFill="1"/>
    <xf numFmtId="167" fontId="4" fillId="4" borderId="0" xfId="0" applyNumberFormat="1" applyFont="1" applyFill="1"/>
    <xf numFmtId="166" fontId="2" fillId="4" borderId="3" xfId="0" applyNumberFormat="1" applyFont="1" applyFill="1" applyBorder="1"/>
    <xf numFmtId="0" fontId="2" fillId="4" borderId="4" xfId="0" applyFont="1" applyFill="1" applyBorder="1"/>
    <xf numFmtId="0" fontId="3" fillId="4" borderId="0" xfId="0" applyFont="1" applyFill="1" applyAlignment="1">
      <alignment horizontal="center" vertical="justify"/>
    </xf>
    <xf numFmtId="0" fontId="3" fillId="4" borderId="0" xfId="0" applyFont="1" applyFill="1" applyAlignment="1">
      <alignment vertical="justify"/>
    </xf>
    <xf numFmtId="166" fontId="2" fillId="4" borderId="0" xfId="0" applyNumberFormat="1" applyFont="1" applyFill="1"/>
    <xf numFmtId="0" fontId="4" fillId="4" borderId="0" xfId="0" applyFont="1" applyFill="1" applyAlignment="1">
      <alignment horizontal="left" vertical="justify" indent="3"/>
    </xf>
    <xf numFmtId="166" fontId="4" fillId="4" borderId="0" xfId="0" applyNumberFormat="1" applyFont="1" applyFill="1"/>
    <xf numFmtId="0" fontId="4" fillId="4" borderId="0" xfId="0" quotePrefix="1" applyFont="1" applyFill="1" applyAlignment="1">
      <alignment horizontal="left" vertical="justify" indent="3"/>
    </xf>
    <xf numFmtId="166" fontId="4" fillId="4" borderId="1" xfId="0" applyNumberFormat="1" applyFont="1" applyFill="1" applyBorder="1" applyAlignment="1">
      <alignment horizontal="right"/>
    </xf>
    <xf numFmtId="0" fontId="3" fillId="4" borderId="0" xfId="0" quotePrefix="1" applyFont="1" applyFill="1" applyAlignment="1">
      <alignment horizontal="left" vertical="justify" indent="3"/>
    </xf>
    <xf numFmtId="166" fontId="3" fillId="4" borderId="1" xfId="0" applyNumberFormat="1" applyFont="1" applyFill="1" applyBorder="1" applyAlignment="1">
      <alignment horizontal="right"/>
    </xf>
    <xf numFmtId="167" fontId="4" fillId="4" borderId="0" xfId="0" applyNumberFormat="1" applyFont="1" applyFill="1" applyAlignment="1">
      <alignment horizontal="right"/>
    </xf>
    <xf numFmtId="2" fontId="4" fillId="4" borderId="1" xfId="0" applyNumberFormat="1" applyFont="1" applyFill="1" applyBorder="1" applyAlignment="1">
      <alignment horizontal="right"/>
    </xf>
    <xf numFmtId="0" fontId="3" fillId="4" borderId="0" xfId="0" quotePrefix="1" applyFont="1" applyFill="1" applyAlignment="1">
      <alignment vertical="justify"/>
    </xf>
    <xf numFmtId="167" fontId="4" fillId="4" borderId="1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justify"/>
    </xf>
    <xf numFmtId="0" fontId="4" fillId="4" borderId="0" xfId="0" applyFont="1" applyFill="1" applyAlignment="1">
      <alignment vertical="justify"/>
    </xf>
    <xf numFmtId="0" fontId="3" fillId="4" borderId="0" xfId="0" applyFont="1" applyFill="1" applyAlignment="1">
      <alignment horizontal="center"/>
    </xf>
    <xf numFmtId="166" fontId="4" fillId="4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left" vertical="justify" indent="3"/>
    </xf>
    <xf numFmtId="166" fontId="2" fillId="4" borderId="2" xfId="0" applyNumberFormat="1" applyFont="1" applyFill="1" applyBorder="1"/>
    <xf numFmtId="166" fontId="1" fillId="4" borderId="0" xfId="0" applyNumberFormat="1" applyFont="1" applyFill="1"/>
    <xf numFmtId="166" fontId="2" fillId="4" borderId="5" xfId="0" applyNumberFormat="1" applyFont="1" applyFill="1" applyBorder="1"/>
    <xf numFmtId="167" fontId="2" fillId="4" borderId="0" xfId="1" applyNumberFormat="1" applyFont="1" applyFill="1"/>
    <xf numFmtId="166" fontId="4" fillId="4" borderId="1" xfId="0" applyNumberFormat="1" applyFont="1" applyFill="1" applyBorder="1"/>
    <xf numFmtId="0" fontId="13" fillId="3" borderId="0" xfId="0" applyFont="1" applyFill="1" applyAlignment="1">
      <alignment horizontal="center"/>
    </xf>
  </cellXfs>
  <cellStyles count="18">
    <cellStyle name="Comma 14" xfId="7" xr:uid="{00000000-0005-0000-0000-000001000000}"/>
    <cellStyle name="Comma 16" xfId="9" xr:uid="{00000000-0005-0000-0000-000002000000}"/>
    <cellStyle name="Comma 17" xfId="11" xr:uid="{00000000-0005-0000-0000-000003000000}"/>
    <cellStyle name="Comma 19" xfId="12" xr:uid="{00000000-0005-0000-0000-000004000000}"/>
    <cellStyle name="Comma 2" xfId="17" xr:uid="{977A855E-B392-4102-8216-05EF59EB337E}"/>
    <cellStyle name="Comma 21" xfId="14" xr:uid="{00000000-0005-0000-0000-000005000000}"/>
    <cellStyle name="Comma 3" xfId="3" xr:uid="{00000000-0005-0000-0000-000006000000}"/>
    <cellStyle name="Normal" xfId="0" builtinId="0"/>
    <cellStyle name="Normal 10" xfId="6" xr:uid="{00000000-0005-0000-0000-000008000000}"/>
    <cellStyle name="Normal 13" xfId="8" xr:uid="{00000000-0005-0000-0000-000009000000}"/>
    <cellStyle name="Normal 15" xfId="10" xr:uid="{00000000-0005-0000-0000-00000A000000}"/>
    <cellStyle name="Normal 19" xfId="13" xr:uid="{00000000-0005-0000-0000-00000B000000}"/>
    <cellStyle name="Normal 2" xfId="2" xr:uid="{00000000-0005-0000-0000-00000C000000}"/>
    <cellStyle name="Normal 3" xfId="4" xr:uid="{00000000-0005-0000-0000-00000D000000}"/>
    <cellStyle name="Normal 4" xfId="5" xr:uid="{00000000-0005-0000-0000-00000E000000}"/>
    <cellStyle name="Normal 5" xfId="15" xr:uid="{00000000-0005-0000-0000-00000F000000}"/>
    <cellStyle name="Percent" xfId="1" builtinId="5"/>
    <cellStyle name="Percent 2" xfId="16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0447-D36C-45A0-B79E-EA06B33ECB41}">
  <dimension ref="A1:XFD62"/>
  <sheetViews>
    <sheetView zoomScale="85" zoomScaleNormal="85" workbookViewId="0">
      <selection activeCell="J39" sqref="J39"/>
    </sheetView>
  </sheetViews>
  <sheetFormatPr defaultRowHeight="12.75" x14ac:dyDescent="0.2"/>
  <cols>
    <col min="1" max="1" width="45.7109375" bestFit="1" customWidth="1"/>
    <col min="2" max="2" width="15.28515625" customWidth="1"/>
    <col min="3" max="6" width="14.7109375" customWidth="1"/>
    <col min="7" max="7" width="15.7109375" customWidth="1"/>
  </cols>
  <sheetData>
    <row r="1" spans="1:16 16384:16384" s="29" customFormat="1" ht="45" x14ac:dyDescent="0.25">
      <c r="A1" s="30" t="s">
        <v>70</v>
      </c>
      <c r="B1" s="30" t="s">
        <v>71</v>
      </c>
      <c r="C1" s="30" t="s">
        <v>72</v>
      </c>
      <c r="D1" s="30" t="s">
        <v>73</v>
      </c>
      <c r="E1" s="30" t="s">
        <v>74</v>
      </c>
      <c r="F1" s="30" t="s">
        <v>75</v>
      </c>
      <c r="G1" s="30" t="s">
        <v>162</v>
      </c>
      <c r="H1" s="28"/>
      <c r="I1" s="28"/>
      <c r="J1" s="28"/>
      <c r="K1" s="28"/>
      <c r="L1" s="28"/>
      <c r="M1" s="28"/>
      <c r="N1" s="28"/>
      <c r="O1" s="28"/>
      <c r="P1" s="28"/>
    </row>
    <row r="2" spans="1:16 16384:16384" ht="15" x14ac:dyDescent="0.25">
      <c r="A2" s="1" t="s">
        <v>215</v>
      </c>
      <c r="B2" s="1">
        <v>2020</v>
      </c>
      <c r="C2" s="26">
        <v>34135</v>
      </c>
      <c r="D2" s="26">
        <v>21239</v>
      </c>
      <c r="E2" s="26">
        <v>13245</v>
      </c>
      <c r="F2" s="26">
        <v>2100</v>
      </c>
      <c r="G2" s="26">
        <v>0</v>
      </c>
      <c r="H2" s="3"/>
      <c r="I2" s="3"/>
      <c r="J2" s="3"/>
      <c r="K2" s="3"/>
      <c r="L2" s="3"/>
      <c r="M2" s="3"/>
      <c r="N2" s="3"/>
      <c r="O2" s="3"/>
      <c r="P2" s="3"/>
      <c r="XFD2" s="3"/>
    </row>
    <row r="3" spans="1:16 16384:16384" ht="15" x14ac:dyDescent="0.25">
      <c r="A3" s="3"/>
      <c r="B3" s="1">
        <v>2019</v>
      </c>
      <c r="C3" s="26">
        <v>34765</v>
      </c>
      <c r="D3" s="26">
        <v>20999</v>
      </c>
      <c r="E3" s="26">
        <v>14665</v>
      </c>
      <c r="F3" s="26">
        <v>1968</v>
      </c>
      <c r="G3" s="26">
        <v>0</v>
      </c>
      <c r="H3" s="3"/>
      <c r="I3" s="3"/>
      <c r="J3" s="3"/>
      <c r="K3" s="3"/>
      <c r="L3" s="3"/>
      <c r="M3" s="3"/>
      <c r="N3" s="3"/>
      <c r="O3" s="3"/>
      <c r="P3" s="3"/>
    </row>
    <row r="4" spans="1:16 16384:16384" ht="15" x14ac:dyDescent="0.25">
      <c r="A4" s="3"/>
      <c r="B4" s="1">
        <v>2018</v>
      </c>
      <c r="C4" s="26">
        <v>35615</v>
      </c>
      <c r="D4" s="26">
        <v>21076</v>
      </c>
      <c r="E4" s="26">
        <v>13809</v>
      </c>
      <c r="F4" s="26">
        <v>5501</v>
      </c>
      <c r="G4" s="26">
        <v>0</v>
      </c>
      <c r="H4" s="3"/>
      <c r="I4" s="3"/>
      <c r="J4" s="3"/>
      <c r="K4" s="3"/>
      <c r="L4" s="3"/>
      <c r="M4" s="3"/>
      <c r="N4" s="3"/>
      <c r="O4" s="3"/>
      <c r="P4" s="3"/>
    </row>
    <row r="5" spans="1:16 16384:16384" ht="15" x14ac:dyDescent="0.25">
      <c r="A5" s="57"/>
      <c r="B5" s="1">
        <v>2017</v>
      </c>
      <c r="C5" s="26">
        <v>35835</v>
      </c>
      <c r="D5" s="26">
        <v>21112</v>
      </c>
      <c r="E5" s="26">
        <v>16042</v>
      </c>
      <c r="F5" s="26">
        <v>5907</v>
      </c>
      <c r="G5" s="26">
        <v>0</v>
      </c>
      <c r="H5" s="26"/>
      <c r="I5" s="68"/>
      <c r="J5" s="68"/>
      <c r="K5" s="3"/>
      <c r="L5" s="3"/>
      <c r="M5" s="3"/>
      <c r="N5" s="3"/>
      <c r="O5" s="3"/>
      <c r="P5" s="3"/>
    </row>
    <row r="6" spans="1:16 16384:16384" ht="15" x14ac:dyDescent="0.25">
      <c r="A6" s="1"/>
      <c r="B6" s="1">
        <v>2016</v>
      </c>
      <c r="C6" s="26">
        <v>35877</v>
      </c>
      <c r="D6" s="26">
        <v>20085</v>
      </c>
      <c r="E6" s="26">
        <v>14507</v>
      </c>
      <c r="F6" s="26">
        <v>6176</v>
      </c>
      <c r="G6" s="26">
        <v>0</v>
      </c>
      <c r="H6" s="26"/>
      <c r="I6" s="68"/>
      <c r="J6" s="68"/>
      <c r="K6" s="3"/>
      <c r="L6" s="3"/>
      <c r="M6" s="3"/>
      <c r="N6" s="3"/>
      <c r="O6" s="3"/>
      <c r="P6" s="3"/>
    </row>
    <row r="7" spans="1:16 16384:16384" ht="15" x14ac:dyDescent="0.25">
      <c r="A7" s="1"/>
      <c r="B7" s="1">
        <v>2015</v>
      </c>
      <c r="C7" s="26">
        <v>36272</v>
      </c>
      <c r="D7" s="26">
        <v>19724</v>
      </c>
      <c r="E7" s="26">
        <v>14290</v>
      </c>
      <c r="F7" s="26">
        <v>6659</v>
      </c>
      <c r="G7" s="26">
        <v>0</v>
      </c>
      <c r="H7" s="26"/>
      <c r="I7" s="68"/>
      <c r="J7" s="68"/>
      <c r="K7" s="3"/>
      <c r="L7" s="3"/>
      <c r="M7" s="3"/>
      <c r="N7" s="3"/>
      <c r="O7" s="3"/>
      <c r="P7" s="3"/>
    </row>
    <row r="8" spans="1:16 16384:16384" ht="15" x14ac:dyDescent="0.25">
      <c r="A8" s="1" t="s">
        <v>216</v>
      </c>
      <c r="B8" s="1">
        <v>2020</v>
      </c>
      <c r="C8" s="26">
        <v>629</v>
      </c>
      <c r="D8" s="26">
        <v>698</v>
      </c>
      <c r="E8" s="26">
        <v>786</v>
      </c>
      <c r="F8" s="26">
        <v>94</v>
      </c>
      <c r="G8" s="26">
        <v>-33</v>
      </c>
      <c r="H8" s="26"/>
      <c r="I8" s="68"/>
      <c r="J8" s="68"/>
      <c r="K8" s="3"/>
      <c r="L8" s="3"/>
      <c r="M8" s="3"/>
      <c r="N8" s="3"/>
      <c r="O8" s="3"/>
      <c r="P8" s="3"/>
    </row>
    <row r="9" spans="1:16 16384:16384" ht="15" x14ac:dyDescent="0.25">
      <c r="A9" s="1"/>
      <c r="B9" s="1">
        <v>2019</v>
      </c>
      <c r="C9" s="26">
        <v>555</v>
      </c>
      <c r="D9" s="26">
        <v>659</v>
      </c>
      <c r="E9" s="26">
        <v>833</v>
      </c>
      <c r="F9" s="26">
        <v>83</v>
      </c>
      <c r="G9" s="26">
        <v>-32</v>
      </c>
      <c r="H9" s="26"/>
      <c r="I9" s="68"/>
      <c r="J9" s="68"/>
      <c r="K9" s="3"/>
      <c r="L9" s="3"/>
      <c r="M9" s="3"/>
      <c r="N9" s="3"/>
      <c r="O9" s="3"/>
      <c r="P9" s="3"/>
    </row>
    <row r="10" spans="1:16 16384:16384" ht="15" x14ac:dyDescent="0.25">
      <c r="A10" s="1"/>
      <c r="B10" s="1">
        <v>2018</v>
      </c>
      <c r="C10" s="26">
        <v>466</v>
      </c>
      <c r="D10" s="26">
        <v>664</v>
      </c>
      <c r="E10" s="26">
        <v>767</v>
      </c>
      <c r="F10" s="26">
        <v>45</v>
      </c>
      <c r="G10" s="26">
        <v>-38</v>
      </c>
      <c r="H10" s="26"/>
      <c r="I10" s="68"/>
      <c r="J10" s="68"/>
      <c r="K10" s="3"/>
      <c r="L10" s="3"/>
      <c r="M10" s="3"/>
      <c r="N10" s="3"/>
      <c r="O10" s="3"/>
      <c r="P10" s="3"/>
    </row>
    <row r="11" spans="1:16 16384:16384" ht="15" x14ac:dyDescent="0.25">
      <c r="A11" s="57"/>
      <c r="B11" s="1">
        <v>2017</v>
      </c>
      <c r="C11" s="26">
        <v>692</v>
      </c>
      <c r="D11" s="26">
        <v>677</v>
      </c>
      <c r="E11" s="26">
        <v>715</v>
      </c>
      <c r="F11" s="26">
        <v>4</v>
      </c>
      <c r="G11" s="26">
        <v>-83</v>
      </c>
      <c r="H11" s="26"/>
      <c r="I11" s="68"/>
      <c r="J11" s="68"/>
      <c r="K11" s="3"/>
      <c r="L11" s="3"/>
      <c r="M11" s="3"/>
      <c r="N11" s="3"/>
      <c r="O11" s="3"/>
      <c r="P11" s="3"/>
    </row>
    <row r="12" spans="1:16 16384:16384" ht="15" x14ac:dyDescent="0.25">
      <c r="A12" s="1"/>
      <c r="B12" s="1">
        <v>2016</v>
      </c>
      <c r="C12" s="26">
        <v>1031</v>
      </c>
      <c r="D12" s="26">
        <v>712</v>
      </c>
      <c r="E12" s="26">
        <v>711</v>
      </c>
      <c r="F12" s="26">
        <v>-58</v>
      </c>
      <c r="G12" s="26">
        <v>-45</v>
      </c>
      <c r="H12" s="26"/>
      <c r="I12" s="68"/>
      <c r="J12" s="68"/>
      <c r="K12" s="3"/>
      <c r="L12" s="3"/>
      <c r="M12" s="3"/>
      <c r="N12" s="3"/>
      <c r="O12" s="3"/>
      <c r="P12" s="3"/>
    </row>
    <row r="13" spans="1:16 16384:16384" ht="15" x14ac:dyDescent="0.25">
      <c r="A13" s="1"/>
      <c r="B13" s="1">
        <v>2015</v>
      </c>
      <c r="C13" s="26">
        <v>1191</v>
      </c>
      <c r="D13" s="26">
        <v>567</v>
      </c>
      <c r="E13" s="26">
        <v>705</v>
      </c>
      <c r="F13" s="26">
        <v>13</v>
      </c>
      <c r="G13" s="26">
        <v>-31</v>
      </c>
      <c r="H13" s="26"/>
      <c r="I13" s="68"/>
      <c r="J13" s="68"/>
      <c r="K13" s="3"/>
      <c r="L13" s="3"/>
      <c r="M13" s="3"/>
      <c r="N13" s="3"/>
      <c r="O13" s="3"/>
      <c r="P13" s="3"/>
    </row>
    <row r="14" spans="1:16 16384:16384" ht="15" x14ac:dyDescent="0.25">
      <c r="A14" s="1" t="s">
        <v>217</v>
      </c>
      <c r="B14" s="1">
        <v>2020</v>
      </c>
      <c r="C14" s="26">
        <v>19742</v>
      </c>
      <c r="D14" s="26">
        <v>11183</v>
      </c>
      <c r="E14" s="26">
        <v>7142</v>
      </c>
      <c r="F14" s="26">
        <v>1133</v>
      </c>
      <c r="G14" s="26">
        <v>393</v>
      </c>
      <c r="H14" s="26"/>
      <c r="I14" s="68"/>
      <c r="J14" s="68"/>
      <c r="K14" s="3"/>
      <c r="L14" s="3"/>
      <c r="M14" s="3"/>
      <c r="N14" s="3"/>
      <c r="O14" s="3"/>
      <c r="P14" s="3"/>
    </row>
    <row r="15" spans="1:16 16384:16384" ht="15" x14ac:dyDescent="0.25">
      <c r="A15" s="1"/>
      <c r="B15" s="1">
        <v>2019</v>
      </c>
      <c r="C15" s="26">
        <v>20730</v>
      </c>
      <c r="D15" s="26">
        <v>11847</v>
      </c>
      <c r="E15" s="26">
        <v>8558</v>
      </c>
      <c r="F15" s="26">
        <v>1197</v>
      </c>
      <c r="G15" s="26">
        <v>800</v>
      </c>
      <c r="H15" s="26"/>
      <c r="I15" s="68"/>
      <c r="J15" s="68"/>
      <c r="K15" s="3"/>
      <c r="L15" s="3"/>
      <c r="M15" s="3"/>
      <c r="N15" s="3"/>
      <c r="O15" s="3"/>
      <c r="P15" s="3"/>
    </row>
    <row r="16" spans="1:16 16384:16384" ht="15" x14ac:dyDescent="0.25">
      <c r="A16" s="1"/>
      <c r="B16" s="1">
        <v>2018</v>
      </c>
      <c r="C16" s="26">
        <v>19370</v>
      </c>
      <c r="D16" s="26">
        <v>9925</v>
      </c>
      <c r="E16" s="26">
        <v>7057</v>
      </c>
      <c r="F16" s="26">
        <v>1989</v>
      </c>
      <c r="G16" s="26">
        <v>1129</v>
      </c>
      <c r="H16" s="26"/>
      <c r="I16" s="68"/>
      <c r="J16" s="68"/>
      <c r="K16" s="3"/>
      <c r="L16" s="3"/>
      <c r="M16" s="3"/>
      <c r="N16" s="3"/>
      <c r="O16" s="3"/>
      <c r="P16" s="3"/>
    </row>
    <row r="17" spans="1:16" ht="15" x14ac:dyDescent="0.25">
      <c r="A17" s="57"/>
      <c r="B17" s="1">
        <v>2017</v>
      </c>
      <c r="C17" s="26">
        <v>19921</v>
      </c>
      <c r="D17" s="26">
        <v>10427</v>
      </c>
      <c r="E17" s="26">
        <v>7195</v>
      </c>
      <c r="F17" s="26">
        <v>2128</v>
      </c>
      <c r="G17" s="26">
        <v>1015</v>
      </c>
      <c r="H17" s="26"/>
      <c r="I17" s="68"/>
      <c r="J17" s="68"/>
      <c r="K17" s="3"/>
      <c r="L17" s="3"/>
      <c r="M17" s="3"/>
      <c r="N17" s="3"/>
      <c r="O17" s="3"/>
      <c r="P17" s="3"/>
    </row>
    <row r="18" spans="1:16" ht="15" x14ac:dyDescent="0.25">
      <c r="A18" s="1"/>
      <c r="B18" s="1">
        <v>2016</v>
      </c>
      <c r="C18" s="26">
        <v>20134</v>
      </c>
      <c r="D18" s="26">
        <v>10754</v>
      </c>
      <c r="E18" s="26">
        <v>7497</v>
      </c>
      <c r="F18" s="26">
        <v>2438</v>
      </c>
      <c r="G18" s="26">
        <v>748</v>
      </c>
      <c r="H18" s="26"/>
      <c r="I18" s="68"/>
      <c r="J18" s="68"/>
      <c r="K18" s="3"/>
      <c r="L18" s="3"/>
      <c r="M18" s="3"/>
      <c r="N18" s="3"/>
      <c r="O18" s="3"/>
      <c r="P18" s="3"/>
    </row>
    <row r="19" spans="1:16" ht="15" x14ac:dyDescent="0.25">
      <c r="A19" s="1"/>
      <c r="B19" s="1">
        <v>2015</v>
      </c>
      <c r="C19" s="26">
        <v>19131</v>
      </c>
      <c r="D19" s="26">
        <v>10272</v>
      </c>
      <c r="E19" s="26">
        <v>5844</v>
      </c>
      <c r="F19" s="26">
        <v>2341</v>
      </c>
      <c r="G19" s="26">
        <v>889</v>
      </c>
      <c r="H19" s="26"/>
      <c r="I19" s="68"/>
      <c r="J19" s="68"/>
      <c r="K19" s="3"/>
      <c r="L19" s="3"/>
      <c r="M19" s="3"/>
      <c r="N19" s="3"/>
      <c r="O19" s="3"/>
      <c r="P19" s="3"/>
    </row>
    <row r="20" spans="1:16" ht="15" x14ac:dyDescent="0.25">
      <c r="A20" s="1" t="s">
        <v>218</v>
      </c>
      <c r="B20" s="1">
        <v>2020</v>
      </c>
      <c r="C20" s="26">
        <v>582</v>
      </c>
      <c r="D20" s="26">
        <v>314</v>
      </c>
      <c r="E20" s="26">
        <v>548</v>
      </c>
      <c r="F20" s="26">
        <v>34</v>
      </c>
      <c r="G20" s="26">
        <v>14</v>
      </c>
      <c r="H20" s="26"/>
      <c r="I20" s="68"/>
      <c r="J20" s="68"/>
      <c r="K20" s="3"/>
      <c r="L20" s="3"/>
      <c r="M20" s="3"/>
      <c r="N20" s="3"/>
      <c r="O20" s="3"/>
      <c r="P20" s="3"/>
    </row>
    <row r="21" spans="1:16" ht="15" x14ac:dyDescent="0.25">
      <c r="A21" s="1"/>
      <c r="B21" s="1">
        <v>2019</v>
      </c>
      <c r="C21" s="26">
        <v>875</v>
      </c>
      <c r="D21" s="26">
        <v>366</v>
      </c>
      <c r="E21" s="26">
        <v>420</v>
      </c>
      <c r="F21" s="26">
        <v>47</v>
      </c>
      <c r="G21" s="26">
        <v>17</v>
      </c>
      <c r="H21" s="26"/>
      <c r="I21" s="68"/>
      <c r="J21" s="68"/>
      <c r="K21" s="3"/>
      <c r="L21" s="3"/>
      <c r="M21" s="3"/>
      <c r="N21" s="3"/>
      <c r="O21" s="3"/>
      <c r="P21" s="3"/>
    </row>
    <row r="22" spans="1:16" ht="15" x14ac:dyDescent="0.25">
      <c r="A22" s="1"/>
      <c r="B22" s="1">
        <v>2018</v>
      </c>
      <c r="C22" s="26">
        <v>537</v>
      </c>
      <c r="D22" s="26">
        <v>385</v>
      </c>
      <c r="E22" s="26">
        <v>429</v>
      </c>
      <c r="F22" s="26">
        <v>94</v>
      </c>
      <c r="G22" s="26">
        <v>166</v>
      </c>
      <c r="H22" s="26"/>
      <c r="I22" s="68"/>
      <c r="J22" s="68"/>
      <c r="K22" s="3"/>
      <c r="L22" s="3"/>
      <c r="M22" s="3"/>
      <c r="N22" s="3"/>
      <c r="O22" s="3"/>
      <c r="P22" s="3"/>
    </row>
    <row r="23" spans="1:16" ht="15" x14ac:dyDescent="0.25">
      <c r="A23" s="57"/>
      <c r="B23" s="1">
        <v>2017</v>
      </c>
      <c r="C23" s="26">
        <v>903</v>
      </c>
      <c r="D23" s="26">
        <v>636</v>
      </c>
      <c r="E23" s="26">
        <v>526</v>
      </c>
      <c r="F23" s="26">
        <v>164</v>
      </c>
      <c r="G23" s="26">
        <v>150</v>
      </c>
      <c r="H23" s="26"/>
      <c r="I23" s="68"/>
      <c r="J23" s="68"/>
      <c r="K23" s="3"/>
      <c r="L23" s="3"/>
      <c r="M23" s="3"/>
      <c r="N23" s="3"/>
      <c r="O23" s="3"/>
      <c r="P23" s="3"/>
    </row>
    <row r="24" spans="1:16" ht="15" x14ac:dyDescent="0.25">
      <c r="A24" s="1"/>
      <c r="B24" s="1">
        <v>2016</v>
      </c>
      <c r="C24" s="26">
        <v>1287</v>
      </c>
      <c r="D24" s="26">
        <v>625</v>
      </c>
      <c r="E24" s="26">
        <v>519</v>
      </c>
      <c r="F24" s="26">
        <v>174</v>
      </c>
      <c r="G24" s="26">
        <v>144</v>
      </c>
      <c r="H24" s="26"/>
      <c r="I24" s="68"/>
      <c r="J24" s="68"/>
      <c r="K24" s="3"/>
      <c r="L24" s="3"/>
      <c r="M24" s="3"/>
      <c r="N24" s="3"/>
      <c r="O24" s="3"/>
      <c r="P24" s="3"/>
    </row>
    <row r="25" spans="1:16" ht="15" x14ac:dyDescent="0.25">
      <c r="A25" s="1"/>
      <c r="B25" s="1">
        <v>2015</v>
      </c>
      <c r="C25" s="26">
        <v>957</v>
      </c>
      <c r="D25" s="26">
        <v>579</v>
      </c>
      <c r="E25" s="26">
        <v>517</v>
      </c>
      <c r="F25" s="26">
        <v>204</v>
      </c>
      <c r="G25" s="26">
        <v>122</v>
      </c>
      <c r="H25" s="26"/>
      <c r="I25" s="68"/>
      <c r="J25" s="68"/>
      <c r="K25" s="3"/>
      <c r="L25" s="3"/>
      <c r="M25" s="3"/>
      <c r="N25" s="3"/>
      <c r="O25" s="3"/>
      <c r="P25" s="3"/>
    </row>
    <row r="26" spans="1:16" ht="15" x14ac:dyDescent="0.25">
      <c r="A26" s="1" t="s">
        <v>219</v>
      </c>
      <c r="B26" s="1">
        <v>2020</v>
      </c>
      <c r="C26" s="26">
        <v>-1065</v>
      </c>
      <c r="D26" s="26">
        <v>-867</v>
      </c>
      <c r="E26" s="26">
        <v>-214</v>
      </c>
      <c r="F26" s="26">
        <v>-131</v>
      </c>
      <c r="G26" s="26">
        <v>-15</v>
      </c>
      <c r="H26" s="26"/>
      <c r="I26" s="68"/>
      <c r="J26" s="68"/>
      <c r="K26" s="3"/>
      <c r="L26" s="3"/>
      <c r="M26" s="3"/>
      <c r="N26" s="3"/>
      <c r="O26" s="3"/>
      <c r="P26" s="3"/>
    </row>
    <row r="27" spans="1:16" ht="15" x14ac:dyDescent="0.25">
      <c r="A27" s="1"/>
      <c r="B27" s="1">
        <v>2019</v>
      </c>
      <c r="C27" s="26">
        <v>-996</v>
      </c>
      <c r="D27" s="26">
        <v>-878</v>
      </c>
      <c r="E27" s="26">
        <v>-281</v>
      </c>
      <c r="F27" s="26">
        <v>-126</v>
      </c>
      <c r="G27" s="26">
        <v>-37</v>
      </c>
      <c r="H27" s="26"/>
      <c r="I27" s="68"/>
      <c r="J27" s="68"/>
      <c r="K27" s="3"/>
      <c r="L27" s="3"/>
      <c r="M27" s="3"/>
      <c r="N27" s="3"/>
      <c r="O27" s="3"/>
      <c r="P27" s="3"/>
    </row>
    <row r="28" spans="1:16" ht="15" x14ac:dyDescent="0.25">
      <c r="A28" s="1"/>
      <c r="B28" s="1">
        <v>2018</v>
      </c>
      <c r="C28" s="26">
        <v>-629</v>
      </c>
      <c r="D28" s="26">
        <v>-458</v>
      </c>
      <c r="E28" s="26">
        <v>-216</v>
      </c>
      <c r="F28" s="26">
        <v>-159</v>
      </c>
      <c r="G28" s="26">
        <v>-102</v>
      </c>
      <c r="H28" s="26"/>
      <c r="I28" s="68"/>
      <c r="J28" s="68"/>
      <c r="K28" s="3"/>
      <c r="L28" s="3"/>
      <c r="M28" s="3"/>
      <c r="N28" s="3"/>
      <c r="O28" s="3"/>
      <c r="P28" s="3"/>
    </row>
    <row r="29" spans="1:16" ht="15" x14ac:dyDescent="0.25">
      <c r="A29" s="57"/>
      <c r="B29" s="1">
        <v>2017</v>
      </c>
      <c r="C29" s="26">
        <v>-692</v>
      </c>
      <c r="D29" s="26">
        <v>-459</v>
      </c>
      <c r="E29" s="26">
        <v>-221</v>
      </c>
      <c r="F29" s="26">
        <v>-178</v>
      </c>
      <c r="G29" s="26">
        <v>-81</v>
      </c>
      <c r="H29" s="26"/>
      <c r="I29" s="68"/>
      <c r="J29" s="68"/>
      <c r="K29" s="3"/>
      <c r="L29" s="3"/>
      <c r="M29" s="3"/>
      <c r="N29" s="3"/>
      <c r="O29" s="3"/>
      <c r="P29" s="3"/>
    </row>
    <row r="30" spans="1:16" ht="15" x14ac:dyDescent="0.25">
      <c r="A30" s="1"/>
      <c r="B30" s="1">
        <v>2016</v>
      </c>
      <c r="C30" s="26">
        <v>-616</v>
      </c>
      <c r="D30" s="26">
        <v>-414</v>
      </c>
      <c r="E30" s="26">
        <v>-183</v>
      </c>
      <c r="F30" s="26">
        <v>-199</v>
      </c>
      <c r="G30" s="26">
        <v>-74</v>
      </c>
      <c r="H30" s="26"/>
      <c r="I30" s="68"/>
      <c r="J30" s="68"/>
      <c r="K30" s="3"/>
      <c r="L30" s="3"/>
      <c r="M30" s="3"/>
      <c r="N30" s="3"/>
      <c r="O30" s="3"/>
      <c r="P30" s="3"/>
    </row>
    <row r="31" spans="1:16" ht="15" x14ac:dyDescent="0.25">
      <c r="A31" s="1"/>
      <c r="B31" s="1">
        <v>2015</v>
      </c>
      <c r="C31" s="26">
        <v>-602</v>
      </c>
      <c r="D31" s="26">
        <v>-389</v>
      </c>
      <c r="E31" s="26">
        <v>-180</v>
      </c>
      <c r="F31" s="26">
        <v>-213</v>
      </c>
      <c r="G31" s="26">
        <v>-87</v>
      </c>
      <c r="H31" s="26"/>
      <c r="I31" s="68"/>
      <c r="J31" s="68"/>
      <c r="K31" s="3"/>
      <c r="L31" s="3"/>
      <c r="M31" s="3"/>
      <c r="N31" s="3"/>
      <c r="O31" s="3"/>
      <c r="P31" s="3"/>
    </row>
    <row r="32" spans="1:16" ht="15" x14ac:dyDescent="0.25">
      <c r="A32" s="1" t="s">
        <v>220</v>
      </c>
      <c r="B32" s="1">
        <v>2020</v>
      </c>
      <c r="C32" s="26">
        <v>5507</v>
      </c>
      <c r="D32" s="26">
        <v>6165</v>
      </c>
      <c r="E32" s="26">
        <v>2717</v>
      </c>
      <c r="F32" s="26">
        <v>1035</v>
      </c>
      <c r="G32" s="26">
        <v>1486</v>
      </c>
      <c r="I32" s="68"/>
      <c r="J32" s="68"/>
      <c r="K32" s="3"/>
      <c r="L32" s="3"/>
      <c r="M32" s="3"/>
      <c r="N32" s="3"/>
      <c r="O32" s="3"/>
      <c r="P32" s="3"/>
    </row>
    <row r="33" spans="1:16" ht="15" x14ac:dyDescent="0.25">
      <c r="A33" s="1"/>
      <c r="B33" s="1">
        <v>2019</v>
      </c>
      <c r="C33" s="26">
        <v>5475</v>
      </c>
      <c r="D33" s="26">
        <v>5596</v>
      </c>
      <c r="E33" s="26">
        <v>2616</v>
      </c>
      <c r="F33" s="26">
        <v>1050</v>
      </c>
      <c r="G33" s="26">
        <v>1379</v>
      </c>
      <c r="I33" s="68"/>
      <c r="J33" s="68"/>
      <c r="K33" s="3"/>
      <c r="L33" s="3"/>
      <c r="M33" s="3"/>
      <c r="N33" s="3"/>
      <c r="O33" s="3"/>
      <c r="P33" s="3"/>
    </row>
    <row r="34" spans="1:16" ht="15" x14ac:dyDescent="0.25">
      <c r="A34" s="1"/>
      <c r="B34" s="1">
        <v>2018</v>
      </c>
      <c r="C34" s="26">
        <v>5546</v>
      </c>
      <c r="D34" s="26">
        <v>5598</v>
      </c>
      <c r="E34" s="26">
        <v>2510</v>
      </c>
      <c r="F34" s="26">
        <v>2667</v>
      </c>
      <c r="G34" s="26">
        <v>1223</v>
      </c>
      <c r="I34" s="68"/>
      <c r="J34" s="68"/>
      <c r="K34" s="3"/>
      <c r="L34" s="3"/>
      <c r="M34" s="3"/>
      <c r="N34" s="3"/>
      <c r="O34" s="3"/>
      <c r="P34" s="3"/>
    </row>
    <row r="35" spans="1:16" ht="15" x14ac:dyDescent="0.25">
      <c r="A35" s="57"/>
      <c r="B35" s="1">
        <v>2017</v>
      </c>
      <c r="C35" s="26">
        <v>5764</v>
      </c>
      <c r="D35" s="26">
        <v>5599</v>
      </c>
      <c r="E35" s="26">
        <v>2408</v>
      </c>
      <c r="F35" s="26">
        <v>2736</v>
      </c>
      <c r="G35" s="26">
        <v>1111</v>
      </c>
      <c r="I35" s="68"/>
      <c r="J35" s="68"/>
      <c r="K35" s="3"/>
      <c r="L35" s="3"/>
      <c r="M35" s="3"/>
      <c r="N35" s="3"/>
      <c r="O35" s="3"/>
      <c r="P35" s="3"/>
    </row>
    <row r="36" spans="1:16" ht="15" x14ac:dyDescent="0.25">
      <c r="A36" s="1"/>
      <c r="B36" s="1">
        <v>2016</v>
      </c>
      <c r="C36" s="26">
        <v>5719</v>
      </c>
      <c r="D36" s="26">
        <v>5449</v>
      </c>
      <c r="E36" s="26">
        <v>2335</v>
      </c>
      <c r="F36" s="26">
        <v>2758</v>
      </c>
      <c r="G36" s="26">
        <v>0</v>
      </c>
      <c r="I36" s="68"/>
      <c r="J36" s="68"/>
      <c r="K36" s="3"/>
      <c r="L36" s="3"/>
      <c r="M36" s="3"/>
      <c r="N36" s="3"/>
      <c r="O36" s="3"/>
      <c r="P36" s="3"/>
    </row>
    <row r="37" spans="1:16" ht="15" x14ac:dyDescent="0.25">
      <c r="A37" s="1"/>
      <c r="B37" s="1">
        <v>2015</v>
      </c>
      <c r="C37" s="26">
        <v>5668</v>
      </c>
      <c r="D37" s="26">
        <v>6039</v>
      </c>
      <c r="E37" s="26">
        <v>2258</v>
      </c>
      <c r="F37" s="26">
        <v>2734</v>
      </c>
      <c r="G37" s="26">
        <v>828</v>
      </c>
      <c r="I37" s="68"/>
      <c r="J37" s="68"/>
      <c r="K37" s="3"/>
      <c r="L37" s="3"/>
      <c r="M37" s="3"/>
      <c r="N37" s="3"/>
      <c r="O37" s="3"/>
      <c r="P37" s="3"/>
    </row>
    <row r="38" spans="1:16" ht="15" x14ac:dyDescent="0.25">
      <c r="A38" s="1" t="s">
        <v>76</v>
      </c>
      <c r="B38" s="1">
        <v>2020</v>
      </c>
      <c r="C38" s="26">
        <v>248</v>
      </c>
      <c r="D38" s="26">
        <v>456</v>
      </c>
      <c r="E38" s="26">
        <v>185</v>
      </c>
      <c r="F38" s="26">
        <v>172</v>
      </c>
      <c r="G38" s="26">
        <v>151</v>
      </c>
      <c r="I38" s="68"/>
      <c r="J38" s="68"/>
      <c r="K38" s="3"/>
      <c r="L38" s="3"/>
      <c r="M38" s="3"/>
      <c r="N38" s="3"/>
      <c r="O38" s="3"/>
      <c r="P38" s="3"/>
    </row>
    <row r="39" spans="1:16" ht="15" x14ac:dyDescent="0.25">
      <c r="A39" s="1"/>
      <c r="B39" s="1">
        <v>2019</v>
      </c>
      <c r="C39" s="26">
        <v>248</v>
      </c>
      <c r="D39" s="26">
        <v>455</v>
      </c>
      <c r="E39" s="26">
        <v>188</v>
      </c>
      <c r="F39" s="26">
        <v>175</v>
      </c>
      <c r="G39" s="26">
        <v>141</v>
      </c>
      <c r="I39" s="68"/>
      <c r="J39" s="68"/>
      <c r="K39" s="3"/>
      <c r="L39" s="3"/>
      <c r="M39" s="3"/>
      <c r="N39" s="3"/>
      <c r="O39" s="3"/>
      <c r="P39" s="3"/>
    </row>
    <row r="40" spans="1:16" ht="15" x14ac:dyDescent="0.25">
      <c r="A40" s="1"/>
      <c r="B40" s="1">
        <v>2018</v>
      </c>
      <c r="C40" s="26">
        <v>247</v>
      </c>
      <c r="D40" s="26">
        <v>452</v>
      </c>
      <c r="E40" s="26">
        <v>189</v>
      </c>
      <c r="F40" s="26">
        <v>372</v>
      </c>
      <c r="G40" s="26">
        <v>124</v>
      </c>
      <c r="I40" s="68"/>
      <c r="J40" s="68"/>
      <c r="K40" s="3"/>
      <c r="L40" s="3"/>
      <c r="M40" s="3"/>
      <c r="N40" s="3"/>
      <c r="O40" s="3"/>
      <c r="P40" s="3"/>
    </row>
    <row r="41" spans="1:16" ht="15" x14ac:dyDescent="0.25">
      <c r="A41" s="57"/>
      <c r="B41" s="1">
        <v>2017</v>
      </c>
      <c r="C41" s="26">
        <v>247</v>
      </c>
      <c r="D41" s="26">
        <v>460</v>
      </c>
      <c r="E41" s="26">
        <v>193</v>
      </c>
      <c r="F41" s="26">
        <v>365</v>
      </c>
      <c r="G41" s="26">
        <v>111</v>
      </c>
      <c r="I41" s="68"/>
      <c r="J41" s="68"/>
      <c r="K41" s="3"/>
      <c r="L41" s="3"/>
      <c r="M41" s="3"/>
      <c r="N41" s="3"/>
      <c r="O41" s="3"/>
      <c r="P41" s="3"/>
    </row>
    <row r="42" spans="1:16" ht="15" x14ac:dyDescent="0.25">
      <c r="A42" s="1"/>
      <c r="B42" s="1">
        <v>2016</v>
      </c>
      <c r="C42" s="26">
        <v>243</v>
      </c>
      <c r="D42" s="26">
        <v>439</v>
      </c>
      <c r="E42" s="26">
        <v>316</v>
      </c>
      <c r="F42" s="26">
        <v>374</v>
      </c>
      <c r="G42" s="26">
        <v>0</v>
      </c>
      <c r="I42" s="68"/>
      <c r="J42" s="68"/>
      <c r="K42" s="3"/>
      <c r="L42" s="3"/>
      <c r="M42" s="3"/>
      <c r="N42" s="3"/>
      <c r="O42" s="3"/>
      <c r="P42" s="3"/>
    </row>
    <row r="43" spans="1:16" ht="15" x14ac:dyDescent="0.25">
      <c r="A43" s="1"/>
      <c r="B43" s="1">
        <v>2015</v>
      </c>
      <c r="C43" s="26">
        <f>228+14</f>
        <v>242</v>
      </c>
      <c r="D43" s="26">
        <f>45+59+84+29+173+99</f>
        <v>489</v>
      </c>
      <c r="E43" s="26">
        <f>79+225</f>
        <v>304</v>
      </c>
      <c r="F43" s="26">
        <f>228+63+78</f>
        <v>369</v>
      </c>
      <c r="G43" s="26">
        <v>77</v>
      </c>
      <c r="I43" s="68"/>
      <c r="J43" s="68"/>
      <c r="K43" s="3"/>
      <c r="L43" s="3"/>
      <c r="M43" s="3"/>
      <c r="N43" s="3"/>
      <c r="O43" s="3"/>
      <c r="P43" s="3"/>
    </row>
    <row r="44" spans="1:16" ht="15" x14ac:dyDescent="0.25">
      <c r="A44" s="1" t="s">
        <v>77</v>
      </c>
      <c r="B44" s="1">
        <v>2020</v>
      </c>
      <c r="C44" s="26">
        <v>1179</v>
      </c>
      <c r="D44" s="26">
        <v>1873</v>
      </c>
      <c r="E44" s="26">
        <v>151</v>
      </c>
      <c r="F44" s="26">
        <v>10</v>
      </c>
      <c r="G44" s="26">
        <v>348</v>
      </c>
      <c r="I44" s="68"/>
      <c r="J44" s="68"/>
      <c r="K44" s="3"/>
      <c r="L44" s="3"/>
      <c r="M44" s="3"/>
      <c r="N44" s="3"/>
      <c r="O44" s="3"/>
      <c r="P44" s="3"/>
    </row>
    <row r="45" spans="1:16" ht="15" x14ac:dyDescent="0.25">
      <c r="A45" s="1"/>
      <c r="B45" s="1">
        <v>2019</v>
      </c>
      <c r="C45" s="26">
        <v>1071</v>
      </c>
      <c r="D45" s="26">
        <v>1798</v>
      </c>
      <c r="E45" s="26">
        <v>150</v>
      </c>
      <c r="F45" s="26">
        <v>77</v>
      </c>
      <c r="G45" s="26">
        <v>316</v>
      </c>
      <c r="I45" s="68"/>
      <c r="J45" s="68"/>
      <c r="K45" s="3"/>
      <c r="L45" s="3"/>
      <c r="M45" s="3"/>
      <c r="N45" s="3"/>
      <c r="O45" s="3"/>
      <c r="P45" s="3"/>
    </row>
    <row r="46" spans="1:16" ht="15" x14ac:dyDescent="0.25">
      <c r="A46" s="1"/>
      <c r="B46" s="1">
        <v>2018</v>
      </c>
      <c r="C46" s="26">
        <v>1056</v>
      </c>
      <c r="D46" s="26">
        <v>1776</v>
      </c>
      <c r="E46" s="26">
        <v>147</v>
      </c>
      <c r="F46" s="26">
        <v>73</v>
      </c>
      <c r="G46" s="26">
        <v>267</v>
      </c>
      <c r="I46" s="68"/>
      <c r="J46" s="68"/>
      <c r="K46" s="3"/>
      <c r="L46" s="3"/>
      <c r="M46" s="3"/>
      <c r="N46" s="3"/>
      <c r="O46" s="3"/>
      <c r="P46" s="3"/>
    </row>
    <row r="47" spans="1:16" ht="15" x14ac:dyDescent="0.25">
      <c r="A47" s="57"/>
      <c r="B47" s="1">
        <v>2017</v>
      </c>
      <c r="C47" s="26">
        <v>1060</v>
      </c>
      <c r="D47" s="26">
        <v>1756</v>
      </c>
      <c r="E47" s="26">
        <v>147</v>
      </c>
      <c r="F47" s="26">
        <v>58</v>
      </c>
      <c r="G47" s="26">
        <v>222</v>
      </c>
      <c r="I47" s="68"/>
      <c r="J47" s="68"/>
      <c r="K47" s="3"/>
      <c r="L47" s="3"/>
      <c r="M47" s="3"/>
      <c r="N47" s="3"/>
      <c r="O47" s="3"/>
      <c r="P47" s="3"/>
    </row>
    <row r="48" spans="1:16" ht="15" x14ac:dyDescent="0.25">
      <c r="A48" s="1"/>
      <c r="B48" s="1">
        <v>2016</v>
      </c>
      <c r="C48" s="26">
        <v>1062</v>
      </c>
      <c r="D48" s="26">
        <v>1777</v>
      </c>
      <c r="E48" s="26">
        <v>168</v>
      </c>
      <c r="F48" s="26">
        <v>38</v>
      </c>
      <c r="G48" s="26">
        <v>0</v>
      </c>
      <c r="I48" s="68"/>
      <c r="J48" s="68"/>
      <c r="K48" s="3"/>
      <c r="L48" s="3"/>
      <c r="M48" s="3"/>
      <c r="N48" s="3"/>
      <c r="O48" s="3"/>
      <c r="P48" s="3"/>
    </row>
    <row r="49" spans="1:16" ht="15" x14ac:dyDescent="0.25">
      <c r="A49" s="1"/>
      <c r="B49" s="1">
        <v>2015</v>
      </c>
      <c r="C49" s="26">
        <f>975+28</f>
        <v>1003</v>
      </c>
      <c r="D49" s="26">
        <f>441+441+153+110+126+825</f>
        <v>2096</v>
      </c>
      <c r="E49" s="26">
        <f>126+42</f>
        <v>168</v>
      </c>
      <c r="F49" s="26">
        <f>20+9</f>
        <v>29</v>
      </c>
      <c r="G49" s="26">
        <v>166</v>
      </c>
      <c r="I49" s="68"/>
      <c r="J49" s="68"/>
      <c r="K49" s="3"/>
      <c r="L49" s="3"/>
      <c r="M49" s="3"/>
      <c r="N49" s="3"/>
      <c r="O49" s="3"/>
      <c r="P49" s="3"/>
    </row>
    <row r="50" spans="1:16" ht="15" x14ac:dyDescent="0.25">
      <c r="A50" s="25" t="s">
        <v>78</v>
      </c>
      <c r="B50" s="1">
        <v>2020</v>
      </c>
      <c r="C50" s="26">
        <v>4018</v>
      </c>
      <c r="D50" s="26">
        <v>3156</v>
      </c>
      <c r="E50" s="26">
        <v>530</v>
      </c>
      <c r="F50" s="26">
        <v>66</v>
      </c>
      <c r="G50" s="26">
        <v>57</v>
      </c>
      <c r="I50" s="68"/>
      <c r="J50" s="68"/>
      <c r="K50" s="3"/>
      <c r="L50" s="3"/>
      <c r="M50" s="3"/>
      <c r="N50" s="3"/>
      <c r="O50" s="3"/>
      <c r="P50" s="3"/>
    </row>
    <row r="51" spans="1:16" ht="15" x14ac:dyDescent="0.25">
      <c r="A51" s="1"/>
      <c r="B51" s="1">
        <v>2019</v>
      </c>
      <c r="C51" s="26">
        <v>3959</v>
      </c>
      <c r="D51" s="26">
        <v>2646</v>
      </c>
      <c r="E51" s="26">
        <v>530</v>
      </c>
      <c r="F51" s="26">
        <v>0</v>
      </c>
      <c r="G51" s="26">
        <v>58</v>
      </c>
      <c r="I51" s="68"/>
      <c r="J51" s="68"/>
      <c r="K51" s="3"/>
      <c r="L51" s="3"/>
      <c r="M51" s="3"/>
      <c r="N51" s="3"/>
      <c r="O51" s="3"/>
      <c r="P51" s="3"/>
    </row>
    <row r="52" spans="1:16" ht="15" x14ac:dyDescent="0.25">
      <c r="A52" s="1"/>
      <c r="B52" s="1">
        <v>2018</v>
      </c>
      <c r="C52" s="26">
        <v>3918</v>
      </c>
      <c r="D52" s="26">
        <v>2511</v>
      </c>
      <c r="E52" s="26">
        <v>516</v>
      </c>
      <c r="F52" s="26">
        <v>29</v>
      </c>
      <c r="G52" s="26">
        <v>55</v>
      </c>
      <c r="I52" s="68"/>
      <c r="J52" s="68"/>
      <c r="K52" s="3"/>
      <c r="L52" s="3"/>
      <c r="M52" s="3"/>
      <c r="N52" s="3"/>
      <c r="O52" s="3"/>
      <c r="P52" s="3"/>
    </row>
    <row r="53" spans="1:16" ht="15" x14ac:dyDescent="0.25">
      <c r="A53" s="57"/>
      <c r="B53" s="1">
        <v>2017</v>
      </c>
      <c r="C53" s="26">
        <v>4267</v>
      </c>
      <c r="D53" s="26">
        <v>2446</v>
      </c>
      <c r="E53" s="26">
        <v>521</v>
      </c>
      <c r="F53" s="26">
        <v>41</v>
      </c>
      <c r="G53" s="26">
        <v>52</v>
      </c>
      <c r="I53" s="69"/>
      <c r="J53" s="69"/>
    </row>
    <row r="54" spans="1:16" ht="15" x14ac:dyDescent="0.25">
      <c r="A54" s="25"/>
      <c r="B54" s="1">
        <v>2016</v>
      </c>
      <c r="C54" s="26">
        <v>4222</v>
      </c>
      <c r="D54" s="26">
        <v>2312</v>
      </c>
      <c r="E54" s="26">
        <v>468</v>
      </c>
      <c r="F54" s="26">
        <v>27</v>
      </c>
      <c r="G54" s="26">
        <v>0</v>
      </c>
      <c r="I54" s="69"/>
      <c r="J54" s="69"/>
    </row>
    <row r="55" spans="1:16" ht="15" x14ac:dyDescent="0.25">
      <c r="A55" s="25"/>
      <c r="B55" s="1">
        <v>2015</v>
      </c>
      <c r="C55" s="26">
        <f>4198+65</f>
        <v>4263</v>
      </c>
      <c r="D55" s="26">
        <f>267+583+576+53+419+566</f>
        <v>2464</v>
      </c>
      <c r="E55" s="26">
        <f>383+21</f>
        <v>404</v>
      </c>
      <c r="F55" s="26">
        <v>8</v>
      </c>
      <c r="G55" s="26">
        <v>42</v>
      </c>
      <c r="I55" s="69"/>
      <c r="J55" s="69"/>
    </row>
    <row r="56" spans="1:16" ht="15" x14ac:dyDescent="0.25">
      <c r="A56" s="25" t="s">
        <v>79</v>
      </c>
      <c r="B56" s="1">
        <v>2020</v>
      </c>
      <c r="C56" s="26">
        <v>147</v>
      </c>
      <c r="D56" s="26">
        <v>68</v>
      </c>
      <c r="E56" s="26">
        <v>215</v>
      </c>
      <c r="F56" s="26">
        <v>0</v>
      </c>
      <c r="G56" s="26">
        <v>18</v>
      </c>
      <c r="I56" s="69"/>
      <c r="J56" s="69"/>
    </row>
    <row r="57" spans="1:16" ht="15" x14ac:dyDescent="0.25">
      <c r="A57" s="25"/>
      <c r="B57" s="1">
        <v>2019</v>
      </c>
      <c r="C57" s="26">
        <v>146</v>
      </c>
      <c r="D57" s="26">
        <v>60</v>
      </c>
      <c r="E57" s="26">
        <v>193</v>
      </c>
      <c r="F57" s="26">
        <v>0</v>
      </c>
      <c r="G57" s="26">
        <v>14</v>
      </c>
      <c r="I57" s="69"/>
      <c r="J57" s="69"/>
    </row>
    <row r="58" spans="1:16" ht="15" x14ac:dyDescent="0.25">
      <c r="A58" s="25"/>
      <c r="B58" s="1">
        <v>2018</v>
      </c>
      <c r="C58" s="26">
        <v>144</v>
      </c>
      <c r="D58" s="26">
        <v>49</v>
      </c>
      <c r="E58" s="26">
        <v>173</v>
      </c>
      <c r="F58" s="26">
        <v>0</v>
      </c>
      <c r="G58" s="26">
        <v>13</v>
      </c>
      <c r="I58" s="69"/>
      <c r="J58" s="69"/>
    </row>
    <row r="59" spans="1:16" ht="15" x14ac:dyDescent="0.25">
      <c r="A59" s="57"/>
      <c r="B59" s="1">
        <v>2017</v>
      </c>
      <c r="C59" s="26">
        <v>144</v>
      </c>
      <c r="D59" s="26">
        <v>42</v>
      </c>
      <c r="E59" s="26">
        <v>153</v>
      </c>
      <c r="F59" s="26">
        <v>2</v>
      </c>
      <c r="G59" s="26">
        <v>13</v>
      </c>
      <c r="I59" s="69"/>
      <c r="J59" s="69"/>
    </row>
    <row r="60" spans="1:16" ht="15" x14ac:dyDescent="0.25">
      <c r="A60" s="25"/>
      <c r="B60" s="1">
        <v>2016</v>
      </c>
      <c r="C60" s="26">
        <v>143</v>
      </c>
      <c r="D60" s="26">
        <v>13</v>
      </c>
      <c r="E60" s="26">
        <v>0</v>
      </c>
      <c r="F60" s="26">
        <v>2</v>
      </c>
      <c r="G60" s="26">
        <v>0</v>
      </c>
      <c r="I60" s="69"/>
      <c r="J60" s="69"/>
    </row>
    <row r="61" spans="1:16" ht="15" x14ac:dyDescent="0.25">
      <c r="A61" s="25"/>
      <c r="B61" s="1">
        <v>2015</v>
      </c>
      <c r="C61" s="26">
        <f>138+4</f>
        <v>142</v>
      </c>
      <c r="D61" s="26">
        <f>18</f>
        <v>18</v>
      </c>
      <c r="E61" s="26">
        <v>0</v>
      </c>
      <c r="F61" s="26">
        <v>0</v>
      </c>
      <c r="G61" s="26">
        <v>12</v>
      </c>
      <c r="I61" s="69"/>
      <c r="J61" s="69"/>
    </row>
    <row r="62" spans="1:16" x14ac:dyDescent="0.2">
      <c r="C62" s="70"/>
      <c r="D62" s="70"/>
      <c r="E62" s="70"/>
      <c r="F62" s="70"/>
      <c r="G62" s="70"/>
      <c r="H62" s="70"/>
      <c r="I62" s="70"/>
      <c r="J62" s="7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F097-352B-4B3B-B451-17E40C0B9030}">
  <dimension ref="A1:H96"/>
  <sheetViews>
    <sheetView showGridLines="0" tabSelected="1" topLeftCell="A64" workbookViewId="0">
      <selection activeCell="I58" sqref="I58"/>
    </sheetView>
  </sheetViews>
  <sheetFormatPr defaultColWidth="8.85546875" defaultRowHeight="15" x14ac:dyDescent="0.25"/>
  <cols>
    <col min="1" max="1" width="59.140625" style="33" customWidth="1"/>
    <col min="2" max="16384" width="8.85546875" style="33"/>
  </cols>
  <sheetData>
    <row r="1" spans="1:7" ht="15.75" thickBot="1" x14ac:dyDescent="0.3">
      <c r="A1" s="31" t="s">
        <v>197</v>
      </c>
      <c r="B1" s="32">
        <v>2020</v>
      </c>
      <c r="C1" s="32">
        <v>2019</v>
      </c>
      <c r="D1" s="32">
        <v>2018</v>
      </c>
      <c r="E1" s="32">
        <v>2017</v>
      </c>
      <c r="F1" s="32">
        <v>2016</v>
      </c>
      <c r="G1" s="32">
        <v>2015</v>
      </c>
    </row>
    <row r="2" spans="1:7" x14ac:dyDescent="0.25">
      <c r="A2" s="34" t="s">
        <v>108</v>
      </c>
      <c r="B2" s="35">
        <v>70719</v>
      </c>
      <c r="C2" s="35">
        <v>72397</v>
      </c>
      <c r="D2" s="35">
        <v>76000</v>
      </c>
      <c r="E2" s="35">
        <v>78897</v>
      </c>
      <c r="F2" s="35">
        <v>76645</v>
      </c>
      <c r="G2" s="35">
        <v>76945</v>
      </c>
    </row>
    <row r="3" spans="1:7" x14ac:dyDescent="0.25">
      <c r="A3" s="34" t="s">
        <v>109</v>
      </c>
      <c r="B3" s="35">
        <v>297</v>
      </c>
      <c r="C3" s="35">
        <v>320</v>
      </c>
      <c r="D3" s="35">
        <v>334</v>
      </c>
      <c r="E3" s="35">
        <v>379</v>
      </c>
      <c r="F3" s="35">
        <v>417</v>
      </c>
      <c r="G3" s="35">
        <v>461</v>
      </c>
    </row>
    <row r="4" spans="1:7" ht="15.75" thickBot="1" x14ac:dyDescent="0.3">
      <c r="A4" s="34" t="s">
        <v>64</v>
      </c>
      <c r="B4" s="36">
        <v>899</v>
      </c>
      <c r="C4" s="36">
        <v>1168</v>
      </c>
      <c r="D4" s="36">
        <v>1049</v>
      </c>
      <c r="E4" s="36">
        <v>1005</v>
      </c>
      <c r="F4" s="36">
        <v>956</v>
      </c>
      <c r="G4" s="36">
        <v>869</v>
      </c>
    </row>
    <row r="5" spans="1:7" x14ac:dyDescent="0.25">
      <c r="A5" s="37" t="s">
        <v>110</v>
      </c>
      <c r="B5" s="38">
        <v>71915</v>
      </c>
      <c r="C5" s="38">
        <v>73885</v>
      </c>
      <c r="D5" s="38">
        <v>77383</v>
      </c>
      <c r="E5" s="38">
        <v>80281</v>
      </c>
      <c r="F5" s="38">
        <v>78018</v>
      </c>
      <c r="G5" s="38">
        <v>78275</v>
      </c>
    </row>
    <row r="6" spans="1:7" x14ac:dyDescent="0.25">
      <c r="A6" s="34" t="s">
        <v>2</v>
      </c>
      <c r="B6" s="35">
        <v>-56705</v>
      </c>
      <c r="C6" s="35">
        <v>-58049</v>
      </c>
      <c r="D6" s="35">
        <v>-60810</v>
      </c>
      <c r="E6" s="35">
        <v>-62692</v>
      </c>
      <c r="F6" s="35">
        <v>-60714</v>
      </c>
      <c r="G6" s="35">
        <v>-60838</v>
      </c>
    </row>
    <row r="7" spans="1:7" x14ac:dyDescent="0.25">
      <c r="A7" s="34" t="s">
        <v>111</v>
      </c>
      <c r="B7" s="35">
        <v>-13751</v>
      </c>
      <c r="C7" s="35">
        <v>-14302</v>
      </c>
      <c r="D7" s="35">
        <v>-15496</v>
      </c>
      <c r="E7" s="35">
        <v>-16431</v>
      </c>
      <c r="F7" s="35">
        <v>-15771</v>
      </c>
      <c r="G7" s="35">
        <v>-15675</v>
      </c>
    </row>
    <row r="8" spans="1:7" x14ac:dyDescent="0.25">
      <c r="A8" s="34" t="s">
        <v>112</v>
      </c>
      <c r="B8" s="35">
        <v>-260</v>
      </c>
      <c r="C8" s="35">
        <v>-429</v>
      </c>
      <c r="D8" s="35">
        <v>-291</v>
      </c>
      <c r="E8" s="35">
        <v>-305</v>
      </c>
      <c r="F8" s="35">
        <v>-325</v>
      </c>
      <c r="G8" s="35">
        <v>-336</v>
      </c>
    </row>
    <row r="9" spans="1:7" x14ac:dyDescent="0.25">
      <c r="A9" s="34" t="s">
        <v>113</v>
      </c>
      <c r="B9" s="35">
        <v>808</v>
      </c>
      <c r="C9" s="35">
        <v>789</v>
      </c>
      <c r="D9" s="35">
        <v>985</v>
      </c>
      <c r="E9" s="35">
        <v>1021</v>
      </c>
      <c r="F9" s="35">
        <v>1021</v>
      </c>
      <c r="G9" s="35">
        <v>924</v>
      </c>
    </row>
    <row r="10" spans="1:7" ht="15.75" thickBot="1" x14ac:dyDescent="0.3">
      <c r="A10" s="34" t="s">
        <v>82</v>
      </c>
      <c r="B10" s="36">
        <v>162</v>
      </c>
      <c r="C10" s="36">
        <v>248</v>
      </c>
      <c r="D10" s="36">
        <v>255</v>
      </c>
      <c r="E10" s="36">
        <v>249</v>
      </c>
      <c r="F10" s="36">
        <v>208</v>
      </c>
      <c r="G10" s="36">
        <v>248</v>
      </c>
    </row>
    <row r="11" spans="1:7" x14ac:dyDescent="0.25">
      <c r="A11" s="37" t="s">
        <v>4</v>
      </c>
      <c r="B11" s="38">
        <v>2169</v>
      </c>
      <c r="C11" s="38">
        <v>2142</v>
      </c>
      <c r="D11" s="38">
        <v>2026.2843629184063</v>
      </c>
      <c r="E11" s="38">
        <v>2123.3987605600196</v>
      </c>
      <c r="F11" s="38">
        <v>2437.2236320802131</v>
      </c>
      <c r="G11" s="38">
        <v>2597.5869890093018</v>
      </c>
    </row>
    <row r="12" spans="1:7" x14ac:dyDescent="0.25">
      <c r="A12" s="34" t="s">
        <v>62</v>
      </c>
      <c r="B12" s="35">
        <v>-295</v>
      </c>
      <c r="C12" s="35">
        <v>-200</v>
      </c>
      <c r="D12" s="35">
        <v>-202</v>
      </c>
      <c r="E12" s="35">
        <v>-1039</v>
      </c>
      <c r="F12" s="35">
        <v>-130</v>
      </c>
      <c r="G12" s="35">
        <v>-115</v>
      </c>
    </row>
    <row r="13" spans="1:7" x14ac:dyDescent="0.25">
      <c r="A13" s="34" t="s">
        <v>63</v>
      </c>
      <c r="B13" s="35">
        <v>-93</v>
      </c>
      <c r="C13" s="35">
        <v>-549</v>
      </c>
      <c r="D13" s="35">
        <v>-727</v>
      </c>
      <c r="E13" s="35">
        <v>-279</v>
      </c>
      <c r="F13" s="35">
        <v>-154</v>
      </c>
      <c r="G13" s="35">
        <v>-237</v>
      </c>
    </row>
    <row r="14" spans="1:7" x14ac:dyDescent="0.25">
      <c r="A14" s="34" t="s">
        <v>114</v>
      </c>
      <c r="B14" s="35">
        <v>-119</v>
      </c>
      <c r="C14" s="35">
        <v>-302</v>
      </c>
      <c r="D14" s="35">
        <v>-223</v>
      </c>
      <c r="E14" s="35">
        <v>-78</v>
      </c>
      <c r="F14" s="35">
        <v>-183</v>
      </c>
      <c r="G14" s="35">
        <v>1</v>
      </c>
    </row>
    <row r="15" spans="1:7" x14ac:dyDescent="0.25">
      <c r="A15" s="34" t="s">
        <v>6</v>
      </c>
      <c r="B15" s="35">
        <v>6</v>
      </c>
      <c r="C15" s="35">
        <v>8</v>
      </c>
      <c r="D15" s="35">
        <v>16</v>
      </c>
      <c r="E15" s="35">
        <v>28</v>
      </c>
      <c r="F15" s="35">
        <v>32</v>
      </c>
      <c r="G15" s="35">
        <v>36</v>
      </c>
    </row>
    <row r="16" spans="1:7" ht="15.75" thickBot="1" x14ac:dyDescent="0.3">
      <c r="A16" s="34" t="s">
        <v>7</v>
      </c>
      <c r="B16" s="36">
        <v>-317</v>
      </c>
      <c r="C16" s="36">
        <v>-377</v>
      </c>
      <c r="D16" s="36">
        <v>-395.28436291840535</v>
      </c>
      <c r="E16" s="36">
        <v>-501.3987605600214</v>
      </c>
      <c r="F16" s="36">
        <v>-574.22363208021352</v>
      </c>
      <c r="G16" s="36">
        <v>-565.58698900930176</v>
      </c>
    </row>
    <row r="17" spans="1:7" x14ac:dyDescent="0.25">
      <c r="A17" s="37" t="s">
        <v>8</v>
      </c>
      <c r="B17" s="38">
        <v>1351</v>
      </c>
      <c r="C17" s="38">
        <v>722</v>
      </c>
      <c r="D17" s="38">
        <v>495.00000000000091</v>
      </c>
      <c r="E17" s="38">
        <v>253.99999999999818</v>
      </c>
      <c r="F17" s="38">
        <v>1427.9999999999995</v>
      </c>
      <c r="G17" s="38">
        <v>1717</v>
      </c>
    </row>
    <row r="18" spans="1:7" x14ac:dyDescent="0.25">
      <c r="A18" s="34" t="s">
        <v>9</v>
      </c>
      <c r="B18" s="35">
        <v>-488</v>
      </c>
      <c r="C18" s="35">
        <v>-490</v>
      </c>
      <c r="D18" s="35">
        <v>-541</v>
      </c>
      <c r="E18" s="35">
        <v>-622</v>
      </c>
      <c r="F18" s="35">
        <v>-470</v>
      </c>
      <c r="G18" s="35">
        <v>-557</v>
      </c>
    </row>
    <row r="19" spans="1:7" x14ac:dyDescent="0.25">
      <c r="A19" s="34" t="s">
        <v>115</v>
      </c>
      <c r="B19" s="35">
        <v>-5</v>
      </c>
      <c r="C19" s="35">
        <v>-7</v>
      </c>
      <c r="D19" s="35">
        <v>1</v>
      </c>
      <c r="E19" s="35">
        <v>2</v>
      </c>
      <c r="F19" s="35">
        <v>-12</v>
      </c>
      <c r="G19" s="35">
        <v>-20</v>
      </c>
    </row>
    <row r="20" spans="1:7" ht="15.75" thickBot="1" x14ac:dyDescent="0.3">
      <c r="A20" s="34" t="s">
        <v>83</v>
      </c>
      <c r="B20" s="36">
        <v>-190</v>
      </c>
      <c r="C20" s="36">
        <v>-182</v>
      </c>
      <c r="D20" s="36">
        <v>-216</v>
      </c>
      <c r="E20" s="36">
        <v>-169</v>
      </c>
      <c r="F20" s="36">
        <v>-148</v>
      </c>
      <c r="G20" s="36">
        <v>-143</v>
      </c>
    </row>
    <row r="21" spans="1:7" ht="15.75" thickBot="1" x14ac:dyDescent="0.3">
      <c r="A21" s="39" t="s">
        <v>84</v>
      </c>
      <c r="B21" s="40">
        <v>668</v>
      </c>
      <c r="C21" s="40">
        <v>43</v>
      </c>
      <c r="D21" s="40">
        <v>-260.99999999999909</v>
      </c>
      <c r="E21" s="40">
        <v>-535.00000000000182</v>
      </c>
      <c r="F21" s="40">
        <v>797.99999999999955</v>
      </c>
      <c r="G21" s="40">
        <v>997</v>
      </c>
    </row>
    <row r="22" spans="1:7" ht="15.75" thickBot="1" x14ac:dyDescent="0.3">
      <c r="A22" s="39"/>
      <c r="B22" s="40"/>
      <c r="C22" s="40"/>
      <c r="D22" s="40"/>
      <c r="E22" s="40"/>
      <c r="F22" s="40"/>
      <c r="G22" s="40"/>
    </row>
    <row r="23" spans="1:7" ht="15.75" thickBot="1" x14ac:dyDescent="0.3">
      <c r="A23" s="31" t="s">
        <v>198</v>
      </c>
      <c r="B23" s="32">
        <v>2020</v>
      </c>
      <c r="C23" s="32">
        <v>2019</v>
      </c>
      <c r="D23" s="32">
        <v>2018</v>
      </c>
      <c r="E23" s="32">
        <v>2017</v>
      </c>
      <c r="F23" s="32">
        <v>2016</v>
      </c>
      <c r="G23" s="32">
        <v>2015</v>
      </c>
    </row>
    <row r="24" spans="1:7" x14ac:dyDescent="0.25">
      <c r="A24" s="34" t="s">
        <v>116</v>
      </c>
      <c r="B24" s="35">
        <v>-7262</v>
      </c>
      <c r="C24" s="35">
        <v>-7547</v>
      </c>
      <c r="D24" s="35">
        <v>-8139</v>
      </c>
      <c r="E24" s="35">
        <v>-8599</v>
      </c>
      <c r="F24" s="35">
        <v>-8240</v>
      </c>
      <c r="G24" s="35">
        <v>-8209</v>
      </c>
    </row>
    <row r="25" spans="1:7" ht="15.75" thickBot="1" x14ac:dyDescent="0.3">
      <c r="A25" s="39" t="s">
        <v>117</v>
      </c>
      <c r="B25" s="36">
        <v>-2029</v>
      </c>
      <c r="C25" s="36">
        <v>-2082</v>
      </c>
      <c r="D25" s="36">
        <v>-2610</v>
      </c>
      <c r="E25" s="36">
        <v>-2682</v>
      </c>
      <c r="F25" s="36">
        <v>-2487</v>
      </c>
      <c r="G25" s="36">
        <v>-2426</v>
      </c>
    </row>
    <row r="26" spans="1:7" ht="15.75" thickBot="1" x14ac:dyDescent="0.3">
      <c r="A26" s="39"/>
      <c r="B26" s="36"/>
      <c r="C26" s="36"/>
      <c r="D26" s="36"/>
      <c r="E26" s="36"/>
      <c r="F26" s="36"/>
      <c r="G26" s="36"/>
    </row>
    <row r="27" spans="1:7" ht="15.75" thickBot="1" x14ac:dyDescent="0.3">
      <c r="A27" s="31" t="s">
        <v>179</v>
      </c>
      <c r="B27" s="32">
        <v>2020</v>
      </c>
      <c r="C27" s="32">
        <v>2019</v>
      </c>
      <c r="D27" s="32">
        <v>2018</v>
      </c>
      <c r="E27" s="32">
        <v>2017</v>
      </c>
      <c r="F27" s="32">
        <v>2016</v>
      </c>
      <c r="G27" s="32">
        <v>2015</v>
      </c>
    </row>
    <row r="28" spans="1:7" x14ac:dyDescent="0.25">
      <c r="A28" s="34" t="s">
        <v>101</v>
      </c>
      <c r="B28" s="35">
        <v>-433</v>
      </c>
      <c r="C28" s="35">
        <v>-249</v>
      </c>
      <c r="D28" s="35">
        <v>-171</v>
      </c>
      <c r="E28" s="35">
        <v>-88</v>
      </c>
      <c r="F28" s="35">
        <v>-492</v>
      </c>
      <c r="G28" s="35">
        <v>-652</v>
      </c>
    </row>
    <row r="29" spans="1:7" ht="30" x14ac:dyDescent="0.25">
      <c r="A29" s="34" t="s">
        <v>118</v>
      </c>
      <c r="B29" s="35">
        <v>16</v>
      </c>
      <c r="C29" s="35">
        <v>40</v>
      </c>
      <c r="D29" s="35">
        <v>33</v>
      </c>
      <c r="E29" s="35">
        <v>-40</v>
      </c>
      <c r="F29" s="35">
        <v>19</v>
      </c>
      <c r="G29" s="35">
        <v>67</v>
      </c>
    </row>
    <row r="30" spans="1:7" x14ac:dyDescent="0.25">
      <c r="A30" s="34" t="s">
        <v>119</v>
      </c>
      <c r="B30" s="35">
        <v>-24</v>
      </c>
      <c r="C30" s="35">
        <v>-27</v>
      </c>
      <c r="D30" s="35">
        <v>-56</v>
      </c>
      <c r="E30" s="35">
        <v>-213</v>
      </c>
      <c r="F30" s="35">
        <v>-80</v>
      </c>
      <c r="G30" s="35">
        <v>-36</v>
      </c>
    </row>
    <row r="31" spans="1:7" ht="15.75" thickBot="1" x14ac:dyDescent="0.3">
      <c r="A31" s="34" t="s">
        <v>120</v>
      </c>
      <c r="B31" s="36">
        <v>-57</v>
      </c>
      <c r="C31" s="36">
        <v>-165</v>
      </c>
      <c r="D31" s="36">
        <v>-261</v>
      </c>
      <c r="E31" s="36">
        <v>-100</v>
      </c>
      <c r="F31" s="36">
        <v>-69</v>
      </c>
      <c r="G31" s="36">
        <v>-41</v>
      </c>
    </row>
    <row r="32" spans="1:7" x14ac:dyDescent="0.25">
      <c r="A32" s="37" t="s">
        <v>121</v>
      </c>
      <c r="B32" s="38">
        <v>-498</v>
      </c>
      <c r="C32" s="38">
        <v>-401</v>
      </c>
      <c r="D32" s="38">
        <v>-455</v>
      </c>
      <c r="E32" s="38">
        <v>-441</v>
      </c>
      <c r="F32" s="38">
        <v>-622</v>
      </c>
      <c r="G32" s="38">
        <v>-662</v>
      </c>
    </row>
    <row r="33" spans="1:8" ht="15.75" thickBot="1" x14ac:dyDescent="0.3">
      <c r="A33" s="34" t="s">
        <v>122</v>
      </c>
      <c r="B33" s="36">
        <v>5</v>
      </c>
      <c r="C33" s="36">
        <v>-96</v>
      </c>
      <c r="D33" s="36">
        <v>-85</v>
      </c>
      <c r="E33" s="36">
        <v>-179</v>
      </c>
      <c r="F33" s="36">
        <v>140</v>
      </c>
      <c r="G33" s="36">
        <v>85</v>
      </c>
      <c r="H33" s="33" t="s">
        <v>170</v>
      </c>
    </row>
    <row r="34" spans="1:8" ht="15.75" thickBot="1" x14ac:dyDescent="0.3">
      <c r="A34" s="31" t="s">
        <v>102</v>
      </c>
      <c r="B34" s="40">
        <v>-493</v>
      </c>
      <c r="C34" s="40">
        <v>-497</v>
      </c>
      <c r="D34" s="40">
        <v>-540</v>
      </c>
      <c r="E34" s="40">
        <v>-620</v>
      </c>
      <c r="F34" s="40">
        <v>-482</v>
      </c>
      <c r="G34" s="40">
        <v>-577</v>
      </c>
    </row>
    <row r="35" spans="1:8" ht="15.75" thickBot="1" x14ac:dyDescent="0.3">
      <c r="A35" s="31" t="s">
        <v>166</v>
      </c>
      <c r="B35" s="51">
        <v>0.32</v>
      </c>
      <c r="C35" s="51">
        <v>0.34399999999999997</v>
      </c>
      <c r="D35" s="51">
        <v>0.34399999999999997</v>
      </c>
      <c r="E35" s="51">
        <v>0.34399999999999997</v>
      </c>
      <c r="F35" s="51">
        <v>0.34399999999999997</v>
      </c>
      <c r="G35" s="51">
        <v>0.38</v>
      </c>
    </row>
    <row r="36" spans="1:8" ht="15.75" thickBot="1" x14ac:dyDescent="0.3">
      <c r="A36" s="31"/>
      <c r="B36" s="40"/>
      <c r="C36" s="40"/>
      <c r="D36" s="40"/>
      <c r="E36" s="40"/>
      <c r="F36" s="40"/>
      <c r="G36" s="40"/>
    </row>
    <row r="37" spans="1:8" ht="15.75" thickBot="1" x14ac:dyDescent="0.3">
      <c r="A37" s="31" t="s">
        <v>199</v>
      </c>
      <c r="B37" s="32">
        <v>2020</v>
      </c>
      <c r="C37" s="32">
        <v>2019</v>
      </c>
      <c r="D37" s="32">
        <v>2018</v>
      </c>
      <c r="E37" s="32">
        <v>2017</v>
      </c>
      <c r="F37" s="32">
        <v>2016</v>
      </c>
      <c r="G37" s="32">
        <v>2015</v>
      </c>
    </row>
    <row r="38" spans="1:8" x14ac:dyDescent="0.25">
      <c r="A38" s="34" t="s">
        <v>123</v>
      </c>
      <c r="B38" s="41">
        <v>-6.6000000000000003E-2</v>
      </c>
      <c r="C38" s="41">
        <v>-3.1E-2</v>
      </c>
      <c r="D38" s="41">
        <v>-6.3E-2</v>
      </c>
      <c r="E38" s="41">
        <v>4.0000000000000001E-3</v>
      </c>
      <c r="F38" s="41">
        <v>-3.1E-2</v>
      </c>
      <c r="G38" s="41">
        <v>-1.0999999999999999E-2</v>
      </c>
    </row>
    <row r="39" spans="1:8" x14ac:dyDescent="0.25">
      <c r="A39" s="34" t="s">
        <v>124</v>
      </c>
      <c r="B39" s="35">
        <v>-22</v>
      </c>
      <c r="C39" s="35">
        <v>1092</v>
      </c>
      <c r="D39" s="35">
        <v>-301</v>
      </c>
      <c r="E39" s="35">
        <v>1</v>
      </c>
      <c r="F39" s="35">
        <v>-40</v>
      </c>
      <c r="G39" s="35">
        <v>4</v>
      </c>
    </row>
    <row r="40" spans="1:8" x14ac:dyDescent="0.25">
      <c r="A40" s="34" t="s">
        <v>163</v>
      </c>
      <c r="B40" s="42">
        <v>14.03</v>
      </c>
      <c r="C40" s="42">
        <v>14.95</v>
      </c>
      <c r="D40" s="42">
        <v>14.91</v>
      </c>
      <c r="E40" s="42">
        <v>18.04</v>
      </c>
      <c r="F40" s="42">
        <v>22.89</v>
      </c>
      <c r="G40" s="42">
        <v>26.65</v>
      </c>
    </row>
    <row r="41" spans="1:8" x14ac:dyDescent="0.25">
      <c r="A41" s="34" t="s">
        <v>164</v>
      </c>
      <c r="B41" s="42">
        <v>0.48</v>
      </c>
      <c r="C41" s="42">
        <v>0.23</v>
      </c>
      <c r="D41" s="42">
        <v>0.46</v>
      </c>
      <c r="E41" s="42">
        <v>0.46</v>
      </c>
      <c r="F41" s="42">
        <v>0.7</v>
      </c>
      <c r="G41" s="42">
        <v>0.7</v>
      </c>
    </row>
    <row r="42" spans="1:8" ht="15.75" thickBot="1" x14ac:dyDescent="0.3">
      <c r="A42" s="39" t="s">
        <v>165</v>
      </c>
      <c r="B42" s="36">
        <v>808</v>
      </c>
      <c r="C42" s="36">
        <v>791</v>
      </c>
      <c r="D42" s="36">
        <v>773</v>
      </c>
      <c r="E42" s="36">
        <v>757</v>
      </c>
      <c r="F42" s="36">
        <v>739</v>
      </c>
      <c r="G42" s="36">
        <v>723</v>
      </c>
    </row>
    <row r="43" spans="1:8" ht="15.75" thickBot="1" x14ac:dyDescent="0.3">
      <c r="A43" s="39"/>
      <c r="B43" s="36"/>
      <c r="C43" s="36"/>
      <c r="D43" s="36"/>
      <c r="E43" s="36"/>
      <c r="F43" s="36"/>
      <c r="G43" s="36"/>
    </row>
    <row r="44" spans="1:8" ht="15.75" thickBot="1" x14ac:dyDescent="0.3">
      <c r="A44" s="31" t="s">
        <v>200</v>
      </c>
      <c r="B44" s="32">
        <v>2020</v>
      </c>
      <c r="C44" s="32">
        <v>2019</v>
      </c>
      <c r="D44" s="32">
        <v>2018</v>
      </c>
      <c r="E44" s="32">
        <v>2017</v>
      </c>
      <c r="F44" s="32">
        <v>2016</v>
      </c>
      <c r="G44" s="32">
        <v>2015</v>
      </c>
    </row>
    <row r="45" spans="1:8" x14ac:dyDescent="0.25">
      <c r="A45" s="34" t="s">
        <v>17</v>
      </c>
      <c r="B45" s="35">
        <v>15011</v>
      </c>
      <c r="C45" s="35">
        <v>15759</v>
      </c>
      <c r="D45" s="35">
        <v>15877</v>
      </c>
      <c r="E45" s="35">
        <v>16463</v>
      </c>
      <c r="F45" s="35">
        <v>16668</v>
      </c>
      <c r="G45" s="35">
        <v>15156</v>
      </c>
    </row>
    <row r="46" spans="1:8" x14ac:dyDescent="0.25">
      <c r="A46" s="34" t="s">
        <v>66</v>
      </c>
      <c r="B46" s="35">
        <v>8034</v>
      </c>
      <c r="C46" s="35">
        <v>7976</v>
      </c>
      <c r="D46" s="35">
        <v>7983</v>
      </c>
      <c r="E46" s="35">
        <v>7977</v>
      </c>
      <c r="F46" s="35">
        <v>8640</v>
      </c>
      <c r="G46" s="35">
        <v>8495</v>
      </c>
    </row>
    <row r="47" spans="1:8" x14ac:dyDescent="0.25">
      <c r="A47" s="34" t="s">
        <v>150</v>
      </c>
      <c r="B47" s="35">
        <v>1325</v>
      </c>
      <c r="C47" s="35">
        <v>1452</v>
      </c>
      <c r="D47" s="35">
        <v>1461</v>
      </c>
      <c r="E47" s="35">
        <v>1364</v>
      </c>
      <c r="F47" s="35">
        <v>1266</v>
      </c>
      <c r="G47" s="35">
        <v>1014</v>
      </c>
    </row>
    <row r="48" spans="1:8" x14ac:dyDescent="0.25">
      <c r="A48" s="34" t="s">
        <v>151</v>
      </c>
      <c r="B48" s="35">
        <v>1933</v>
      </c>
      <c r="C48" s="35">
        <v>2283</v>
      </c>
      <c r="D48" s="35">
        <v>2486</v>
      </c>
      <c r="E48" s="35">
        <v>2455</v>
      </c>
      <c r="F48" s="35">
        <v>2371</v>
      </c>
      <c r="G48" s="35">
        <v>2351</v>
      </c>
    </row>
    <row r="49" spans="1:7" x14ac:dyDescent="0.25">
      <c r="A49" s="34" t="s">
        <v>19</v>
      </c>
      <c r="B49" s="35">
        <v>1172</v>
      </c>
      <c r="C49" s="35">
        <v>1246</v>
      </c>
      <c r="D49" s="35">
        <v>1374</v>
      </c>
      <c r="E49" s="35">
        <v>1355</v>
      </c>
      <c r="F49" s="35">
        <v>1361</v>
      </c>
      <c r="G49" s="35">
        <v>1433</v>
      </c>
    </row>
    <row r="50" spans="1:7" x14ac:dyDescent="0.25">
      <c r="A50" s="34" t="s">
        <v>125</v>
      </c>
      <c r="B50" s="35">
        <v>2329</v>
      </c>
      <c r="C50" s="35">
        <v>2640</v>
      </c>
      <c r="D50" s="35">
        <v>2233</v>
      </c>
      <c r="E50" s="35">
        <v>2275</v>
      </c>
      <c r="F50" s="35">
        <v>2063</v>
      </c>
      <c r="G50" s="35">
        <v>2032</v>
      </c>
    </row>
    <row r="51" spans="1:7" ht="15.75" thickBot="1" x14ac:dyDescent="0.3">
      <c r="A51" s="34" t="s">
        <v>126</v>
      </c>
      <c r="B51" s="36">
        <v>679</v>
      </c>
      <c r="C51" s="36">
        <v>823</v>
      </c>
      <c r="D51" s="36">
        <v>723</v>
      </c>
      <c r="E51" s="36">
        <v>636</v>
      </c>
      <c r="F51" s="36">
        <v>829</v>
      </c>
      <c r="G51" s="36">
        <v>744</v>
      </c>
    </row>
    <row r="52" spans="1:7" x14ac:dyDescent="0.25">
      <c r="A52" s="37" t="s">
        <v>67</v>
      </c>
      <c r="B52" s="38">
        <v>30483</v>
      </c>
      <c r="C52" s="38">
        <v>32179</v>
      </c>
      <c r="D52" s="38">
        <v>32137</v>
      </c>
      <c r="E52" s="38">
        <v>32525</v>
      </c>
      <c r="F52" s="38">
        <v>33198</v>
      </c>
      <c r="G52" s="38">
        <v>31225</v>
      </c>
    </row>
    <row r="53" spans="1:7" x14ac:dyDescent="0.25">
      <c r="A53" s="34" t="s">
        <v>1</v>
      </c>
      <c r="B53" s="35">
        <v>5326</v>
      </c>
      <c r="C53" s="35">
        <v>5867</v>
      </c>
      <c r="D53" s="35">
        <v>6135</v>
      </c>
      <c r="E53" s="35">
        <v>6690</v>
      </c>
      <c r="F53" s="35">
        <v>7039</v>
      </c>
      <c r="G53" s="35">
        <v>6362</v>
      </c>
    </row>
    <row r="54" spans="1:7" x14ac:dyDescent="0.25">
      <c r="A54" s="34" t="s">
        <v>69</v>
      </c>
      <c r="B54" s="35">
        <v>2526</v>
      </c>
      <c r="C54" s="35">
        <v>2669</v>
      </c>
      <c r="D54" s="35">
        <v>2537</v>
      </c>
      <c r="E54" s="35">
        <v>2750</v>
      </c>
      <c r="F54" s="35">
        <v>2682</v>
      </c>
      <c r="G54" s="35">
        <v>2269</v>
      </c>
    </row>
    <row r="55" spans="1:7" x14ac:dyDescent="0.25">
      <c r="A55" s="34" t="s">
        <v>151</v>
      </c>
      <c r="B55" s="35">
        <v>3295</v>
      </c>
      <c r="C55" s="35">
        <v>4007</v>
      </c>
      <c r="D55" s="35">
        <v>3722</v>
      </c>
      <c r="E55" s="35">
        <v>3866</v>
      </c>
      <c r="F55" s="35">
        <v>3902</v>
      </c>
      <c r="G55" s="35">
        <v>3658</v>
      </c>
    </row>
    <row r="56" spans="1:7" x14ac:dyDescent="0.25">
      <c r="A56" s="34" t="s">
        <v>127</v>
      </c>
      <c r="B56" s="35">
        <v>1395</v>
      </c>
      <c r="C56" s="35">
        <v>1577</v>
      </c>
      <c r="D56" s="35">
        <v>1740</v>
      </c>
      <c r="E56" s="35">
        <v>1741</v>
      </c>
      <c r="F56" s="35">
        <v>1951</v>
      </c>
      <c r="G56" s="35">
        <v>1873</v>
      </c>
    </row>
    <row r="57" spans="1:7" ht="15.75" thickBot="1" x14ac:dyDescent="0.3">
      <c r="A57" s="34" t="s">
        <v>65</v>
      </c>
      <c r="B57" s="36">
        <v>4439</v>
      </c>
      <c r="C57" s="36">
        <v>4466</v>
      </c>
      <c r="D57" s="36">
        <v>4300</v>
      </c>
      <c r="E57" s="36">
        <v>3593</v>
      </c>
      <c r="F57" s="36">
        <v>3305</v>
      </c>
      <c r="G57" s="36">
        <v>2724</v>
      </c>
    </row>
    <row r="58" spans="1:7" x14ac:dyDescent="0.25">
      <c r="A58" s="37" t="s">
        <v>10</v>
      </c>
      <c r="B58" s="38">
        <v>16981</v>
      </c>
      <c r="C58" s="38">
        <v>18586</v>
      </c>
      <c r="D58" s="38">
        <v>18434</v>
      </c>
      <c r="E58" s="38">
        <v>18640</v>
      </c>
      <c r="F58" s="38">
        <v>18879</v>
      </c>
      <c r="G58" s="38">
        <v>16886</v>
      </c>
    </row>
    <row r="59" spans="1:7" ht="15.75" thickBot="1" x14ac:dyDescent="0.3">
      <c r="A59" s="37" t="s">
        <v>128</v>
      </c>
      <c r="B59" s="40">
        <v>124</v>
      </c>
      <c r="C59" s="40">
        <v>37</v>
      </c>
      <c r="D59" s="40">
        <v>46</v>
      </c>
      <c r="E59" s="40">
        <v>16</v>
      </c>
      <c r="F59" s="40">
        <v>31</v>
      </c>
      <c r="G59" s="40">
        <v>66</v>
      </c>
    </row>
    <row r="60" spans="1:7" x14ac:dyDescent="0.25">
      <c r="A60" s="37" t="s">
        <v>3</v>
      </c>
      <c r="B60" s="38">
        <v>47588</v>
      </c>
      <c r="C60" s="38">
        <v>50802</v>
      </c>
      <c r="D60" s="38">
        <v>50617</v>
      </c>
      <c r="E60" s="38">
        <v>51181</v>
      </c>
      <c r="F60" s="38">
        <v>52108</v>
      </c>
      <c r="G60" s="38">
        <v>48177</v>
      </c>
    </row>
    <row r="61" spans="1:7" x14ac:dyDescent="0.25">
      <c r="A61" s="37"/>
      <c r="B61" s="38"/>
      <c r="C61" s="38"/>
      <c r="D61" s="38"/>
      <c r="E61" s="38"/>
      <c r="F61" s="38"/>
      <c r="G61" s="38"/>
    </row>
    <row r="62" spans="1:7" ht="15.75" thickBot="1" x14ac:dyDescent="0.3">
      <c r="A62" s="31" t="s">
        <v>200</v>
      </c>
      <c r="B62" s="32">
        <v>2020</v>
      </c>
      <c r="C62" s="32">
        <v>2019</v>
      </c>
      <c r="D62" s="32">
        <v>2018</v>
      </c>
      <c r="E62" s="32">
        <v>2017</v>
      </c>
      <c r="F62" s="32">
        <v>2016</v>
      </c>
      <c r="G62" s="32">
        <v>2015</v>
      </c>
    </row>
    <row r="63" spans="1:7" x14ac:dyDescent="0.25">
      <c r="A63" s="37" t="s">
        <v>129</v>
      </c>
      <c r="B63" s="38">
        <v>9795</v>
      </c>
      <c r="C63" s="38">
        <v>9939</v>
      </c>
      <c r="D63" s="38">
        <v>9169</v>
      </c>
      <c r="E63" s="38">
        <v>10061</v>
      </c>
      <c r="F63" s="38">
        <v>10427</v>
      </c>
      <c r="G63" s="38">
        <v>9631</v>
      </c>
    </row>
    <row r="64" spans="1:7" x14ac:dyDescent="0.25">
      <c r="A64" s="37" t="s">
        <v>130</v>
      </c>
      <c r="B64" s="38">
        <v>1502</v>
      </c>
      <c r="C64" s="38">
        <v>1736</v>
      </c>
      <c r="D64" s="38">
        <v>2117</v>
      </c>
      <c r="E64" s="38">
        <v>2099</v>
      </c>
      <c r="F64" s="38">
        <v>1582</v>
      </c>
      <c r="G64" s="38">
        <v>1039</v>
      </c>
    </row>
    <row r="65" spans="1:7" x14ac:dyDescent="0.25">
      <c r="A65" s="34" t="s">
        <v>24</v>
      </c>
      <c r="B65" s="35">
        <v>12976</v>
      </c>
      <c r="C65" s="35">
        <v>13595</v>
      </c>
      <c r="D65" s="35">
        <v>13696</v>
      </c>
      <c r="E65" s="35">
        <v>12797</v>
      </c>
      <c r="F65" s="35">
        <v>12526</v>
      </c>
      <c r="G65" s="35">
        <v>12761</v>
      </c>
    </row>
    <row r="66" spans="1:7" x14ac:dyDescent="0.25">
      <c r="A66" s="34" t="s">
        <v>68</v>
      </c>
      <c r="B66" s="35">
        <v>1506</v>
      </c>
      <c r="C66" s="35">
        <v>1817</v>
      </c>
      <c r="D66" s="35">
        <v>1932</v>
      </c>
      <c r="E66" s="35">
        <v>2661</v>
      </c>
      <c r="F66" s="35">
        <v>1935</v>
      </c>
      <c r="G66" s="35">
        <v>1921</v>
      </c>
    </row>
    <row r="67" spans="1:7" ht="15.75" thickBot="1" x14ac:dyDescent="0.3">
      <c r="A67" s="34" t="s">
        <v>25</v>
      </c>
      <c r="B67" s="36">
        <v>467</v>
      </c>
      <c r="C67" s="36">
        <v>655</v>
      </c>
      <c r="D67" s="36">
        <v>541</v>
      </c>
      <c r="E67" s="36">
        <v>489</v>
      </c>
      <c r="F67" s="36">
        <v>543</v>
      </c>
      <c r="G67" s="36">
        <v>508</v>
      </c>
    </row>
    <row r="68" spans="1:7" x14ac:dyDescent="0.25">
      <c r="A68" s="37" t="s">
        <v>131</v>
      </c>
      <c r="B68" s="38">
        <v>14949</v>
      </c>
      <c r="C68" s="38">
        <v>16067</v>
      </c>
      <c r="D68" s="38">
        <v>16169</v>
      </c>
      <c r="E68" s="38">
        <v>15947</v>
      </c>
      <c r="F68" s="38">
        <v>15004</v>
      </c>
      <c r="G68" s="38">
        <v>15190</v>
      </c>
    </row>
    <row r="69" spans="1:7" x14ac:dyDescent="0.25">
      <c r="A69" s="34" t="s">
        <v>132</v>
      </c>
      <c r="B69" s="35">
        <v>12560</v>
      </c>
      <c r="C69" s="35">
        <v>13646</v>
      </c>
      <c r="D69" s="35">
        <v>14161</v>
      </c>
      <c r="E69" s="35">
        <v>15082</v>
      </c>
      <c r="F69" s="35">
        <v>15396</v>
      </c>
      <c r="G69" s="35">
        <v>13648</v>
      </c>
    </row>
    <row r="70" spans="1:7" x14ac:dyDescent="0.25">
      <c r="A70" s="34" t="s">
        <v>68</v>
      </c>
      <c r="B70" s="35">
        <v>3067</v>
      </c>
      <c r="C70" s="35">
        <v>3712</v>
      </c>
      <c r="D70" s="35">
        <v>3582</v>
      </c>
      <c r="E70" s="35">
        <v>2817</v>
      </c>
      <c r="F70" s="35">
        <v>3395</v>
      </c>
      <c r="G70" s="35">
        <v>3328</v>
      </c>
    </row>
    <row r="71" spans="1:7" x14ac:dyDescent="0.25">
      <c r="A71" s="34" t="s">
        <v>133</v>
      </c>
      <c r="B71" s="35">
        <v>3656</v>
      </c>
      <c r="C71" s="35">
        <v>3744</v>
      </c>
      <c r="D71" s="35">
        <v>4080</v>
      </c>
      <c r="E71" s="35">
        <v>4095</v>
      </c>
      <c r="F71" s="35">
        <v>4413</v>
      </c>
      <c r="G71" s="35">
        <v>4341</v>
      </c>
    </row>
    <row r="72" spans="1:7" ht="15.75" thickBot="1" x14ac:dyDescent="0.3">
      <c r="A72" s="34" t="s">
        <v>21</v>
      </c>
      <c r="B72" s="36">
        <v>2020</v>
      </c>
      <c r="C72" s="36">
        <v>1909</v>
      </c>
      <c r="D72" s="36">
        <v>1339</v>
      </c>
      <c r="E72" s="36">
        <v>1069</v>
      </c>
      <c r="F72" s="36">
        <v>1875</v>
      </c>
      <c r="G72" s="36">
        <v>966</v>
      </c>
    </row>
    <row r="73" spans="1:7" x14ac:dyDescent="0.25">
      <c r="A73" s="37" t="s">
        <v>134</v>
      </c>
      <c r="B73" s="38">
        <v>21303</v>
      </c>
      <c r="C73" s="38">
        <v>23011</v>
      </c>
      <c r="D73" s="38">
        <v>23162</v>
      </c>
      <c r="E73" s="38">
        <v>23063</v>
      </c>
      <c r="F73" s="38">
        <v>25079</v>
      </c>
      <c r="G73" s="38">
        <v>22283</v>
      </c>
    </row>
    <row r="74" spans="1:7" ht="15.75" thickBot="1" x14ac:dyDescent="0.3">
      <c r="A74" s="37" t="s">
        <v>135</v>
      </c>
      <c r="B74" s="40">
        <v>39</v>
      </c>
      <c r="C74" s="40">
        <v>49</v>
      </c>
      <c r="D74" s="40">
        <v>0</v>
      </c>
      <c r="E74" s="40">
        <v>11</v>
      </c>
      <c r="F74" s="40">
        <v>16</v>
      </c>
      <c r="G74" s="40">
        <v>34</v>
      </c>
    </row>
    <row r="75" spans="1:7" ht="15.75" thickBot="1" x14ac:dyDescent="0.3">
      <c r="A75" s="31" t="s">
        <v>136</v>
      </c>
      <c r="B75" s="40">
        <v>47588</v>
      </c>
      <c r="C75" s="40">
        <v>50802</v>
      </c>
      <c r="D75" s="40">
        <v>50617</v>
      </c>
      <c r="E75" s="40">
        <v>51181</v>
      </c>
      <c r="F75" s="40">
        <v>52108</v>
      </c>
      <c r="G75" s="40">
        <v>48177</v>
      </c>
    </row>
    <row r="76" spans="1:7" ht="15.75" thickBot="1" x14ac:dyDescent="0.3">
      <c r="A76" s="31"/>
      <c r="B76" s="40"/>
      <c r="C76" s="40"/>
      <c r="D76" s="40"/>
      <c r="E76" s="40"/>
      <c r="F76" s="40"/>
      <c r="G76" s="40"/>
    </row>
    <row r="77" spans="1:7" ht="15.75" thickBot="1" x14ac:dyDescent="0.3">
      <c r="A77" s="31" t="s">
        <v>201</v>
      </c>
      <c r="B77" s="32">
        <v>2020</v>
      </c>
      <c r="C77" s="32">
        <v>2019</v>
      </c>
      <c r="D77" s="32">
        <v>2018</v>
      </c>
      <c r="E77" s="32">
        <v>2017</v>
      </c>
      <c r="F77" s="32">
        <v>2016</v>
      </c>
      <c r="G77" s="32">
        <v>2015</v>
      </c>
    </row>
    <row r="78" spans="1:7" x14ac:dyDescent="0.25">
      <c r="A78" s="34" t="s">
        <v>137</v>
      </c>
      <c r="B78" s="35">
        <v>1635</v>
      </c>
      <c r="C78" s="35">
        <v>1043</v>
      </c>
      <c r="D78" s="35">
        <v>828</v>
      </c>
      <c r="E78" s="35">
        <v>676</v>
      </c>
      <c r="F78" s="35">
        <v>1922</v>
      </c>
      <c r="G78" s="35">
        <v>2167</v>
      </c>
    </row>
    <row r="79" spans="1:7" x14ac:dyDescent="0.25">
      <c r="A79" s="34" t="s">
        <v>138</v>
      </c>
      <c r="B79" s="35">
        <v>-576</v>
      </c>
      <c r="C79" s="35">
        <v>-613</v>
      </c>
      <c r="D79" s="35">
        <v>-634</v>
      </c>
      <c r="E79" s="35">
        <v>-749</v>
      </c>
      <c r="F79" s="35">
        <v>-457</v>
      </c>
      <c r="G79" s="35">
        <v>-837</v>
      </c>
    </row>
    <row r="80" spans="1:7" x14ac:dyDescent="0.25">
      <c r="A80" s="34" t="s">
        <v>139</v>
      </c>
      <c r="B80" s="35">
        <v>-101</v>
      </c>
      <c r="C80" s="35">
        <v>422</v>
      </c>
      <c r="D80" s="35">
        <v>373</v>
      </c>
      <c r="E80" s="35">
        <v>960</v>
      </c>
      <c r="F80" s="35">
        <v>-208</v>
      </c>
      <c r="G80" s="35">
        <v>-247</v>
      </c>
    </row>
    <row r="81" spans="1:7" x14ac:dyDescent="0.25">
      <c r="A81" s="34" t="s">
        <v>140</v>
      </c>
      <c r="B81" s="35">
        <v>2292</v>
      </c>
      <c r="C81" s="35">
        <v>2328</v>
      </c>
      <c r="D81" s="35">
        <v>2650</v>
      </c>
      <c r="E81" s="35">
        <v>2745</v>
      </c>
      <c r="F81" s="35">
        <v>2543</v>
      </c>
      <c r="G81" s="35">
        <v>2518</v>
      </c>
    </row>
    <row r="82" spans="1:7" ht="15.75" thickBot="1" x14ac:dyDescent="0.3">
      <c r="A82" s="34" t="s">
        <v>141</v>
      </c>
      <c r="B82" s="36">
        <v>15</v>
      </c>
      <c r="C82" s="36">
        <v>56</v>
      </c>
      <c r="D82" s="36">
        <v>115</v>
      </c>
      <c r="E82" s="36">
        <v>157</v>
      </c>
      <c r="F82" s="36">
        <v>454</v>
      </c>
      <c r="G82" s="36">
        <v>276</v>
      </c>
    </row>
    <row r="83" spans="1:7" x14ac:dyDescent="0.25">
      <c r="A83" s="37" t="s">
        <v>142</v>
      </c>
      <c r="B83" s="38">
        <v>3265</v>
      </c>
      <c r="C83" s="38">
        <v>3236</v>
      </c>
      <c r="D83" s="38">
        <v>3332</v>
      </c>
      <c r="E83" s="38">
        <v>3789</v>
      </c>
      <c r="F83" s="38">
        <v>4254</v>
      </c>
      <c r="G83" s="38">
        <v>3877</v>
      </c>
    </row>
    <row r="84" spans="1:7" x14ac:dyDescent="0.25">
      <c r="A84" s="34" t="s">
        <v>5</v>
      </c>
      <c r="B84" s="35">
        <v>60</v>
      </c>
      <c r="C84" s="35">
        <v>101</v>
      </c>
      <c r="D84" s="35">
        <v>37</v>
      </c>
      <c r="E84" s="35">
        <v>76</v>
      </c>
      <c r="F84" s="35">
        <v>79</v>
      </c>
      <c r="G84" s="35">
        <v>8</v>
      </c>
    </row>
    <row r="85" spans="1:7" x14ac:dyDescent="0.25">
      <c r="A85" s="34" t="s">
        <v>153</v>
      </c>
      <c r="B85" s="35">
        <v>-1492</v>
      </c>
      <c r="C85" s="35">
        <v>-1725</v>
      </c>
      <c r="D85" s="35">
        <v>-1611</v>
      </c>
      <c r="E85" s="35">
        <v>-2379</v>
      </c>
      <c r="F85" s="35">
        <v>-2749</v>
      </c>
      <c r="G85" s="35">
        <v>-2378</v>
      </c>
    </row>
    <row r="86" spans="1:7" x14ac:dyDescent="0.25">
      <c r="A86" s="34" t="s">
        <v>154</v>
      </c>
      <c r="B86" s="35">
        <v>-291</v>
      </c>
      <c r="C86" s="35">
        <v>-86</v>
      </c>
      <c r="D86" s="35">
        <v>-190</v>
      </c>
      <c r="E86" s="35">
        <v>-260</v>
      </c>
      <c r="F86" s="35">
        <v>-193</v>
      </c>
      <c r="G86" s="35">
        <v>-56</v>
      </c>
    </row>
    <row r="87" spans="1:7" x14ac:dyDescent="0.25">
      <c r="A87" s="34" t="s">
        <v>155</v>
      </c>
      <c r="B87" s="35">
        <v>159</v>
      </c>
      <c r="C87" s="35">
        <v>347</v>
      </c>
      <c r="D87" s="35">
        <v>172</v>
      </c>
      <c r="E87" s="35">
        <v>158</v>
      </c>
      <c r="F87" s="35">
        <v>152</v>
      </c>
      <c r="G87" s="35">
        <v>186</v>
      </c>
    </row>
    <row r="88" spans="1:7" x14ac:dyDescent="0.25">
      <c r="A88" s="34" t="s">
        <v>156</v>
      </c>
      <c r="B88" s="35">
        <v>7</v>
      </c>
      <c r="C88" s="35">
        <v>338</v>
      </c>
      <c r="D88" s="35">
        <v>1</v>
      </c>
      <c r="E88" s="35">
        <v>9</v>
      </c>
      <c r="F88" s="35">
        <v>6</v>
      </c>
      <c r="G88" s="35">
        <v>7</v>
      </c>
    </row>
    <row r="89" spans="1:7" ht="15.75" thickBot="1" x14ac:dyDescent="0.3">
      <c r="A89" s="34" t="s">
        <v>152</v>
      </c>
      <c r="B89" s="36">
        <v>-253</v>
      </c>
      <c r="C89" s="36">
        <v>-92</v>
      </c>
      <c r="D89" s="36">
        <v>-1140</v>
      </c>
      <c r="E89" s="36">
        <v>-1347</v>
      </c>
      <c r="F89" s="36">
        <v>-1348</v>
      </c>
      <c r="G89" s="36">
        <v>-1010</v>
      </c>
    </row>
    <row r="90" spans="1:7" x14ac:dyDescent="0.25">
      <c r="A90" s="37" t="s">
        <v>143</v>
      </c>
      <c r="B90" s="38">
        <v>1455</v>
      </c>
      <c r="C90" s="38">
        <v>2119</v>
      </c>
      <c r="D90" s="38">
        <v>601</v>
      </c>
      <c r="E90" s="38">
        <v>46</v>
      </c>
      <c r="F90" s="38">
        <v>200</v>
      </c>
      <c r="G90" s="38">
        <v>635</v>
      </c>
    </row>
    <row r="91" spans="1:7" x14ac:dyDescent="0.25">
      <c r="A91" s="34" t="s">
        <v>144</v>
      </c>
      <c r="B91" s="35">
        <v>-190</v>
      </c>
      <c r="C91" s="35">
        <v>-219</v>
      </c>
      <c r="D91" s="35">
        <v>-222</v>
      </c>
      <c r="E91" s="35">
        <v>-263</v>
      </c>
      <c r="F91" s="35">
        <v>-307</v>
      </c>
      <c r="G91" s="35">
        <v>-289</v>
      </c>
    </row>
    <row r="92" spans="1:7" ht="15.75" thickBot="1" x14ac:dyDescent="0.3">
      <c r="A92" s="34" t="s">
        <v>145</v>
      </c>
      <c r="B92" s="36">
        <v>-668</v>
      </c>
      <c r="C92" s="36">
        <v>-1506</v>
      </c>
      <c r="D92" s="36">
        <v>750</v>
      </c>
      <c r="E92" s="36">
        <v>-329</v>
      </c>
      <c r="F92" s="36">
        <v>518</v>
      </c>
      <c r="G92" s="36">
        <v>-603</v>
      </c>
    </row>
    <row r="93" spans="1:7" x14ac:dyDescent="0.25">
      <c r="A93" s="37" t="s">
        <v>146</v>
      </c>
      <c r="B93" s="38">
        <v>597</v>
      </c>
      <c r="C93" s="38">
        <v>394</v>
      </c>
      <c r="D93" s="38">
        <v>1129</v>
      </c>
      <c r="E93" s="38">
        <v>-546</v>
      </c>
      <c r="F93" s="38">
        <v>411</v>
      </c>
      <c r="G93" s="38">
        <v>-257</v>
      </c>
    </row>
    <row r="94" spans="1:7" x14ac:dyDescent="0.25">
      <c r="A94" s="34" t="s">
        <v>147</v>
      </c>
      <c r="B94" s="35">
        <v>-170</v>
      </c>
      <c r="C94" s="35">
        <v>-222</v>
      </c>
      <c r="D94" s="35">
        <v>-234</v>
      </c>
      <c r="E94" s="35">
        <v>-292</v>
      </c>
      <c r="F94" s="35">
        <v>-207</v>
      </c>
      <c r="G94" s="35">
        <v>-488</v>
      </c>
    </row>
    <row r="95" spans="1:7" ht="15.75" thickBot="1" x14ac:dyDescent="0.3">
      <c r="A95" s="34" t="s">
        <v>148</v>
      </c>
      <c r="B95" s="36">
        <v>1</v>
      </c>
      <c r="C95" s="36">
        <v>75</v>
      </c>
      <c r="D95" s="36">
        <v>131</v>
      </c>
      <c r="E95" s="36">
        <v>1408</v>
      </c>
      <c r="F95" s="36">
        <v>245</v>
      </c>
      <c r="G95" s="36">
        <v>606</v>
      </c>
    </row>
    <row r="96" spans="1:7" ht="15.75" thickBot="1" x14ac:dyDescent="0.3">
      <c r="A96" s="31" t="s">
        <v>149</v>
      </c>
      <c r="B96" s="40">
        <v>428</v>
      </c>
      <c r="C96" s="40">
        <v>247</v>
      </c>
      <c r="D96" s="40">
        <v>1026</v>
      </c>
      <c r="E96" s="40">
        <v>570</v>
      </c>
      <c r="F96" s="40">
        <v>449</v>
      </c>
      <c r="G96" s="40">
        <v>-139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62AA-640B-40F8-89CE-575BE34FACAD}">
  <dimension ref="A1:E10"/>
  <sheetViews>
    <sheetView workbookViewId="0">
      <selection activeCell="E33" sqref="E33"/>
    </sheetView>
  </sheetViews>
  <sheetFormatPr defaultColWidth="8.85546875" defaultRowHeight="15" x14ac:dyDescent="0.25"/>
  <cols>
    <col min="1" max="1" width="28" style="33" customWidth="1"/>
    <col min="2" max="16384" width="8.85546875" style="33"/>
  </cols>
  <sheetData>
    <row r="1" spans="1:5" ht="30.75" thickBot="1" x14ac:dyDescent="0.3">
      <c r="A1" s="31" t="s">
        <v>160</v>
      </c>
      <c r="B1" s="31">
        <v>2020</v>
      </c>
      <c r="C1" s="31">
        <v>2019</v>
      </c>
      <c r="D1" s="31">
        <v>2018</v>
      </c>
    </row>
    <row r="2" spans="1:5" x14ac:dyDescent="0.25">
      <c r="A2" s="33" t="s">
        <v>72</v>
      </c>
      <c r="B2" s="48">
        <v>3.5999999999999997E-2</v>
      </c>
      <c r="C2" s="48">
        <v>-1E-3</v>
      </c>
      <c r="D2" s="48">
        <v>3.0000000000000001E-3</v>
      </c>
      <c r="E2" s="43"/>
    </row>
    <row r="3" spans="1:5" x14ac:dyDescent="0.25">
      <c r="A3" s="44" t="s">
        <v>157</v>
      </c>
      <c r="B3" s="48">
        <v>0.01</v>
      </c>
      <c r="C3" s="48">
        <v>-2.1000000000000001E-2</v>
      </c>
      <c r="D3" s="48">
        <v>-1.4E-2</v>
      </c>
    </row>
    <row r="4" spans="1:5" x14ac:dyDescent="0.25">
      <c r="A4" s="44" t="s">
        <v>158</v>
      </c>
      <c r="B4" s="48">
        <v>6.8000000000000005E-2</v>
      </c>
      <c r="C4" s="48">
        <v>1.9E-2</v>
      </c>
      <c r="D4" s="48">
        <v>1.6E-2</v>
      </c>
    </row>
    <row r="5" spans="1:5" x14ac:dyDescent="0.25">
      <c r="A5" s="44" t="s">
        <v>161</v>
      </c>
      <c r="B5" s="48">
        <v>8.3000000000000004E-2</v>
      </c>
      <c r="C5" s="48">
        <v>2.1999999999999999E-2</v>
      </c>
      <c r="D5" s="48">
        <v>3.3000000000000002E-2</v>
      </c>
    </row>
    <row r="6" spans="1:5" x14ac:dyDescent="0.25">
      <c r="A6" s="33" t="s">
        <v>103</v>
      </c>
      <c r="B6" s="48">
        <v>7.0999999999999994E-2</v>
      </c>
      <c r="C6" s="48">
        <v>1E-3</v>
      </c>
      <c r="D6" s="48">
        <v>-1.9E-2</v>
      </c>
    </row>
    <row r="7" spans="1:5" x14ac:dyDescent="0.25">
      <c r="A7" s="33" t="s">
        <v>104</v>
      </c>
      <c r="B7" s="48">
        <v>-5.1999999999999998E-2</v>
      </c>
      <c r="C7" s="48">
        <v>-2.5999999999999999E-2</v>
      </c>
      <c r="D7" s="48">
        <v>-0.04</v>
      </c>
    </row>
    <row r="8" spans="1:5" x14ac:dyDescent="0.25">
      <c r="A8" s="33" t="s">
        <v>105</v>
      </c>
      <c r="B8" s="48">
        <v>0.182</v>
      </c>
      <c r="C8" s="48">
        <v>6.5000000000000002E-2</v>
      </c>
      <c r="D8" s="48">
        <v>3.9E-2</v>
      </c>
    </row>
    <row r="10" spans="1:5" s="45" customFormat="1" ht="15.75" thickBot="1" x14ac:dyDescent="0.3">
      <c r="A10" s="31" t="s">
        <v>159</v>
      </c>
      <c r="B10" s="47">
        <v>7.8E-2</v>
      </c>
      <c r="C10" s="47">
        <v>3.1E-2</v>
      </c>
      <c r="D10" s="47">
        <v>1.4E-2</v>
      </c>
      <c r="E10" s="46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6B51-C8AC-4A56-8113-C891EC6BC628}">
  <dimension ref="A1:E16"/>
  <sheetViews>
    <sheetView workbookViewId="0">
      <selection activeCell="B13" sqref="B13"/>
    </sheetView>
  </sheetViews>
  <sheetFormatPr defaultRowHeight="15" x14ac:dyDescent="0.25"/>
  <cols>
    <col min="1" max="1" width="37.140625" style="1" customWidth="1"/>
    <col min="2" max="2" width="8.7109375" style="1" customWidth="1"/>
    <col min="3" max="3" width="8.140625" style="1" customWidth="1"/>
    <col min="4" max="4" width="8.5703125" style="1" customWidth="1"/>
  </cols>
  <sheetData>
    <row r="1" spans="1:5" x14ac:dyDescent="0.25">
      <c r="C1" s="3" t="s">
        <v>205</v>
      </c>
    </row>
    <row r="2" spans="1:5" s="61" customFormat="1" x14ac:dyDescent="0.25">
      <c r="A2" s="3"/>
      <c r="B2" s="3"/>
      <c r="C2" s="3"/>
      <c r="D2" s="3"/>
    </row>
    <row r="3" spans="1:5" x14ac:dyDescent="0.2">
      <c r="A3" s="58" t="s">
        <v>26</v>
      </c>
      <c r="B3" s="59">
        <v>2020</v>
      </c>
      <c r="C3" s="59">
        <v>2019</v>
      </c>
      <c r="D3" s="59">
        <v>2018</v>
      </c>
      <c r="E3" s="59">
        <v>2017</v>
      </c>
    </row>
    <row r="4" spans="1:5" x14ac:dyDescent="0.25">
      <c r="A4" s="2" t="s">
        <v>31</v>
      </c>
      <c r="B4" s="18">
        <v>2.7E-2</v>
      </c>
      <c r="C4" s="18">
        <v>1.9E-2</v>
      </c>
      <c r="D4" s="18">
        <v>2.1000000000000001E-2</v>
      </c>
      <c r="E4" s="18">
        <v>2.5000000000000001E-2</v>
      </c>
    </row>
    <row r="5" spans="1:5" x14ac:dyDescent="0.25">
      <c r="A5" s="2" t="s">
        <v>32</v>
      </c>
      <c r="B5" s="19">
        <v>2.1800000000000002</v>
      </c>
      <c r="C5" s="19">
        <v>2.09</v>
      </c>
      <c r="D5" s="19">
        <v>2.2599999999999998</v>
      </c>
      <c r="E5" s="19">
        <v>2.0699999999999998</v>
      </c>
    </row>
    <row r="6" spans="1:5" x14ac:dyDescent="0.25">
      <c r="A6" s="63" t="s">
        <v>196</v>
      </c>
      <c r="B6" s="18">
        <f t="shared" ref="B6:E6" si="0">B4*B5</f>
        <v>5.8860000000000003E-2</v>
      </c>
      <c r="C6" s="18">
        <f t="shared" si="0"/>
        <v>3.9709999999999995E-2</v>
      </c>
      <c r="D6" s="18">
        <f t="shared" si="0"/>
        <v>4.7459999999999995E-2</v>
      </c>
      <c r="E6" s="18">
        <f t="shared" si="0"/>
        <v>5.1749999999999997E-2</v>
      </c>
    </row>
    <row r="7" spans="1:5" x14ac:dyDescent="0.25">
      <c r="A7" s="8" t="s">
        <v>48</v>
      </c>
      <c r="B7" s="18">
        <v>8.4000000000000005E-2</v>
      </c>
      <c r="C7" s="18">
        <v>3.6999999999999998E-2</v>
      </c>
      <c r="D7" s="18">
        <v>5.3999999999999999E-2</v>
      </c>
      <c r="E7" s="18">
        <v>5.7000000000000002E-2</v>
      </c>
    </row>
    <row r="8" spans="1:5" x14ac:dyDescent="0.25">
      <c r="A8" s="8" t="s">
        <v>206</v>
      </c>
      <c r="B8" s="20">
        <v>2.59</v>
      </c>
      <c r="C8" s="20">
        <v>2.2999999999999998</v>
      </c>
      <c r="D8" s="20">
        <v>1.28</v>
      </c>
      <c r="E8" s="20">
        <v>1.0900000000000001</v>
      </c>
    </row>
    <row r="10" spans="1:5" x14ac:dyDescent="0.25">
      <c r="A10" s="8" t="s">
        <v>207</v>
      </c>
      <c r="B10" s="18">
        <v>-0.11700000000000001</v>
      </c>
      <c r="C10" s="18">
        <v>-0.12</v>
      </c>
      <c r="D10" s="18">
        <v>-0.123</v>
      </c>
      <c r="E10" s="18">
        <v>-0.121</v>
      </c>
    </row>
    <row r="11" spans="1:5" x14ac:dyDescent="0.25">
      <c r="A11" s="8" t="s">
        <v>208</v>
      </c>
      <c r="B11" s="18">
        <v>-0.111</v>
      </c>
      <c r="C11" s="18">
        <v>-0.09</v>
      </c>
      <c r="D11" s="18">
        <v>-7.8E-2</v>
      </c>
      <c r="E11" s="18">
        <v>-6.9000000000000006E-2</v>
      </c>
    </row>
    <row r="12" spans="1:5" x14ac:dyDescent="0.25">
      <c r="A12" s="8" t="s">
        <v>209</v>
      </c>
      <c r="B12" s="18">
        <v>-0.56899999999999995</v>
      </c>
      <c r="C12" s="18">
        <v>-0.56899999999999995</v>
      </c>
      <c r="D12" s="18">
        <v>-0.52100000000000002</v>
      </c>
      <c r="E12" s="18">
        <v>-0.55200000000000005</v>
      </c>
    </row>
    <row r="13" spans="1:5" x14ac:dyDescent="0.25">
      <c r="A13" s="8" t="s">
        <v>210</v>
      </c>
      <c r="B13" s="18">
        <v>-0.28699999999999998</v>
      </c>
      <c r="C13" s="18">
        <v>-0.28699999999999998</v>
      </c>
      <c r="D13" s="18">
        <v>-0.221</v>
      </c>
      <c r="E13" s="18">
        <v>-0.25600000000000001</v>
      </c>
    </row>
    <row r="14" spans="1:5" x14ac:dyDescent="0.25">
      <c r="A14" s="62"/>
      <c r="B14" s="18"/>
      <c r="C14" s="18"/>
      <c r="D14" s="18"/>
    </row>
    <row r="15" spans="1:5" x14ac:dyDescent="0.25">
      <c r="A15" s="8"/>
      <c r="B15" s="18"/>
      <c r="C15" s="18"/>
      <c r="D15" s="18"/>
    </row>
    <row r="16" spans="1:5" x14ac:dyDescent="0.25">
      <c r="A16" s="8"/>
      <c r="B16" s="18"/>
      <c r="C16" s="18"/>
      <c r="D16" s="1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86"/>
  <sheetViews>
    <sheetView zoomScaleNormal="100" workbookViewId="0">
      <selection activeCell="H44" sqref="H44"/>
    </sheetView>
  </sheetViews>
  <sheetFormatPr defaultColWidth="8.7109375" defaultRowHeight="15" x14ac:dyDescent="0.25"/>
  <cols>
    <col min="1" max="1" width="51.42578125" style="1" customWidth="1"/>
    <col min="2" max="7" width="9.7109375" style="1" bestFit="1" customWidth="1"/>
    <col min="8" max="16384" width="8.7109375" style="1"/>
  </cols>
  <sheetData>
    <row r="1" spans="1:10" x14ac:dyDescent="0.25">
      <c r="A1" s="72" t="s">
        <v>51</v>
      </c>
      <c r="B1" s="72">
        <v>2020</v>
      </c>
      <c r="C1" s="72">
        <v>2019</v>
      </c>
      <c r="D1" s="72">
        <v>2018</v>
      </c>
      <c r="E1" s="72">
        <v>2017</v>
      </c>
      <c r="F1" s="72">
        <v>2016</v>
      </c>
      <c r="G1" s="72">
        <v>2015</v>
      </c>
    </row>
    <row r="2" spans="1:10" x14ac:dyDescent="0.25">
      <c r="A2" s="73" t="s">
        <v>52</v>
      </c>
      <c r="B2" s="74">
        <v>0.04</v>
      </c>
      <c r="C2" s="74">
        <v>0.04</v>
      </c>
      <c r="D2" s="74">
        <v>0.04</v>
      </c>
      <c r="E2" s="74">
        <v>0.04</v>
      </c>
      <c r="F2" s="74">
        <v>0.04</v>
      </c>
      <c r="G2" s="74">
        <v>0.04</v>
      </c>
    </row>
    <row r="3" spans="1:10" ht="15.75" thickBot="1" x14ac:dyDescent="0.3">
      <c r="A3" s="73"/>
      <c r="B3" s="75"/>
      <c r="C3" s="75"/>
      <c r="D3" s="75"/>
      <c r="E3" s="75"/>
      <c r="F3" s="75"/>
      <c r="G3" s="75"/>
    </row>
    <row r="4" spans="1:10" ht="15.75" thickTop="1" x14ac:dyDescent="0.25">
      <c r="A4" s="76" t="s">
        <v>11</v>
      </c>
      <c r="B4" s="77">
        <v>2020</v>
      </c>
      <c r="C4" s="77">
        <v>2019</v>
      </c>
      <c r="D4" s="77">
        <v>2018</v>
      </c>
      <c r="E4" s="77">
        <v>2017</v>
      </c>
      <c r="F4" s="77">
        <v>2016</v>
      </c>
      <c r="G4" s="77">
        <v>2015</v>
      </c>
    </row>
    <row r="5" spans="1:10" x14ac:dyDescent="0.25">
      <c r="A5" s="78" t="s">
        <v>80</v>
      </c>
      <c r="B5" s="79">
        <f>'Exhibit 3-Financial Statements'!B2</f>
        <v>70719</v>
      </c>
      <c r="C5" s="79">
        <f>'Exhibit 3-Financial Statements'!C2</f>
        <v>72397</v>
      </c>
      <c r="D5" s="79">
        <f>'Exhibit 3-Financial Statements'!D2</f>
        <v>76000</v>
      </c>
      <c r="E5" s="79">
        <f>'Exhibit 3-Financial Statements'!E2</f>
        <v>78897</v>
      </c>
      <c r="F5" s="79">
        <f>'Exhibit 3-Financial Statements'!F2</f>
        <v>76645</v>
      </c>
      <c r="G5" s="79">
        <f>'Exhibit 3-Financial Statements'!G2</f>
        <v>76945</v>
      </c>
    </row>
    <row r="6" spans="1:10" x14ac:dyDescent="0.25">
      <c r="A6" s="78" t="s">
        <v>85</v>
      </c>
      <c r="B6" s="79">
        <f t="shared" ref="B6:C6" si="0">B10</f>
        <v>316</v>
      </c>
      <c r="C6" s="79">
        <f t="shared" si="0"/>
        <v>-345.83199999999999</v>
      </c>
      <c r="D6" s="79">
        <f t="shared" ref="D6:E6" si="1">D10</f>
        <v>-695.61345792552527</v>
      </c>
      <c r="E6" s="79">
        <f t="shared" si="1"/>
        <v>-954.07441307262798</v>
      </c>
      <c r="F6" s="79">
        <f t="shared" ref="F6:G6" si="2">F10</f>
        <v>458.11470264461963</v>
      </c>
      <c r="G6" s="79">
        <f t="shared" si="2"/>
        <v>670.80393318576705</v>
      </c>
    </row>
    <row r="7" spans="1:10" x14ac:dyDescent="0.25">
      <c r="A7" s="80" t="s">
        <v>81</v>
      </c>
      <c r="B7" s="81">
        <f>'Exhibit 3-Financial Statements'!B21-'Exhibit 3-Financial Statements'!B20</f>
        <v>858</v>
      </c>
      <c r="C7" s="81">
        <f>'Exhibit 3-Financial Statements'!C21-'Exhibit 3-Financial Statements'!C20</f>
        <v>225</v>
      </c>
      <c r="D7" s="81">
        <f>'Exhibit 3-Financial Statements'!D21-'Exhibit 3-Financial Statements'!D20</f>
        <v>-44.999999999999091</v>
      </c>
      <c r="E7" s="81">
        <f>'Exhibit 3-Financial Statements'!E21-'Exhibit 3-Financial Statements'!E20</f>
        <v>-366.00000000000182</v>
      </c>
      <c r="F7" s="81">
        <f>'Exhibit 3-Financial Statements'!F21-'Exhibit 3-Financial Statements'!F20</f>
        <v>945.99999999999955</v>
      </c>
      <c r="G7" s="81">
        <f>'Exhibit 3-Financial Statements'!G21-'Exhibit 3-Financial Statements'!G20</f>
        <v>1140</v>
      </c>
    </row>
    <row r="8" spans="1:10" x14ac:dyDescent="0.25">
      <c r="A8" s="82" t="s">
        <v>189</v>
      </c>
      <c r="B8" s="81">
        <f t="shared" ref="B8:C8" si="3">-B16</f>
        <v>-757.56</v>
      </c>
      <c r="C8" s="81">
        <f t="shared" si="3"/>
        <v>-818.14400000000001</v>
      </c>
      <c r="D8" s="81">
        <f t="shared" ref="D8:E8" si="4">-D16</f>
        <v>-909.92000000000007</v>
      </c>
      <c r="E8" s="81">
        <f t="shared" si="4"/>
        <v>-916.99200000000008</v>
      </c>
      <c r="F8" s="81">
        <f t="shared" ref="F8:G8" si="5">-F16</f>
        <v>-864.57600000000002</v>
      </c>
      <c r="G8" s="81">
        <f t="shared" si="5"/>
        <v>-819.86</v>
      </c>
    </row>
    <row r="9" spans="1:10" x14ac:dyDescent="0.25">
      <c r="A9" s="82" t="s">
        <v>53</v>
      </c>
      <c r="B9" s="83">
        <f t="shared" ref="B9:C9" si="6">B21</f>
        <v>215.55999999999997</v>
      </c>
      <c r="C9" s="83">
        <f t="shared" si="6"/>
        <v>247.31200000000001</v>
      </c>
      <c r="D9" s="83">
        <f>D21</f>
        <v>259.3065420744739</v>
      </c>
      <c r="E9" s="83">
        <f>E21</f>
        <v>328.91758692737403</v>
      </c>
      <c r="F9" s="83">
        <f>F21</f>
        <v>376.6907026446201</v>
      </c>
      <c r="G9" s="83">
        <f>G21</f>
        <v>350.66393318576706</v>
      </c>
    </row>
    <row r="10" spans="1:10" x14ac:dyDescent="0.25">
      <c r="A10" s="84" t="s">
        <v>180</v>
      </c>
      <c r="B10" s="79">
        <f t="shared" ref="B10:C10" si="7">SUM(B7:B9)</f>
        <v>316</v>
      </c>
      <c r="C10" s="79">
        <f t="shared" si="7"/>
        <v>-345.83199999999999</v>
      </c>
      <c r="D10" s="79">
        <f t="shared" ref="D10:E10" si="8">SUM(D7:D9)</f>
        <v>-695.61345792552527</v>
      </c>
      <c r="E10" s="79">
        <f t="shared" si="8"/>
        <v>-954.07441307262798</v>
      </c>
      <c r="F10" s="79">
        <f t="shared" ref="F10:G10" si="9">SUM(F7:F9)</f>
        <v>458.11470264461963</v>
      </c>
      <c r="G10" s="79">
        <f t="shared" si="9"/>
        <v>670.80393318576705</v>
      </c>
      <c r="J10" s="7"/>
    </row>
    <row r="11" spans="1:10" x14ac:dyDescent="0.25">
      <c r="A11" s="78" t="s">
        <v>86</v>
      </c>
      <c r="B11" s="85">
        <f t="shared" ref="B11:C11" si="10">B15</f>
        <v>339.76</v>
      </c>
      <c r="C11" s="85">
        <f t="shared" si="10"/>
        <v>785.45600000000002</v>
      </c>
      <c r="D11" s="85">
        <f t="shared" ref="D11:E11" si="11">D15</f>
        <v>840.71199999999999</v>
      </c>
      <c r="E11" s="85">
        <f t="shared" si="11"/>
        <v>1094.7760000000001</v>
      </c>
      <c r="F11" s="85">
        <f t="shared" ref="F11:G11" si="12">F15</f>
        <v>166.35200000000003</v>
      </c>
      <c r="G11" s="85">
        <f t="shared" si="12"/>
        <v>132.62</v>
      </c>
    </row>
    <row r="12" spans="1:10" x14ac:dyDescent="0.25">
      <c r="A12" s="82" t="s">
        <v>181</v>
      </c>
      <c r="B12" s="81">
        <f>-1*SUM('Exhibit 3-Financial Statements'!B12,'Exhibit 3-Financial Statements'!B13,'Exhibit 3-Financial Statements'!B14)</f>
        <v>507</v>
      </c>
      <c r="C12" s="81">
        <f>-1*SUM('Exhibit 3-Financial Statements'!C12,'Exhibit 3-Financial Statements'!C13,'Exhibit 3-Financial Statements'!C14)</f>
        <v>1051</v>
      </c>
      <c r="D12" s="81">
        <f>-1*SUM('Exhibit 3-Financial Statements'!D12,'Exhibit 3-Financial Statements'!D13,'Exhibit 3-Financial Statements'!D14)</f>
        <v>1152</v>
      </c>
      <c r="E12" s="81">
        <f>-1*SUM('Exhibit 3-Financial Statements'!E12,'Exhibit 3-Financial Statements'!E13,'Exhibit 3-Financial Statements'!E14)</f>
        <v>1396</v>
      </c>
      <c r="F12" s="81">
        <f>-1*SUM('Exhibit 3-Financial Statements'!F12,'Exhibit 3-Financial Statements'!F13,'Exhibit 3-Financial Statements'!F14)</f>
        <v>467</v>
      </c>
      <c r="G12" s="81">
        <f>-1*SUM('Exhibit 3-Financial Statements'!G12,'Exhibit 3-Financial Statements'!G13,'Exhibit 3-Financial Statements'!G14)</f>
        <v>351</v>
      </c>
    </row>
    <row r="13" spans="1:10" x14ac:dyDescent="0.25">
      <c r="A13" s="80" t="s">
        <v>59</v>
      </c>
      <c r="B13" s="86">
        <f>(1-'Exhibit 3-Financial Statements'!B35)</f>
        <v>0.67999999999999994</v>
      </c>
      <c r="C13" s="86">
        <f>(1-'Exhibit 3-Financial Statements'!C35)</f>
        <v>0.65600000000000003</v>
      </c>
      <c r="D13" s="86">
        <f>(1-'Exhibit 3-Financial Statements'!D35)</f>
        <v>0.65600000000000003</v>
      </c>
      <c r="E13" s="86">
        <f>(1-'Exhibit 3-Financial Statements'!E35)</f>
        <v>0.65600000000000003</v>
      </c>
      <c r="F13" s="86">
        <f>(1-'Exhibit 3-Financial Statements'!F35)</f>
        <v>0.65600000000000003</v>
      </c>
      <c r="G13" s="86">
        <f>(1-'Exhibit 3-Financial Statements'!G35)</f>
        <v>0.62</v>
      </c>
    </row>
    <row r="14" spans="1:10" x14ac:dyDescent="0.25">
      <c r="A14" s="82" t="s">
        <v>182</v>
      </c>
      <c r="B14" s="87">
        <f>-1*'Exhibit 3-Financial Statements'!B33</f>
        <v>-5</v>
      </c>
      <c r="C14" s="87">
        <f>-1*'Exhibit 3-Financial Statements'!C33</f>
        <v>96</v>
      </c>
      <c r="D14" s="87">
        <f>-1*'Exhibit 3-Financial Statements'!D33</f>
        <v>85</v>
      </c>
      <c r="E14" s="87">
        <f>-1*'Exhibit 3-Financial Statements'!E33</f>
        <v>179</v>
      </c>
      <c r="F14" s="87">
        <f>-1*'Exhibit 3-Financial Statements'!F33</f>
        <v>-140</v>
      </c>
      <c r="G14" s="87">
        <f>-1*'Exhibit 3-Financial Statements'!G33</f>
        <v>-85</v>
      </c>
    </row>
    <row r="15" spans="1:10" x14ac:dyDescent="0.25">
      <c r="A15" s="84" t="s">
        <v>183</v>
      </c>
      <c r="B15" s="79">
        <f>B13*B12+B14</f>
        <v>339.76</v>
      </c>
      <c r="C15" s="79">
        <f t="shared" ref="C15:G15" si="13">C13*C12+C14</f>
        <v>785.45600000000002</v>
      </c>
      <c r="D15" s="79">
        <f t="shared" si="13"/>
        <v>840.71199999999999</v>
      </c>
      <c r="E15" s="79">
        <f t="shared" si="13"/>
        <v>1094.7760000000001</v>
      </c>
      <c r="F15" s="79">
        <f t="shared" si="13"/>
        <v>166.35200000000003</v>
      </c>
      <c r="G15" s="79">
        <f t="shared" si="13"/>
        <v>132.62</v>
      </c>
    </row>
    <row r="16" spans="1:10" x14ac:dyDescent="0.25">
      <c r="A16" s="88" t="s">
        <v>87</v>
      </c>
      <c r="B16" s="85">
        <f t="shared" ref="B16:C16" si="14">B20</f>
        <v>757.56</v>
      </c>
      <c r="C16" s="85">
        <f t="shared" si="14"/>
        <v>818.14400000000001</v>
      </c>
      <c r="D16" s="85">
        <f t="shared" ref="D16:E16" si="15">D20</f>
        <v>909.92000000000007</v>
      </c>
      <c r="E16" s="85">
        <f t="shared" si="15"/>
        <v>916.99200000000008</v>
      </c>
      <c r="F16" s="85">
        <f t="shared" ref="F16:G16" si="16">F20</f>
        <v>864.57600000000002</v>
      </c>
      <c r="G16" s="85">
        <f t="shared" si="16"/>
        <v>819.86</v>
      </c>
    </row>
    <row r="17" spans="1:7" x14ac:dyDescent="0.25">
      <c r="A17" s="82" t="s">
        <v>184</v>
      </c>
      <c r="B17" s="81">
        <f>'Exhibit 3-Financial Statements'!B4+'Exhibit 3-Financial Statements'!B10+'Exhibit 3-Financial Statements'!B15</f>
        <v>1067</v>
      </c>
      <c r="C17" s="81">
        <f>'Exhibit 3-Financial Statements'!C4+'Exhibit 3-Financial Statements'!C10+'Exhibit 3-Financial Statements'!C15</f>
        <v>1424</v>
      </c>
      <c r="D17" s="81">
        <f>'Exhibit 3-Financial Statements'!D4+'Exhibit 3-Financial Statements'!D10+'Exhibit 3-Financial Statements'!D15</f>
        <v>1320</v>
      </c>
      <c r="E17" s="81">
        <f>'Exhibit 3-Financial Statements'!E4+'Exhibit 3-Financial Statements'!E10+'Exhibit 3-Financial Statements'!E15</f>
        <v>1282</v>
      </c>
      <c r="F17" s="81">
        <f>'Exhibit 3-Financial Statements'!F4+'Exhibit 3-Financial Statements'!F10+'Exhibit 3-Financial Statements'!F15</f>
        <v>1196</v>
      </c>
      <c r="G17" s="81">
        <f>'Exhibit 3-Financial Statements'!G4+'Exhibit 3-Financial Statements'!G10+'Exhibit 3-Financial Statements'!G15</f>
        <v>1153</v>
      </c>
    </row>
    <row r="18" spans="1:7" x14ac:dyDescent="0.25">
      <c r="A18" s="80" t="s">
        <v>59</v>
      </c>
      <c r="B18" s="86">
        <f>B13</f>
        <v>0.67999999999999994</v>
      </c>
      <c r="C18" s="86">
        <f t="shared" ref="C18:G18" si="17">C13</f>
        <v>0.65600000000000003</v>
      </c>
      <c r="D18" s="86">
        <f t="shared" si="17"/>
        <v>0.65600000000000003</v>
      </c>
      <c r="E18" s="86">
        <f t="shared" si="17"/>
        <v>0.65600000000000003</v>
      </c>
      <c r="F18" s="86">
        <f t="shared" si="17"/>
        <v>0.65600000000000003</v>
      </c>
      <c r="G18" s="86">
        <f t="shared" si="17"/>
        <v>0.62</v>
      </c>
    </row>
    <row r="19" spans="1:7" x14ac:dyDescent="0.25">
      <c r="A19" s="82" t="s">
        <v>185</v>
      </c>
      <c r="B19" s="87">
        <f>SUM('Exhibit 3-Financial Statements'!B3,'Exhibit 3-Financial Statements'!B8,'Exhibit 3-Financial Statements'!B19)</f>
        <v>32</v>
      </c>
      <c r="C19" s="87">
        <f>SUM('Exhibit 3-Financial Statements'!C3,'Exhibit 3-Financial Statements'!C8,'Exhibit 3-Financial Statements'!C19)</f>
        <v>-116</v>
      </c>
      <c r="D19" s="87">
        <f>SUM('Exhibit 3-Financial Statements'!D3,'Exhibit 3-Financial Statements'!D8,'Exhibit 3-Financial Statements'!D19)</f>
        <v>44</v>
      </c>
      <c r="E19" s="87">
        <f>SUM('Exhibit 3-Financial Statements'!E3,'Exhibit 3-Financial Statements'!E8,'Exhibit 3-Financial Statements'!E19)</f>
        <v>76</v>
      </c>
      <c r="F19" s="87">
        <f>SUM('Exhibit 3-Financial Statements'!F3,'Exhibit 3-Financial Statements'!F8,'Exhibit 3-Financial Statements'!F19)</f>
        <v>80</v>
      </c>
      <c r="G19" s="87">
        <f>SUM('Exhibit 3-Financial Statements'!G3,'Exhibit 3-Financial Statements'!G8,'Exhibit 3-Financial Statements'!G19)</f>
        <v>105</v>
      </c>
    </row>
    <row r="20" spans="1:7" x14ac:dyDescent="0.25">
      <c r="A20" s="84" t="s">
        <v>186</v>
      </c>
      <c r="B20" s="79">
        <f>B17*B18+B19</f>
        <v>757.56</v>
      </c>
      <c r="C20" s="79">
        <f t="shared" ref="C20:G20" si="18">C17*C18+C19</f>
        <v>818.14400000000001</v>
      </c>
      <c r="D20" s="79">
        <f t="shared" si="18"/>
        <v>909.92000000000007</v>
      </c>
      <c r="E20" s="79">
        <f t="shared" si="18"/>
        <v>916.99200000000008</v>
      </c>
      <c r="F20" s="79">
        <f t="shared" si="18"/>
        <v>864.57600000000002</v>
      </c>
      <c r="G20" s="79">
        <f t="shared" si="18"/>
        <v>819.86</v>
      </c>
    </row>
    <row r="21" spans="1:7" x14ac:dyDescent="0.25">
      <c r="A21" s="78" t="s">
        <v>88</v>
      </c>
      <c r="B21" s="85">
        <f t="shared" ref="B21:C21" si="19">B24</f>
        <v>215.55999999999997</v>
      </c>
      <c r="C21" s="85">
        <f t="shared" si="19"/>
        <v>247.31200000000001</v>
      </c>
      <c r="D21" s="85">
        <f t="shared" ref="D21:E21" si="20">D24</f>
        <v>259.3065420744739</v>
      </c>
      <c r="E21" s="85">
        <f t="shared" si="20"/>
        <v>328.91758692737403</v>
      </c>
      <c r="F21" s="85">
        <f t="shared" ref="F21:G21" si="21">F24</f>
        <v>376.6907026446201</v>
      </c>
      <c r="G21" s="85">
        <f t="shared" si="21"/>
        <v>350.66393318576706</v>
      </c>
    </row>
    <row r="22" spans="1:7" x14ac:dyDescent="0.25">
      <c r="A22" s="82" t="s">
        <v>187</v>
      </c>
      <c r="B22" s="81">
        <f>-1*'Exhibit 3-Financial Statements'!B16</f>
        <v>317</v>
      </c>
      <c r="C22" s="81">
        <f>-1*'Exhibit 3-Financial Statements'!C16</f>
        <v>377</v>
      </c>
      <c r="D22" s="81">
        <f>-1*'Exhibit 3-Financial Statements'!D16</f>
        <v>395.28436291840535</v>
      </c>
      <c r="E22" s="81">
        <f>-1*'Exhibit 3-Financial Statements'!E16</f>
        <v>501.3987605600214</v>
      </c>
      <c r="F22" s="81">
        <f>-1*'Exhibit 3-Financial Statements'!F16</f>
        <v>574.22363208021352</v>
      </c>
      <c r="G22" s="81">
        <f>-1*'Exhibit 3-Financial Statements'!G16</f>
        <v>565.58698900930176</v>
      </c>
    </row>
    <row r="23" spans="1:7" x14ac:dyDescent="0.25">
      <c r="A23" s="80" t="s">
        <v>59</v>
      </c>
      <c r="B23" s="89">
        <f>B18</f>
        <v>0.67999999999999994</v>
      </c>
      <c r="C23" s="89">
        <f t="shared" ref="C23:G23" si="22">C18</f>
        <v>0.65600000000000003</v>
      </c>
      <c r="D23" s="89">
        <f t="shared" si="22"/>
        <v>0.65600000000000003</v>
      </c>
      <c r="E23" s="89">
        <f t="shared" si="22"/>
        <v>0.65600000000000003</v>
      </c>
      <c r="F23" s="89">
        <f t="shared" si="22"/>
        <v>0.65600000000000003</v>
      </c>
      <c r="G23" s="89">
        <f t="shared" si="22"/>
        <v>0.62</v>
      </c>
    </row>
    <row r="24" spans="1:7" x14ac:dyDescent="0.25">
      <c r="A24" s="84" t="s">
        <v>188</v>
      </c>
      <c r="B24" s="79">
        <f t="shared" ref="B24" si="23">B23*B22</f>
        <v>215.55999999999997</v>
      </c>
      <c r="C24" s="79">
        <f t="shared" ref="C24:D24" si="24">C23*C22</f>
        <v>247.31200000000001</v>
      </c>
      <c r="D24" s="79">
        <f t="shared" si="24"/>
        <v>259.3065420744739</v>
      </c>
      <c r="E24" s="79">
        <f t="shared" ref="E24:G24" si="25">E23*E22</f>
        <v>328.91758692737403</v>
      </c>
      <c r="F24" s="79">
        <f t="shared" si="25"/>
        <v>376.6907026446201</v>
      </c>
      <c r="G24" s="79">
        <f t="shared" si="25"/>
        <v>350.66393318576706</v>
      </c>
    </row>
    <row r="25" spans="1:7" ht="15.75" thickBot="1" x14ac:dyDescent="0.3">
      <c r="A25" s="90" t="s">
        <v>89</v>
      </c>
      <c r="B25" s="75">
        <f t="shared" ref="B25:C25" si="26">B10+B16-B21</f>
        <v>858</v>
      </c>
      <c r="C25" s="75">
        <f t="shared" si="26"/>
        <v>225</v>
      </c>
      <c r="D25" s="75">
        <f t="shared" ref="D25:E25" si="27">D10+D16-D21</f>
        <v>-44.999999999999091</v>
      </c>
      <c r="E25" s="75">
        <f t="shared" si="27"/>
        <v>-366.00000000000193</v>
      </c>
      <c r="F25" s="75">
        <f t="shared" ref="F25:G25" si="28">F10+F16-F21</f>
        <v>945.99999999999955</v>
      </c>
      <c r="G25" s="75">
        <f t="shared" si="28"/>
        <v>1140</v>
      </c>
    </row>
    <row r="26" spans="1:7" ht="16.5" thickTop="1" thickBot="1" x14ac:dyDescent="0.3">
      <c r="A26" s="91"/>
      <c r="B26" s="75"/>
      <c r="C26" s="75"/>
      <c r="D26" s="75"/>
      <c r="E26" s="75"/>
      <c r="F26" s="75"/>
      <c r="G26" s="75"/>
    </row>
    <row r="27" spans="1:7" ht="15.75" thickTop="1" x14ac:dyDescent="0.25">
      <c r="A27" s="76" t="s">
        <v>12</v>
      </c>
      <c r="B27" s="92">
        <v>2020</v>
      </c>
      <c r="C27" s="92">
        <v>2019</v>
      </c>
      <c r="D27" s="92">
        <v>2018</v>
      </c>
      <c r="E27" s="92">
        <v>2017</v>
      </c>
      <c r="F27" s="92">
        <v>2016</v>
      </c>
      <c r="G27" s="92">
        <v>2015</v>
      </c>
    </row>
    <row r="28" spans="1:7" x14ac:dyDescent="0.25">
      <c r="A28" s="78" t="s">
        <v>90</v>
      </c>
      <c r="B28" s="73"/>
      <c r="C28" s="73"/>
      <c r="D28" s="73"/>
      <c r="E28" s="73"/>
      <c r="F28" s="73"/>
      <c r="G28" s="73"/>
    </row>
    <row r="29" spans="1:7" x14ac:dyDescent="0.25">
      <c r="A29" s="80" t="s">
        <v>54</v>
      </c>
      <c r="B29" s="81">
        <f>MIN('Exhibit 3-Financial Statements'!B57,'Condensed statements'!B2*'Condensed statements'!B5)</f>
        <v>2828.76</v>
      </c>
      <c r="C29" s="81">
        <f>MIN('Exhibit 3-Financial Statements'!C57,'Condensed statements'!C2*'Condensed statements'!C5)</f>
        <v>2895.88</v>
      </c>
      <c r="D29" s="81">
        <f>MIN('Exhibit 3-Financial Statements'!D57,'Condensed statements'!D2*'Condensed statements'!D5)</f>
        <v>3040</v>
      </c>
      <c r="E29" s="81">
        <f>MIN('Exhibit 3-Financial Statements'!E57,'Condensed statements'!E2*'Condensed statements'!E5)</f>
        <v>3155.88</v>
      </c>
      <c r="F29" s="81">
        <f>MIN('Exhibit 3-Financial Statements'!F57,'Condensed statements'!F2*'Condensed statements'!F5)</f>
        <v>3065.8</v>
      </c>
      <c r="G29" s="81">
        <f>MIN('Exhibit 3-Financial Statements'!G57,'Condensed statements'!G2*'Condensed statements'!G5)</f>
        <v>2724</v>
      </c>
    </row>
    <row r="30" spans="1:7" x14ac:dyDescent="0.25">
      <c r="A30" s="82" t="s">
        <v>55</v>
      </c>
      <c r="B30" s="81">
        <f>'Exhibit 3-Financial Statements'!B54</f>
        <v>2526</v>
      </c>
      <c r="C30" s="81">
        <f>'Exhibit 3-Financial Statements'!C54</f>
        <v>2669</v>
      </c>
      <c r="D30" s="81">
        <f>'Exhibit 3-Financial Statements'!D54</f>
        <v>2537</v>
      </c>
      <c r="E30" s="81">
        <f>'Exhibit 3-Financial Statements'!E54</f>
        <v>2750</v>
      </c>
      <c r="F30" s="81">
        <f>'Exhibit 3-Financial Statements'!F54</f>
        <v>2682</v>
      </c>
      <c r="G30" s="81">
        <f>'Exhibit 3-Financial Statements'!G54</f>
        <v>2269</v>
      </c>
    </row>
    <row r="31" spans="1:7" x14ac:dyDescent="0.25">
      <c r="A31" s="80" t="s">
        <v>13</v>
      </c>
      <c r="B31" s="81">
        <f>'Exhibit 3-Financial Statements'!B53</f>
        <v>5326</v>
      </c>
      <c r="C31" s="81">
        <f>'Exhibit 3-Financial Statements'!C53</f>
        <v>5867</v>
      </c>
      <c r="D31" s="81">
        <f>'Exhibit 3-Financial Statements'!D53</f>
        <v>6135</v>
      </c>
      <c r="E31" s="81">
        <f>'Exhibit 3-Financial Statements'!E53</f>
        <v>6690</v>
      </c>
      <c r="F31" s="81">
        <f>'Exhibit 3-Financial Statements'!F53</f>
        <v>7039</v>
      </c>
      <c r="G31" s="81">
        <f>'Exhibit 3-Financial Statements'!G53</f>
        <v>6362</v>
      </c>
    </row>
    <row r="32" spans="1:7" x14ac:dyDescent="0.25">
      <c r="A32" s="80" t="s">
        <v>14</v>
      </c>
      <c r="B32" s="81">
        <f>'Exhibit 3-Financial Statements'!B56</f>
        <v>1395</v>
      </c>
      <c r="C32" s="81">
        <f>'Exhibit 3-Financial Statements'!C56</f>
        <v>1577</v>
      </c>
      <c r="D32" s="81">
        <f>'Exhibit 3-Financial Statements'!D56</f>
        <v>1740</v>
      </c>
      <c r="E32" s="81">
        <f>'Exhibit 3-Financial Statements'!E56</f>
        <v>1741</v>
      </c>
      <c r="F32" s="81">
        <f>'Exhibit 3-Financial Statements'!F56</f>
        <v>1951</v>
      </c>
      <c r="G32" s="81">
        <f>'Exhibit 3-Financial Statements'!G56</f>
        <v>1873</v>
      </c>
    </row>
    <row r="33" spans="1:7" x14ac:dyDescent="0.25">
      <c r="A33" s="80" t="s">
        <v>15</v>
      </c>
      <c r="B33" s="81">
        <f>-'Exhibit 3-Financial Statements'!B69</f>
        <v>-12560</v>
      </c>
      <c r="C33" s="81">
        <f>-'Exhibit 3-Financial Statements'!C69</f>
        <v>-13646</v>
      </c>
      <c r="D33" s="81">
        <f>-'Exhibit 3-Financial Statements'!D69</f>
        <v>-14161</v>
      </c>
      <c r="E33" s="81">
        <f>-'Exhibit 3-Financial Statements'!E69</f>
        <v>-15082</v>
      </c>
      <c r="F33" s="81">
        <f>-'Exhibit 3-Financial Statements'!F69</f>
        <v>-15396</v>
      </c>
      <c r="G33" s="81">
        <f>-'Exhibit 3-Financial Statements'!G69</f>
        <v>-13648</v>
      </c>
    </row>
    <row r="34" spans="1:7" x14ac:dyDescent="0.25">
      <c r="A34" s="80" t="s">
        <v>16</v>
      </c>
      <c r="B34" s="83">
        <f>-'Exhibit 3-Financial Statements'!B71</f>
        <v>-3656</v>
      </c>
      <c r="C34" s="83">
        <f>-'Exhibit 3-Financial Statements'!C71</f>
        <v>-3744</v>
      </c>
      <c r="D34" s="83">
        <f>-'Exhibit 3-Financial Statements'!D71</f>
        <v>-4080</v>
      </c>
      <c r="E34" s="83">
        <f>-'Exhibit 3-Financial Statements'!E71</f>
        <v>-4095</v>
      </c>
      <c r="F34" s="83">
        <f>-'Exhibit 3-Financial Statements'!F71</f>
        <v>-4413</v>
      </c>
      <c r="G34" s="83">
        <f>-'Exhibit 3-Financial Statements'!G71</f>
        <v>-4341</v>
      </c>
    </row>
    <row r="35" spans="1:7" x14ac:dyDescent="0.25">
      <c r="A35" s="84" t="s">
        <v>190</v>
      </c>
      <c r="B35" s="79">
        <f>SUM(B29:B34)</f>
        <v>-4140.24</v>
      </c>
      <c r="C35" s="79">
        <f t="shared" ref="C35:G35" si="29">SUM(C29:C34)</f>
        <v>-4381.119999999999</v>
      </c>
      <c r="D35" s="79">
        <f t="shared" si="29"/>
        <v>-4789</v>
      </c>
      <c r="E35" s="79">
        <f t="shared" si="29"/>
        <v>-4840.119999999999</v>
      </c>
      <c r="F35" s="79">
        <f t="shared" si="29"/>
        <v>-5071.2000000000007</v>
      </c>
      <c r="G35" s="79">
        <f t="shared" si="29"/>
        <v>-4761</v>
      </c>
    </row>
    <row r="36" spans="1:7" x14ac:dyDescent="0.25">
      <c r="A36" s="88" t="s">
        <v>91</v>
      </c>
      <c r="B36" s="73"/>
      <c r="C36" s="73"/>
      <c r="D36" s="73"/>
      <c r="E36" s="73"/>
      <c r="F36" s="73"/>
      <c r="G36" s="73"/>
    </row>
    <row r="37" spans="1:7" x14ac:dyDescent="0.25">
      <c r="A37" s="80" t="s">
        <v>17</v>
      </c>
      <c r="B37" s="81">
        <f>'Exhibit 3-Financial Statements'!B45</f>
        <v>15011</v>
      </c>
      <c r="C37" s="81">
        <f>'Exhibit 3-Financial Statements'!C45</f>
        <v>15759</v>
      </c>
      <c r="D37" s="81">
        <f>'Exhibit 3-Financial Statements'!D45</f>
        <v>15877</v>
      </c>
      <c r="E37" s="81">
        <f>'Exhibit 3-Financial Statements'!E45</f>
        <v>16463</v>
      </c>
      <c r="F37" s="81">
        <f>'Exhibit 3-Financial Statements'!F45</f>
        <v>16668</v>
      </c>
      <c r="G37" s="81">
        <f>'Exhibit 3-Financial Statements'!G45</f>
        <v>15156</v>
      </c>
    </row>
    <row r="38" spans="1:7" x14ac:dyDescent="0.25">
      <c r="A38" s="82" t="s">
        <v>106</v>
      </c>
      <c r="B38" s="81">
        <f>'Exhibit 3-Financial Statements'!B46</f>
        <v>8034</v>
      </c>
      <c r="C38" s="81">
        <f>'Exhibit 3-Financial Statements'!C46</f>
        <v>7976</v>
      </c>
      <c r="D38" s="81">
        <f>'Exhibit 3-Financial Statements'!D46</f>
        <v>7983</v>
      </c>
      <c r="E38" s="81">
        <f>'Exhibit 3-Financial Statements'!E46</f>
        <v>7977</v>
      </c>
      <c r="F38" s="81">
        <f>'Exhibit 3-Financial Statements'!F46</f>
        <v>8640</v>
      </c>
      <c r="G38" s="81">
        <f>'Exhibit 3-Financial Statements'!G46</f>
        <v>8495</v>
      </c>
    </row>
    <row r="39" spans="1:7" x14ac:dyDescent="0.25">
      <c r="A39" s="82" t="s">
        <v>107</v>
      </c>
      <c r="B39" s="81">
        <f>'Exhibit 3-Financial Statements'!B47</f>
        <v>1325</v>
      </c>
      <c r="C39" s="81">
        <f>'Exhibit 3-Financial Statements'!C47</f>
        <v>1452</v>
      </c>
      <c r="D39" s="81">
        <f>'Exhibit 3-Financial Statements'!D47</f>
        <v>1461</v>
      </c>
      <c r="E39" s="81">
        <f>'Exhibit 3-Financial Statements'!E47</f>
        <v>1364</v>
      </c>
      <c r="F39" s="81">
        <f>'Exhibit 3-Financial Statements'!F47</f>
        <v>1266</v>
      </c>
      <c r="G39" s="81">
        <f>'Exhibit 3-Financial Statements'!G47</f>
        <v>1014</v>
      </c>
    </row>
    <row r="40" spans="1:7" x14ac:dyDescent="0.25">
      <c r="A40" s="82" t="s">
        <v>92</v>
      </c>
      <c r="B40" s="81">
        <v>0</v>
      </c>
      <c r="C40" s="81">
        <v>0</v>
      </c>
      <c r="D40" s="81">
        <v>0</v>
      </c>
      <c r="E40" s="81">
        <v>0</v>
      </c>
      <c r="F40" s="81">
        <v>0</v>
      </c>
      <c r="G40" s="81">
        <v>0</v>
      </c>
    </row>
    <row r="41" spans="1:7" x14ac:dyDescent="0.25">
      <c r="A41" s="80" t="s">
        <v>93</v>
      </c>
      <c r="B41" s="81">
        <f>-('Exhibit 3-Financial Statements'!B67-'Exhibit 3-Financial Statements'!B51)</f>
        <v>212</v>
      </c>
      <c r="C41" s="81">
        <f>-('Exhibit 3-Financial Statements'!C67-'Exhibit 3-Financial Statements'!C51)</f>
        <v>168</v>
      </c>
      <c r="D41" s="81">
        <f>-('Exhibit 3-Financial Statements'!D67-'Exhibit 3-Financial Statements'!D51)</f>
        <v>182</v>
      </c>
      <c r="E41" s="81">
        <f>-('Exhibit 3-Financial Statements'!E67-'Exhibit 3-Financial Statements'!E51)</f>
        <v>147</v>
      </c>
      <c r="F41" s="81">
        <f>-('Exhibit 3-Financial Statements'!F67-'Exhibit 3-Financial Statements'!F51)</f>
        <v>286</v>
      </c>
      <c r="G41" s="81">
        <f>-('Exhibit 3-Financial Statements'!G67-'Exhibit 3-Financial Statements'!G51)</f>
        <v>236</v>
      </c>
    </row>
    <row r="42" spans="1:7" ht="30" x14ac:dyDescent="0.25">
      <c r="A42" s="80" t="s">
        <v>18</v>
      </c>
      <c r="B42" s="93">
        <v>0</v>
      </c>
      <c r="C42" s="93">
        <v>0</v>
      </c>
      <c r="D42" s="93">
        <v>0</v>
      </c>
      <c r="E42" s="93">
        <v>0</v>
      </c>
      <c r="F42" s="93">
        <v>0</v>
      </c>
      <c r="G42" s="93">
        <v>0</v>
      </c>
    </row>
    <row r="43" spans="1:7" x14ac:dyDescent="0.25">
      <c r="A43" s="94" t="s">
        <v>94</v>
      </c>
      <c r="B43" s="95">
        <f>SUM(B37:B42)</f>
        <v>24582</v>
      </c>
      <c r="C43" s="95">
        <f t="shared" ref="C43:G43" si="30">SUM(C37:C42)</f>
        <v>25355</v>
      </c>
      <c r="D43" s="95">
        <f t="shared" si="30"/>
        <v>25503</v>
      </c>
      <c r="E43" s="95">
        <f t="shared" si="30"/>
        <v>25951</v>
      </c>
      <c r="F43" s="95">
        <f t="shared" si="30"/>
        <v>26860</v>
      </c>
      <c r="G43" s="95">
        <f t="shared" si="30"/>
        <v>24901</v>
      </c>
    </row>
    <row r="44" spans="1:7" x14ac:dyDescent="0.25">
      <c r="A44" s="88" t="s">
        <v>95</v>
      </c>
      <c r="B44" s="79"/>
      <c r="C44" s="79"/>
      <c r="D44" s="79"/>
      <c r="E44" s="79"/>
      <c r="F44" s="79"/>
      <c r="G44" s="79"/>
    </row>
    <row r="45" spans="1:7" x14ac:dyDescent="0.25">
      <c r="A45" s="80" t="s">
        <v>56</v>
      </c>
      <c r="B45" s="96">
        <f>MAX(0,'Exhibit 3-Financial Statements'!B57-'Condensed statements'!B29)</f>
        <v>1610.2399999999998</v>
      </c>
      <c r="C45" s="96">
        <f>MAX(0,'Exhibit 3-Financial Statements'!C57-'Condensed statements'!C29)</f>
        <v>1570.12</v>
      </c>
      <c r="D45" s="96">
        <f>MAX(0,'Exhibit 3-Financial Statements'!D57-'Condensed statements'!D29)</f>
        <v>1260</v>
      </c>
      <c r="E45" s="96">
        <f>MAX(0,'Exhibit 3-Financial Statements'!E57-'Condensed statements'!E29)</f>
        <v>437.11999999999989</v>
      </c>
      <c r="F45" s="96">
        <f>MAX(0,'Exhibit 3-Financial Statements'!F57-'Condensed statements'!F29)</f>
        <v>239.19999999999982</v>
      </c>
      <c r="G45" s="96">
        <f>MAX(0,'Exhibit 3-Financial Statements'!G57-'Condensed statements'!G29)</f>
        <v>0</v>
      </c>
    </row>
    <row r="46" spans="1:7" x14ac:dyDescent="0.25">
      <c r="A46" s="80" t="s">
        <v>19</v>
      </c>
      <c r="B46" s="81">
        <f>'Exhibit 3-Financial Statements'!B49</f>
        <v>1172</v>
      </c>
      <c r="C46" s="81">
        <f>'Exhibit 3-Financial Statements'!C49</f>
        <v>1246</v>
      </c>
      <c r="D46" s="81">
        <f>'Exhibit 3-Financial Statements'!D49</f>
        <v>1374</v>
      </c>
      <c r="E46" s="81">
        <f>'Exhibit 3-Financial Statements'!E49</f>
        <v>1355</v>
      </c>
      <c r="F46" s="81">
        <f>'Exhibit 3-Financial Statements'!F49</f>
        <v>1361</v>
      </c>
      <c r="G46" s="81">
        <f>'Exhibit 3-Financial Statements'!G49</f>
        <v>1433</v>
      </c>
    </row>
    <row r="47" spans="1:7" x14ac:dyDescent="0.25">
      <c r="A47" s="80" t="s">
        <v>20</v>
      </c>
      <c r="B47" s="81">
        <f>'Exhibit 3-Financial Statements'!B50</f>
        <v>2329</v>
      </c>
      <c r="C47" s="81">
        <f>'Exhibit 3-Financial Statements'!C50</f>
        <v>2640</v>
      </c>
      <c r="D47" s="81">
        <f>'Exhibit 3-Financial Statements'!D50</f>
        <v>2233</v>
      </c>
      <c r="E47" s="81">
        <f>'Exhibit 3-Financial Statements'!E50</f>
        <v>2275</v>
      </c>
      <c r="F47" s="81">
        <f>'Exhibit 3-Financial Statements'!F50</f>
        <v>2063</v>
      </c>
      <c r="G47" s="81">
        <f>'Exhibit 3-Financial Statements'!G50</f>
        <v>2032</v>
      </c>
    </row>
    <row r="48" spans="1:7" x14ac:dyDescent="0.25">
      <c r="A48" s="82" t="s">
        <v>167</v>
      </c>
      <c r="B48" s="81">
        <f>SUM('Exhibit 3-Financial Statements'!B48,'Exhibit 3-Financial Statements'!B55,-'Exhibit 3-Financial Statements'!B66,-'Exhibit 3-Financial Statements'!B70)</f>
        <v>655</v>
      </c>
      <c r="C48" s="81">
        <f>SUM('Exhibit 3-Financial Statements'!C48,'Exhibit 3-Financial Statements'!C55,-'Exhibit 3-Financial Statements'!C66,-'Exhibit 3-Financial Statements'!C70)</f>
        <v>761</v>
      </c>
      <c r="D48" s="81">
        <f>SUM('Exhibit 3-Financial Statements'!D48,'Exhibit 3-Financial Statements'!D55,-'Exhibit 3-Financial Statements'!D66,-'Exhibit 3-Financial Statements'!D70)</f>
        <v>694</v>
      </c>
      <c r="E48" s="81">
        <f>SUM('Exhibit 3-Financial Statements'!E48,'Exhibit 3-Financial Statements'!E55,-'Exhibit 3-Financial Statements'!E66,-'Exhibit 3-Financial Statements'!E70)</f>
        <v>843</v>
      </c>
      <c r="F48" s="81">
        <f>SUM('Exhibit 3-Financial Statements'!F48,'Exhibit 3-Financial Statements'!F55,-'Exhibit 3-Financial Statements'!F66,-'Exhibit 3-Financial Statements'!F70)</f>
        <v>943</v>
      </c>
      <c r="G48" s="81">
        <f>SUM('Exhibit 3-Financial Statements'!G48,'Exhibit 3-Financial Statements'!G55,-'Exhibit 3-Financial Statements'!G66,-'Exhibit 3-Financial Statements'!G70)</f>
        <v>760</v>
      </c>
    </row>
    <row r="49" spans="1:7" ht="15.75" thickBot="1" x14ac:dyDescent="0.3">
      <c r="A49" s="84" t="s">
        <v>191</v>
      </c>
      <c r="B49" s="97">
        <f>SUM(B45:B48)</f>
        <v>5766.24</v>
      </c>
      <c r="C49" s="97">
        <f t="shared" ref="C49:G49" si="31">SUM(C45:C48)</f>
        <v>6217.12</v>
      </c>
      <c r="D49" s="97">
        <f t="shared" si="31"/>
        <v>5561</v>
      </c>
      <c r="E49" s="97">
        <f t="shared" si="31"/>
        <v>4910.12</v>
      </c>
      <c r="F49" s="97">
        <f t="shared" si="31"/>
        <v>4606.2</v>
      </c>
      <c r="G49" s="97">
        <f t="shared" si="31"/>
        <v>4225</v>
      </c>
    </row>
    <row r="50" spans="1:7" ht="15.75" thickTop="1" x14ac:dyDescent="0.25">
      <c r="A50" s="78" t="s">
        <v>96</v>
      </c>
      <c r="B50" s="79">
        <f t="shared" ref="B50:C50" si="32">SUM(B35,B43,B49)</f>
        <v>26208</v>
      </c>
      <c r="C50" s="79">
        <f t="shared" si="32"/>
        <v>27191</v>
      </c>
      <c r="D50" s="79">
        <f t="shared" ref="D50:E50" si="33">SUM(D35,D43,D49)</f>
        <v>26275</v>
      </c>
      <c r="E50" s="79">
        <f t="shared" si="33"/>
        <v>26021</v>
      </c>
      <c r="F50" s="79">
        <f t="shared" ref="F50:G50" si="34">SUM(F35,F43,F49)</f>
        <v>26395</v>
      </c>
      <c r="G50" s="79">
        <f t="shared" si="34"/>
        <v>24365</v>
      </c>
    </row>
    <row r="51" spans="1:7" x14ac:dyDescent="0.25">
      <c r="A51" s="78"/>
      <c r="B51" s="98"/>
      <c r="C51" s="98"/>
      <c r="D51" s="98"/>
      <c r="E51" s="98"/>
      <c r="F51" s="98"/>
      <c r="G51" s="79"/>
    </row>
    <row r="52" spans="1:7" x14ac:dyDescent="0.25">
      <c r="A52" s="78" t="s">
        <v>97</v>
      </c>
      <c r="B52" s="98"/>
      <c r="C52" s="98"/>
      <c r="D52" s="98"/>
      <c r="E52" s="98"/>
      <c r="F52" s="98"/>
      <c r="G52" s="73"/>
    </row>
    <row r="53" spans="1:7" x14ac:dyDescent="0.25">
      <c r="A53" s="80" t="s">
        <v>21</v>
      </c>
      <c r="B53" s="81">
        <f>'Exhibit 3-Financial Statements'!B72</f>
        <v>2020</v>
      </c>
      <c r="C53" s="81">
        <f>'Exhibit 3-Financial Statements'!C72</f>
        <v>1909</v>
      </c>
      <c r="D53" s="81">
        <f>'Exhibit 3-Financial Statements'!D72</f>
        <v>1339</v>
      </c>
      <c r="E53" s="81">
        <f>'Exhibit 3-Financial Statements'!E72</f>
        <v>1069</v>
      </c>
      <c r="F53" s="81">
        <f>'Exhibit 3-Financial Statements'!F72</f>
        <v>1875</v>
      </c>
      <c r="G53" s="81">
        <f>'Exhibit 3-Financial Statements'!G72</f>
        <v>966</v>
      </c>
    </row>
    <row r="54" spans="1:7" x14ac:dyDescent="0.25">
      <c r="A54" s="80" t="s">
        <v>22</v>
      </c>
      <c r="B54" s="81">
        <f>'Exhibit 3-Financial Statements'!B65</f>
        <v>12976</v>
      </c>
      <c r="C54" s="81">
        <f>'Exhibit 3-Financial Statements'!C65</f>
        <v>13595</v>
      </c>
      <c r="D54" s="81">
        <f>'Exhibit 3-Financial Statements'!D65</f>
        <v>13696</v>
      </c>
      <c r="E54" s="81">
        <f>'Exhibit 3-Financial Statements'!E65</f>
        <v>12797</v>
      </c>
      <c r="F54" s="81">
        <f>'Exhibit 3-Financial Statements'!F65</f>
        <v>12526</v>
      </c>
      <c r="G54" s="81">
        <f>'Exhibit 3-Financial Statements'!G65</f>
        <v>12761</v>
      </c>
    </row>
    <row r="55" spans="1:7" x14ac:dyDescent="0.25">
      <c r="A55" s="82" t="s">
        <v>60</v>
      </c>
      <c r="B55" s="99">
        <f>0</f>
        <v>0</v>
      </c>
      <c r="C55" s="99">
        <f>0</f>
        <v>0</v>
      </c>
      <c r="D55" s="99">
        <f>0</f>
        <v>0</v>
      </c>
      <c r="E55" s="99">
        <f>0</f>
        <v>0</v>
      </c>
      <c r="F55" s="99">
        <f>0</f>
        <v>0</v>
      </c>
      <c r="G55" s="99">
        <f>0</f>
        <v>0</v>
      </c>
    </row>
    <row r="56" spans="1:7" x14ac:dyDescent="0.25">
      <c r="A56" s="84" t="s">
        <v>192</v>
      </c>
      <c r="B56" s="79">
        <f t="shared" ref="B56:C56" si="35">SUM(B53:B55)</f>
        <v>14996</v>
      </c>
      <c r="C56" s="79">
        <f t="shared" si="35"/>
        <v>15504</v>
      </c>
      <c r="D56" s="79">
        <f t="shared" ref="D56:E56" si="36">SUM(D53:D55)</f>
        <v>15035</v>
      </c>
      <c r="E56" s="79">
        <f t="shared" si="36"/>
        <v>13866</v>
      </c>
      <c r="F56" s="79">
        <f t="shared" ref="F56:G56" si="37">SUM(F53:F55)</f>
        <v>14401</v>
      </c>
      <c r="G56" s="79">
        <f t="shared" si="37"/>
        <v>13727</v>
      </c>
    </row>
    <row r="57" spans="1:7" x14ac:dyDescent="0.25">
      <c r="A57" s="88" t="s">
        <v>98</v>
      </c>
      <c r="B57" s="73"/>
      <c r="C57" s="73"/>
      <c r="D57" s="73"/>
      <c r="E57" s="73"/>
      <c r="F57" s="73"/>
      <c r="G57" s="73"/>
    </row>
    <row r="58" spans="1:7" x14ac:dyDescent="0.25">
      <c r="A58" s="80" t="s">
        <v>23</v>
      </c>
      <c r="B58" s="81">
        <f>'Exhibit 3-Financial Statements'!B63</f>
        <v>9795</v>
      </c>
      <c r="C58" s="81">
        <f>'Exhibit 3-Financial Statements'!C63</f>
        <v>9939</v>
      </c>
      <c r="D58" s="81">
        <f>'Exhibit 3-Financial Statements'!D63</f>
        <v>9169</v>
      </c>
      <c r="E58" s="81">
        <f>'Exhibit 3-Financial Statements'!E63</f>
        <v>10061</v>
      </c>
      <c r="F58" s="81">
        <f>'Exhibit 3-Financial Statements'!F63</f>
        <v>10427</v>
      </c>
      <c r="G58" s="81">
        <f>'Exhibit 3-Financial Statements'!G63</f>
        <v>9631</v>
      </c>
    </row>
    <row r="59" spans="1:7" x14ac:dyDescent="0.25">
      <c r="A59" s="82" t="s">
        <v>168</v>
      </c>
      <c r="B59" s="81">
        <f>'Exhibit 3-Financial Statements'!B64</f>
        <v>1502</v>
      </c>
      <c r="C59" s="81">
        <f>'Exhibit 3-Financial Statements'!C64</f>
        <v>1736</v>
      </c>
      <c r="D59" s="81">
        <f>'Exhibit 3-Financial Statements'!D64</f>
        <v>2117</v>
      </c>
      <c r="E59" s="81">
        <f>'Exhibit 3-Financial Statements'!E64</f>
        <v>2099</v>
      </c>
      <c r="F59" s="81">
        <f>'Exhibit 3-Financial Statements'!F64</f>
        <v>1582</v>
      </c>
      <c r="G59" s="81">
        <f>'Exhibit 3-Financial Statements'!G64</f>
        <v>1039</v>
      </c>
    </row>
    <row r="60" spans="1:7" x14ac:dyDescent="0.25">
      <c r="A60" s="82" t="s">
        <v>193</v>
      </c>
      <c r="B60" s="83">
        <f>-('Exhibit 3-Financial Statements'!B59-'Exhibit 3-Financial Statements'!B74)</f>
        <v>-85</v>
      </c>
      <c r="C60" s="83">
        <f>-('Exhibit 3-Financial Statements'!C59-'Exhibit 3-Financial Statements'!C74)</f>
        <v>12</v>
      </c>
      <c r="D60" s="83">
        <f>-('Exhibit 3-Financial Statements'!D59-'Exhibit 3-Financial Statements'!D74)</f>
        <v>-46</v>
      </c>
      <c r="E60" s="83">
        <f>-('Exhibit 3-Financial Statements'!E59-'Exhibit 3-Financial Statements'!E74)</f>
        <v>-5</v>
      </c>
      <c r="F60" s="83">
        <f>-('Exhibit 3-Financial Statements'!F59-'Exhibit 3-Financial Statements'!F74)</f>
        <v>-15</v>
      </c>
      <c r="G60" s="83">
        <f>-('Exhibit 3-Financial Statements'!G59-'Exhibit 3-Financial Statements'!G74)</f>
        <v>-32</v>
      </c>
    </row>
    <row r="61" spans="1:7" ht="15.75" thickBot="1" x14ac:dyDescent="0.3">
      <c r="A61" s="84" t="s">
        <v>99</v>
      </c>
      <c r="B61" s="97">
        <f>SUM(B58:B60)</f>
        <v>11212</v>
      </c>
      <c r="C61" s="97">
        <f t="shared" ref="C61:G61" si="38">SUM(C58:C60)</f>
        <v>11687</v>
      </c>
      <c r="D61" s="97">
        <f t="shared" si="38"/>
        <v>11240</v>
      </c>
      <c r="E61" s="97">
        <f t="shared" si="38"/>
        <v>12155</v>
      </c>
      <c r="F61" s="97">
        <f t="shared" si="38"/>
        <v>11994</v>
      </c>
      <c r="G61" s="97">
        <f t="shared" si="38"/>
        <v>10638</v>
      </c>
    </row>
    <row r="62" spans="1:7" ht="16.5" thickTop="1" thickBot="1" x14ac:dyDescent="0.3">
      <c r="A62" s="90" t="s">
        <v>100</v>
      </c>
      <c r="B62" s="75">
        <f t="shared" ref="B62:C62" si="39">SUM(B56,B61)</f>
        <v>26208</v>
      </c>
      <c r="C62" s="75">
        <f t="shared" si="39"/>
        <v>27191</v>
      </c>
      <c r="D62" s="75">
        <f t="shared" ref="D62:E62" si="40">SUM(D56,D61)</f>
        <v>26275</v>
      </c>
      <c r="E62" s="75">
        <f t="shared" si="40"/>
        <v>26021</v>
      </c>
      <c r="F62" s="75">
        <f t="shared" ref="F62:G62" si="41">SUM(F56,F61)</f>
        <v>26395</v>
      </c>
      <c r="G62" s="75">
        <f t="shared" si="41"/>
        <v>24365</v>
      </c>
    </row>
    <row r="63" spans="1:7" ht="16.5" thickTop="1" thickBot="1" x14ac:dyDescent="0.3">
      <c r="A63" s="2"/>
      <c r="B63" s="12"/>
      <c r="C63" s="12"/>
      <c r="D63" s="12"/>
      <c r="E63" s="12"/>
      <c r="F63" s="12"/>
      <c r="G63" s="12"/>
    </row>
    <row r="64" spans="1:7" ht="50.25" customHeight="1" thickTop="1" x14ac:dyDescent="0.25">
      <c r="A64" s="52" t="s">
        <v>175</v>
      </c>
      <c r="B64" s="9">
        <v>2020</v>
      </c>
      <c r="C64" s="9">
        <v>2019</v>
      </c>
      <c r="D64" s="9">
        <v>2018</v>
      </c>
      <c r="E64" s="9">
        <v>2017</v>
      </c>
      <c r="F64" s="9">
        <v>2016</v>
      </c>
      <c r="G64" s="9">
        <v>2015</v>
      </c>
    </row>
    <row r="65" spans="1:11" x14ac:dyDescent="0.25">
      <c r="A65" s="5" t="s">
        <v>80</v>
      </c>
      <c r="B65" s="10">
        <f>'Exhibit 3-Financial Statements'!B2+'Exhibit 3-Financial Statements'!B4</f>
        <v>71618</v>
      </c>
      <c r="C65" s="10">
        <f>'Exhibit 3-Financial Statements'!C2+'Exhibit 3-Financial Statements'!C4</f>
        <v>73565</v>
      </c>
      <c r="D65" s="10">
        <f>'Exhibit 3-Financial Statements'!D2+'Exhibit 3-Financial Statements'!D4</f>
        <v>77049</v>
      </c>
      <c r="E65" s="10">
        <f>'Exhibit 3-Financial Statements'!E2+'Exhibit 3-Financial Statements'!E4</f>
        <v>79902</v>
      </c>
      <c r="F65" s="10">
        <f>'Exhibit 3-Financial Statements'!F2+'Exhibit 3-Financial Statements'!F4</f>
        <v>77601</v>
      </c>
      <c r="G65" s="10">
        <f>'Exhibit 3-Financial Statements'!G2+'Exhibit 3-Financial Statements'!G4</f>
        <v>77814</v>
      </c>
    </row>
    <row r="66" spans="1:11" x14ac:dyDescent="0.25">
      <c r="A66" s="5" t="s">
        <v>85</v>
      </c>
      <c r="B66" s="10">
        <f t="shared" ref="B66" si="42">B70</f>
        <v>927.31999999999994</v>
      </c>
      <c r="C66" s="10">
        <f t="shared" ref="C66:G66" si="43">C70</f>
        <v>420.37599999999998</v>
      </c>
      <c r="D66" s="10">
        <f t="shared" si="43"/>
        <v>-7.4694579255252052</v>
      </c>
      <c r="E66" s="10">
        <f t="shared" si="43"/>
        <v>-294.79441307262778</v>
      </c>
      <c r="F66" s="10">
        <f t="shared" si="43"/>
        <v>1085.2507026446197</v>
      </c>
      <c r="G66" s="10">
        <f t="shared" si="43"/>
        <v>1209.5839331857669</v>
      </c>
    </row>
    <row r="67" spans="1:11" x14ac:dyDescent="0.25">
      <c r="A67" s="11" t="s">
        <v>81</v>
      </c>
      <c r="B67" s="7">
        <f>'Exhibit 3-Financial Statements'!B21-'Exhibit 3-Financial Statements'!B20</f>
        <v>858</v>
      </c>
      <c r="C67" s="7">
        <f>'Exhibit 3-Financial Statements'!C21-'Exhibit 3-Financial Statements'!C20</f>
        <v>225</v>
      </c>
      <c r="D67" s="7">
        <f>'Exhibit 3-Financial Statements'!D21-'Exhibit 3-Financial Statements'!D20</f>
        <v>-44.999999999999091</v>
      </c>
      <c r="E67" s="7">
        <f>'Exhibit 3-Financial Statements'!E21-'Exhibit 3-Financial Statements'!E20</f>
        <v>-366.00000000000182</v>
      </c>
      <c r="F67" s="7">
        <f>'Exhibit 3-Financial Statements'!F21-'Exhibit 3-Financial Statements'!F20</f>
        <v>945.99999999999955</v>
      </c>
      <c r="G67" s="7">
        <f>'Exhibit 3-Financial Statements'!G21-'Exhibit 3-Financial Statements'!G20</f>
        <v>1140</v>
      </c>
    </row>
    <row r="68" spans="1:11" x14ac:dyDescent="0.25">
      <c r="A68" s="15" t="s">
        <v>189</v>
      </c>
      <c r="B68" s="7">
        <f t="shared" ref="B68" si="44">-B76</f>
        <v>-146.24</v>
      </c>
      <c r="C68" s="7">
        <f t="shared" ref="C68:G68" si="45">-C76</f>
        <v>-51.936000000000007</v>
      </c>
      <c r="D68" s="7">
        <f t="shared" si="45"/>
        <v>-221.77600000000001</v>
      </c>
      <c r="E68" s="7">
        <f t="shared" si="45"/>
        <v>-257.71199999999999</v>
      </c>
      <c r="F68" s="7">
        <f t="shared" si="45"/>
        <v>-237.44</v>
      </c>
      <c r="G68" s="7">
        <f t="shared" si="45"/>
        <v>-281.08000000000004</v>
      </c>
    </row>
    <row r="69" spans="1:11" x14ac:dyDescent="0.25">
      <c r="A69" s="15" t="s">
        <v>53</v>
      </c>
      <c r="B69" s="4">
        <f t="shared" ref="B69" si="46">B81</f>
        <v>215.55999999999997</v>
      </c>
      <c r="C69" s="4">
        <f t="shared" ref="C69:G69" si="47">C81</f>
        <v>247.31200000000001</v>
      </c>
      <c r="D69" s="4">
        <f t="shared" si="47"/>
        <v>259.3065420744739</v>
      </c>
      <c r="E69" s="4">
        <f t="shared" si="47"/>
        <v>328.91758692737403</v>
      </c>
      <c r="F69" s="4">
        <f t="shared" si="47"/>
        <v>376.6907026446201</v>
      </c>
      <c r="G69" s="4">
        <f t="shared" si="47"/>
        <v>350.66393318576706</v>
      </c>
    </row>
    <row r="70" spans="1:11" x14ac:dyDescent="0.25">
      <c r="A70" s="16" t="s">
        <v>180</v>
      </c>
      <c r="B70" s="10">
        <f t="shared" ref="B70" si="48">SUM(B67:B69)</f>
        <v>927.31999999999994</v>
      </c>
      <c r="C70" s="10">
        <f t="shared" ref="C70:G70" si="49">SUM(C67:C69)</f>
        <v>420.37599999999998</v>
      </c>
      <c r="D70" s="10">
        <f t="shared" si="49"/>
        <v>-7.4694579255252052</v>
      </c>
      <c r="E70" s="10">
        <f t="shared" si="49"/>
        <v>-294.79441307262778</v>
      </c>
      <c r="F70" s="10">
        <f t="shared" si="49"/>
        <v>1085.2507026446197</v>
      </c>
      <c r="G70" s="10">
        <f t="shared" si="49"/>
        <v>1209.5839331857669</v>
      </c>
      <c r="K70" s="7"/>
    </row>
    <row r="71" spans="1:11" x14ac:dyDescent="0.25">
      <c r="A71" s="5" t="s">
        <v>86</v>
      </c>
      <c r="B71" s="6">
        <f t="shared" ref="B71" si="50">B75</f>
        <v>339.76</v>
      </c>
      <c r="C71" s="6">
        <f t="shared" ref="C71:G71" si="51">C75</f>
        <v>785.45600000000002</v>
      </c>
      <c r="D71" s="6">
        <f t="shared" si="51"/>
        <v>840.71199999999999</v>
      </c>
      <c r="E71" s="6">
        <f t="shared" si="51"/>
        <v>1094.7760000000001</v>
      </c>
      <c r="F71" s="6">
        <f t="shared" si="51"/>
        <v>166.35200000000003</v>
      </c>
      <c r="G71" s="6">
        <f t="shared" si="51"/>
        <v>132.62</v>
      </c>
    </row>
    <row r="72" spans="1:11" x14ac:dyDescent="0.25">
      <c r="A72" s="15" t="s">
        <v>181</v>
      </c>
      <c r="B72" s="7">
        <f>-1*SUM('Exhibit 3-Financial Statements'!B12,'Exhibit 3-Financial Statements'!B13,'Exhibit 3-Financial Statements'!B14)</f>
        <v>507</v>
      </c>
      <c r="C72" s="7">
        <f>-1*SUM('Exhibit 3-Financial Statements'!C12,'Exhibit 3-Financial Statements'!C13,'Exhibit 3-Financial Statements'!C14)</f>
        <v>1051</v>
      </c>
      <c r="D72" s="7">
        <f>-1*SUM('Exhibit 3-Financial Statements'!D12,'Exhibit 3-Financial Statements'!D13,'Exhibit 3-Financial Statements'!D14)</f>
        <v>1152</v>
      </c>
      <c r="E72" s="7">
        <f>-1*SUM('Exhibit 3-Financial Statements'!E12,'Exhibit 3-Financial Statements'!E13,'Exhibit 3-Financial Statements'!E14)</f>
        <v>1396</v>
      </c>
      <c r="F72" s="7">
        <f>-1*SUM('Exhibit 3-Financial Statements'!F12,'Exhibit 3-Financial Statements'!F13,'Exhibit 3-Financial Statements'!F14)</f>
        <v>467</v>
      </c>
      <c r="G72" s="7">
        <f>-1*SUM('Exhibit 3-Financial Statements'!G12,'Exhibit 3-Financial Statements'!G13,'Exhibit 3-Financial Statements'!G14)</f>
        <v>351</v>
      </c>
    </row>
    <row r="73" spans="1:11" x14ac:dyDescent="0.25">
      <c r="A73" s="11" t="s">
        <v>59</v>
      </c>
      <c r="B73" s="49">
        <f>(1-'Exhibit 3-Financial Statements'!B35)</f>
        <v>0.67999999999999994</v>
      </c>
      <c r="C73" s="49">
        <f>(1-'Exhibit 3-Financial Statements'!C35)</f>
        <v>0.65600000000000003</v>
      </c>
      <c r="D73" s="49">
        <f>(1-'Exhibit 3-Financial Statements'!D35)</f>
        <v>0.65600000000000003</v>
      </c>
      <c r="E73" s="49">
        <f>(1-'Exhibit 3-Financial Statements'!E35)</f>
        <v>0.65600000000000003</v>
      </c>
      <c r="F73" s="49">
        <f>(1-'Exhibit 3-Financial Statements'!F35)</f>
        <v>0.65600000000000003</v>
      </c>
      <c r="G73" s="49">
        <f>(1-'Exhibit 3-Financial Statements'!G35)</f>
        <v>0.62</v>
      </c>
    </row>
    <row r="74" spans="1:11" x14ac:dyDescent="0.25">
      <c r="A74" s="15" t="s">
        <v>182</v>
      </c>
      <c r="B74" s="50">
        <f>-1*'Exhibit 3-Financial Statements'!B33</f>
        <v>-5</v>
      </c>
      <c r="C74" s="50">
        <f>-1*'Exhibit 3-Financial Statements'!C33</f>
        <v>96</v>
      </c>
      <c r="D74" s="50">
        <f>-1*'Exhibit 3-Financial Statements'!D33</f>
        <v>85</v>
      </c>
      <c r="E74" s="50">
        <f>-1*'Exhibit 3-Financial Statements'!E33</f>
        <v>179</v>
      </c>
      <c r="F74" s="50">
        <f>-1*'Exhibit 3-Financial Statements'!F33</f>
        <v>-140</v>
      </c>
      <c r="G74" s="50">
        <f>-1*'Exhibit 3-Financial Statements'!G33</f>
        <v>-85</v>
      </c>
    </row>
    <row r="75" spans="1:11" x14ac:dyDescent="0.25">
      <c r="A75" s="16" t="s">
        <v>183</v>
      </c>
      <c r="B75" s="10">
        <f>B73*B72+B74</f>
        <v>339.76</v>
      </c>
      <c r="C75" s="10">
        <f t="shared" ref="C75:G75" si="52">C73*C72+C74</f>
        <v>785.45600000000002</v>
      </c>
      <c r="D75" s="10">
        <f t="shared" si="52"/>
        <v>840.71199999999999</v>
      </c>
      <c r="E75" s="10">
        <f t="shared" si="52"/>
        <v>1094.7760000000001</v>
      </c>
      <c r="F75" s="10">
        <f t="shared" si="52"/>
        <v>166.35200000000003</v>
      </c>
      <c r="G75" s="10">
        <f t="shared" si="52"/>
        <v>132.62</v>
      </c>
    </row>
    <row r="76" spans="1:11" x14ac:dyDescent="0.25">
      <c r="A76" s="27" t="s">
        <v>87</v>
      </c>
      <c r="B76" s="6">
        <f t="shared" ref="B76" si="53">B80</f>
        <v>146.24</v>
      </c>
      <c r="C76" s="6">
        <f t="shared" ref="C76:G76" si="54">C80</f>
        <v>51.936000000000007</v>
      </c>
      <c r="D76" s="6">
        <f t="shared" si="54"/>
        <v>221.77600000000001</v>
      </c>
      <c r="E76" s="6">
        <f t="shared" si="54"/>
        <v>257.71199999999999</v>
      </c>
      <c r="F76" s="6">
        <f t="shared" si="54"/>
        <v>237.44</v>
      </c>
      <c r="G76" s="6">
        <f t="shared" si="54"/>
        <v>281.08000000000004</v>
      </c>
    </row>
    <row r="77" spans="1:11" x14ac:dyDescent="0.25">
      <c r="A77" s="56" t="s">
        <v>184</v>
      </c>
      <c r="B77" s="7">
        <f>'Exhibit 3-Financial Statements'!B10+'Exhibit 3-Financial Statements'!B15</f>
        <v>168</v>
      </c>
      <c r="C77" s="7">
        <f>'Exhibit 3-Financial Statements'!C10+'Exhibit 3-Financial Statements'!C15</f>
        <v>256</v>
      </c>
      <c r="D77" s="7">
        <f>'Exhibit 3-Financial Statements'!D10+'Exhibit 3-Financial Statements'!D15</f>
        <v>271</v>
      </c>
      <c r="E77" s="7">
        <f>'Exhibit 3-Financial Statements'!E10+'Exhibit 3-Financial Statements'!E15</f>
        <v>277</v>
      </c>
      <c r="F77" s="7">
        <f>'Exhibit 3-Financial Statements'!F10+'Exhibit 3-Financial Statements'!F15</f>
        <v>240</v>
      </c>
      <c r="G77" s="7">
        <f>'Exhibit 3-Financial Statements'!G10+'Exhibit 3-Financial Statements'!G15</f>
        <v>284</v>
      </c>
    </row>
    <row r="78" spans="1:11" x14ac:dyDescent="0.25">
      <c r="A78" s="11" t="s">
        <v>59</v>
      </c>
      <c r="B78" s="49">
        <f>B73</f>
        <v>0.67999999999999994</v>
      </c>
      <c r="C78" s="49">
        <f t="shared" ref="C78:G78" si="55">C73</f>
        <v>0.65600000000000003</v>
      </c>
      <c r="D78" s="49">
        <f t="shared" si="55"/>
        <v>0.65600000000000003</v>
      </c>
      <c r="E78" s="49">
        <f t="shared" si="55"/>
        <v>0.65600000000000003</v>
      </c>
      <c r="F78" s="49">
        <f t="shared" si="55"/>
        <v>0.65600000000000003</v>
      </c>
      <c r="G78" s="49">
        <f t="shared" si="55"/>
        <v>0.62</v>
      </c>
    </row>
    <row r="79" spans="1:11" x14ac:dyDescent="0.25">
      <c r="A79" s="56" t="s">
        <v>185</v>
      </c>
      <c r="B79" s="50">
        <f>SUM('Exhibit 3-Financial Statements'!B3,'Exhibit 3-Financial Statements'!B8,'Exhibit 3-Financial Statements'!B19)</f>
        <v>32</v>
      </c>
      <c r="C79" s="50">
        <f>SUM('Exhibit 3-Financial Statements'!C3,'Exhibit 3-Financial Statements'!C8,'Exhibit 3-Financial Statements'!C19)</f>
        <v>-116</v>
      </c>
      <c r="D79" s="50">
        <f>SUM('Exhibit 3-Financial Statements'!D3,'Exhibit 3-Financial Statements'!D8,'Exhibit 3-Financial Statements'!D19)</f>
        <v>44</v>
      </c>
      <c r="E79" s="50">
        <f>SUM('Exhibit 3-Financial Statements'!E3,'Exhibit 3-Financial Statements'!E8,'Exhibit 3-Financial Statements'!E19)</f>
        <v>76</v>
      </c>
      <c r="F79" s="50">
        <f>SUM('Exhibit 3-Financial Statements'!F3,'Exhibit 3-Financial Statements'!F8,'Exhibit 3-Financial Statements'!F19)</f>
        <v>80</v>
      </c>
      <c r="G79" s="50">
        <f>SUM('Exhibit 3-Financial Statements'!G3,'Exhibit 3-Financial Statements'!G8,'Exhibit 3-Financial Statements'!G19)</f>
        <v>105</v>
      </c>
    </row>
    <row r="80" spans="1:11" x14ac:dyDescent="0.25">
      <c r="A80" s="16" t="s">
        <v>186</v>
      </c>
      <c r="B80" s="10">
        <f>B77*B78+B79</f>
        <v>146.24</v>
      </c>
      <c r="C80" s="10">
        <f t="shared" ref="C80:G80" si="56">C77*C78+C79</f>
        <v>51.936000000000007</v>
      </c>
      <c r="D80" s="10">
        <f t="shared" si="56"/>
        <v>221.77600000000001</v>
      </c>
      <c r="E80" s="10">
        <f t="shared" si="56"/>
        <v>257.71199999999999</v>
      </c>
      <c r="F80" s="10">
        <f t="shared" si="56"/>
        <v>237.44</v>
      </c>
      <c r="G80" s="10">
        <f t="shared" si="56"/>
        <v>281.08000000000004</v>
      </c>
    </row>
    <row r="81" spans="1:7" x14ac:dyDescent="0.25">
      <c r="A81" s="5" t="s">
        <v>88</v>
      </c>
      <c r="B81" s="6">
        <f t="shared" ref="B81" si="57">B84</f>
        <v>215.55999999999997</v>
      </c>
      <c r="C81" s="6">
        <f t="shared" ref="C81:G81" si="58">C84</f>
        <v>247.31200000000001</v>
      </c>
      <c r="D81" s="6">
        <f t="shared" si="58"/>
        <v>259.3065420744739</v>
      </c>
      <c r="E81" s="6">
        <f t="shared" si="58"/>
        <v>328.91758692737403</v>
      </c>
      <c r="F81" s="6">
        <f t="shared" si="58"/>
        <v>376.6907026446201</v>
      </c>
      <c r="G81" s="6">
        <f t="shared" si="58"/>
        <v>350.66393318576706</v>
      </c>
    </row>
    <row r="82" spans="1:7" x14ac:dyDescent="0.25">
      <c r="A82" s="15" t="s">
        <v>187</v>
      </c>
      <c r="B82" s="7">
        <f>-1*'Exhibit 3-Financial Statements'!B16</f>
        <v>317</v>
      </c>
      <c r="C82" s="7">
        <f>-1*'Exhibit 3-Financial Statements'!C16</f>
        <v>377</v>
      </c>
      <c r="D82" s="7">
        <f>-1*'Exhibit 3-Financial Statements'!D16</f>
        <v>395.28436291840535</v>
      </c>
      <c r="E82" s="7">
        <f>-1*'Exhibit 3-Financial Statements'!E16</f>
        <v>501.3987605600214</v>
      </c>
      <c r="F82" s="7">
        <f>-1*'Exhibit 3-Financial Statements'!F16</f>
        <v>574.22363208021352</v>
      </c>
      <c r="G82" s="7">
        <f>-1*'Exhibit 3-Financial Statements'!G16</f>
        <v>565.58698900930176</v>
      </c>
    </row>
    <row r="83" spans="1:7" x14ac:dyDescent="0.25">
      <c r="A83" s="11" t="s">
        <v>59</v>
      </c>
      <c r="B83" s="14">
        <f>B78</f>
        <v>0.67999999999999994</v>
      </c>
      <c r="C83" s="14">
        <f t="shared" ref="C83:G83" si="59">C78</f>
        <v>0.65600000000000003</v>
      </c>
      <c r="D83" s="14">
        <f t="shared" si="59"/>
        <v>0.65600000000000003</v>
      </c>
      <c r="E83" s="14">
        <f t="shared" si="59"/>
        <v>0.65600000000000003</v>
      </c>
      <c r="F83" s="14">
        <f t="shared" si="59"/>
        <v>0.65600000000000003</v>
      </c>
      <c r="G83" s="14">
        <f t="shared" si="59"/>
        <v>0.62</v>
      </c>
    </row>
    <row r="84" spans="1:7" x14ac:dyDescent="0.25">
      <c r="A84" s="16" t="s">
        <v>188</v>
      </c>
      <c r="B84" s="10">
        <f t="shared" ref="B84" si="60">B83*B82</f>
        <v>215.55999999999997</v>
      </c>
      <c r="C84" s="10">
        <f t="shared" ref="C84:G84" si="61">C83*C82</f>
        <v>247.31200000000001</v>
      </c>
      <c r="D84" s="10">
        <f t="shared" si="61"/>
        <v>259.3065420744739</v>
      </c>
      <c r="E84" s="10">
        <f t="shared" si="61"/>
        <v>328.91758692737403</v>
      </c>
      <c r="F84" s="10">
        <f t="shared" si="61"/>
        <v>376.6907026446201</v>
      </c>
      <c r="G84" s="10">
        <f t="shared" si="61"/>
        <v>350.66393318576706</v>
      </c>
    </row>
    <row r="85" spans="1:7" ht="15.75" thickBot="1" x14ac:dyDescent="0.3">
      <c r="A85" s="13" t="s">
        <v>89</v>
      </c>
      <c r="B85" s="12">
        <f t="shared" ref="B85" si="62">B70+B76-B81</f>
        <v>858</v>
      </c>
      <c r="C85" s="12">
        <f t="shared" ref="C85:G85" si="63">C70+C76-C81</f>
        <v>225</v>
      </c>
      <c r="D85" s="12">
        <f t="shared" si="63"/>
        <v>-44.999999999999091</v>
      </c>
      <c r="E85" s="12">
        <f t="shared" si="63"/>
        <v>-366.00000000000182</v>
      </c>
      <c r="F85" s="12">
        <f t="shared" si="63"/>
        <v>945.99999999999955</v>
      </c>
      <c r="G85" s="12">
        <f t="shared" si="63"/>
        <v>1139.9999999999998</v>
      </c>
    </row>
    <row r="86" spans="1:7" ht="15.75" thickTop="1" x14ac:dyDescent="0.25"/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A1:J72"/>
  <sheetViews>
    <sheetView topLeftCell="A43" zoomScaleNormal="100" workbookViewId="0">
      <selection activeCell="B35" sqref="B35"/>
    </sheetView>
  </sheetViews>
  <sheetFormatPr defaultColWidth="9.140625" defaultRowHeight="15" x14ac:dyDescent="0.25"/>
  <cols>
    <col min="1" max="1" width="41.85546875" style="1" customWidth="1"/>
    <col min="2" max="6" width="14" style="1" customWidth="1"/>
    <col min="7" max="16384" width="9.140625" style="1"/>
  </cols>
  <sheetData>
    <row r="1" spans="1:7" x14ac:dyDescent="0.25">
      <c r="A1" s="3"/>
    </row>
    <row r="2" spans="1:7" x14ac:dyDescent="0.25">
      <c r="A2" s="58" t="s">
        <v>26</v>
      </c>
      <c r="B2" s="59">
        <v>2020</v>
      </c>
      <c r="C2" s="59">
        <v>2019</v>
      </c>
      <c r="D2" s="59">
        <v>2018</v>
      </c>
      <c r="E2" s="59">
        <v>2017</v>
      </c>
      <c r="F2" s="59">
        <v>2016</v>
      </c>
    </row>
    <row r="3" spans="1:7" x14ac:dyDescent="0.25">
      <c r="A3" s="2" t="s">
        <v>27</v>
      </c>
      <c r="B3" s="18">
        <f>'Condensed statements'!B25/AVERAGE('Condensed statements'!B61,'Condensed statements'!C61)</f>
        <v>7.493777020830604E-2</v>
      </c>
      <c r="C3" s="18">
        <f>'Condensed statements'!C25/AVERAGE('Condensed statements'!C61,'Condensed statements'!D61)</f>
        <v>1.9627513412134166E-2</v>
      </c>
      <c r="D3" s="18">
        <f>'Condensed statements'!D25/AVERAGE('Condensed statements'!D61,'Condensed statements'!E61)</f>
        <v>-3.8469758495404223E-3</v>
      </c>
      <c r="E3" s="18">
        <f>'Condensed statements'!E25/AVERAGE('Condensed statements'!E61,'Condensed statements'!F61)</f>
        <v>-3.0311814153795347E-2</v>
      </c>
      <c r="F3" s="18">
        <f>'Condensed statements'!F25/AVERAGE('Condensed statements'!F61,'Condensed statements'!G61)</f>
        <v>8.3598444680098929E-2</v>
      </c>
      <c r="G3" s="23"/>
    </row>
    <row r="4" spans="1:7" x14ac:dyDescent="0.25">
      <c r="A4" s="2" t="s">
        <v>174</v>
      </c>
      <c r="B4" s="18">
        <f>'Condensed statements'!B10/AVERAGE('Condensed statements'!B35+'Condensed statements'!B43,'Condensed statements'!C35+'Condensed statements'!C43)</f>
        <v>1.5259935618524789E-2</v>
      </c>
      <c r="C4" s="18">
        <f>'Condensed statements'!C10/AVERAGE('Condensed statements'!C35+'Condensed statements'!C43,'Condensed statements'!D35+'Condensed statements'!D43)</f>
        <v>-1.6591488941150281E-2</v>
      </c>
      <c r="D4" s="18">
        <f>'Condensed statements'!D10/AVERAGE('Condensed statements'!D35+'Condensed statements'!D43,'Condensed statements'!E35+'Condensed statements'!E43)</f>
        <v>-3.3263141839284423E-2</v>
      </c>
      <c r="E4" s="18">
        <f>'Condensed statements'!E10/AVERAGE('Condensed statements'!E35+'Condensed statements'!E43,'Condensed statements'!F35+'Condensed statements'!F43)</f>
        <v>-4.4479325396955316E-2</v>
      </c>
      <c r="F4" s="18">
        <f>'Condensed statements'!F10/AVERAGE('Condensed statements'!F35+'Condensed statements'!F43,'Condensed statements'!G35+'Condensed statements'!G43)</f>
        <v>2.1852030234331514E-2</v>
      </c>
      <c r="G4" s="23"/>
    </row>
    <row r="5" spans="1:7" x14ac:dyDescent="0.25">
      <c r="A5" s="8"/>
      <c r="B5" s="18"/>
      <c r="C5" s="18"/>
      <c r="D5" s="18"/>
      <c r="E5" s="18"/>
      <c r="F5" s="18"/>
      <c r="G5" s="23"/>
    </row>
    <row r="6" spans="1:7" x14ac:dyDescent="0.25">
      <c r="A6" s="3" t="s">
        <v>211</v>
      </c>
    </row>
    <row r="7" spans="1:7" x14ac:dyDescent="0.25">
      <c r="A7" s="58" t="s">
        <v>26</v>
      </c>
      <c r="B7" s="59">
        <v>2020</v>
      </c>
      <c r="C7" s="59">
        <v>2019</v>
      </c>
      <c r="D7" s="59">
        <v>2018</v>
      </c>
      <c r="E7" s="59">
        <v>2017</v>
      </c>
      <c r="F7" s="59">
        <v>2016</v>
      </c>
    </row>
    <row r="8" spans="1:7" x14ac:dyDescent="0.25">
      <c r="A8" s="2" t="s">
        <v>28</v>
      </c>
      <c r="B8" s="18">
        <f>'Condensed statements'!B25/'Condensed statements'!B5</f>
        <v>1.2132524498366775E-2</v>
      </c>
      <c r="C8" s="18">
        <f>'Condensed statements'!C25/'Condensed statements'!C5</f>
        <v>3.1078635855076868E-3</v>
      </c>
      <c r="D8" s="18">
        <f>'Condensed statements'!D25/'Condensed statements'!D5</f>
        <v>-5.9210526315788274E-4</v>
      </c>
      <c r="E8" s="18">
        <f>'Condensed statements'!E25/'Condensed statements'!E5</f>
        <v>-4.6389596562607192E-3</v>
      </c>
      <c r="F8" s="18">
        <f>'Condensed statements'!F25/'Condensed statements'!F5</f>
        <v>1.2342618566116506E-2</v>
      </c>
    </row>
    <row r="9" spans="1:7" x14ac:dyDescent="0.25">
      <c r="A9" s="2" t="s">
        <v>29</v>
      </c>
      <c r="B9" s="19">
        <f>'Condensed statements'!B5/AVERAGE('Exhibit 3-Financial Statements'!B60,'Exhibit 3-Financial Statements'!C60)</f>
        <v>1.4375241386319748</v>
      </c>
      <c r="C9" s="19">
        <f>'Condensed statements'!C5/AVERAGE('Exhibit 3-Financial Statements'!C60,'Exhibit 3-Financial Statements'!D60)</f>
        <v>1.4276812037192241</v>
      </c>
      <c r="D9" s="19">
        <f>'Condensed statements'!D5/AVERAGE('Exhibit 3-Financial Statements'!D60,'Exhibit 3-Financial Statements'!E60)</f>
        <v>1.4931531071337354</v>
      </c>
      <c r="E9" s="19">
        <f>'Condensed statements'!E5/AVERAGE('Exhibit 3-Financial Statements'!E60,'Exhibit 3-Financial Statements'!F60)</f>
        <v>1.5276941397438255</v>
      </c>
      <c r="F9" s="19">
        <f>'Condensed statements'!F5/AVERAGE('Exhibit 3-Financial Statements'!F60,'Exhibit 3-Financial Statements'!G60)</f>
        <v>1.5285436505958019</v>
      </c>
    </row>
    <row r="10" spans="1:7" x14ac:dyDescent="0.25">
      <c r="A10" s="60" t="s">
        <v>194</v>
      </c>
      <c r="B10" s="18">
        <f t="shared" ref="B10" si="0">B8*B9</f>
        <v>1.7440796828946031E-2</v>
      </c>
      <c r="C10" s="18">
        <f t="shared" ref="C10:F10" si="1">C8*C9</f>
        <v>4.4370384247527581E-3</v>
      </c>
      <c r="D10" s="18">
        <f t="shared" si="1"/>
        <v>-8.8410381343443072E-4</v>
      </c>
      <c r="E10" s="18">
        <f t="shared" si="1"/>
        <v>-7.086911481377532E-3</v>
      </c>
      <c r="F10" s="18">
        <f t="shared" si="1"/>
        <v>1.8866231240963247E-2</v>
      </c>
    </row>
    <row r="11" spans="1:7" x14ac:dyDescent="0.25">
      <c r="A11" s="2" t="s">
        <v>30</v>
      </c>
      <c r="B11" s="19">
        <f>AVERAGE('Exhibit 3-Financial Statements'!B60,'Exhibit 3-Financial Statements'!C60)/AVERAGE('Condensed statements'!B61,'Condensed statements'!C61)</f>
        <v>4.2966941787851001</v>
      </c>
      <c r="C11" s="19">
        <f>AVERAGE('Exhibit 3-Financial Statements'!C60,'Exhibit 3-Financial Statements'!D60)/AVERAGE('Condensed statements'!C61,'Condensed statements'!D61)</f>
        <v>4.4235617394338549</v>
      </c>
      <c r="D11" s="19">
        <f>AVERAGE('Exhibit 3-Financial Statements'!D60,'Exhibit 3-Financial Statements'!E60)/AVERAGE('Condensed statements'!D61,'Condensed statements'!E61)</f>
        <v>4.3512716392391537</v>
      </c>
      <c r="E11" s="19">
        <f>AVERAGE('Exhibit 3-Financial Statements'!E60,'Exhibit 3-Financial Statements'!F60)/AVERAGE('Condensed statements'!E61,'Condensed statements'!F61)</f>
        <v>4.2771543335127751</v>
      </c>
      <c r="F11" s="19">
        <f>AVERAGE('Exhibit 3-Financial Statements'!F60,'Exhibit 3-Financial Statements'!G60)/AVERAGE('Condensed statements'!F61,'Condensed statements'!G61)</f>
        <v>4.431115235065394</v>
      </c>
    </row>
    <row r="12" spans="1:7" x14ac:dyDescent="0.25">
      <c r="A12" s="60" t="s">
        <v>195</v>
      </c>
      <c r="B12" s="18">
        <f t="shared" ref="B12" si="2">B10*B11</f>
        <v>7.493777020830604E-2</v>
      </c>
      <c r="C12" s="18">
        <f t="shared" ref="C12:F12" si="3">C10*C11</f>
        <v>1.9627513412134163E-2</v>
      </c>
      <c r="D12" s="18">
        <f t="shared" si="3"/>
        <v>-3.8469758495404223E-3</v>
      </c>
      <c r="E12" s="18">
        <f t="shared" si="3"/>
        <v>-3.0311814153795351E-2</v>
      </c>
      <c r="F12" s="18">
        <f t="shared" si="3"/>
        <v>8.3598444680098929E-2</v>
      </c>
    </row>
    <row r="14" spans="1:7" x14ac:dyDescent="0.25">
      <c r="A14" s="3"/>
    </row>
    <row r="15" spans="1:7" x14ac:dyDescent="0.25">
      <c r="A15" s="3" t="s">
        <v>202</v>
      </c>
      <c r="B15" s="59">
        <v>2020</v>
      </c>
      <c r="C15" s="59">
        <v>2019</v>
      </c>
      <c r="D15" s="59">
        <v>2018</v>
      </c>
      <c r="E15" s="59">
        <v>2017</v>
      </c>
      <c r="F15" s="59">
        <v>2016</v>
      </c>
    </row>
    <row r="16" spans="1:7" x14ac:dyDescent="0.25">
      <c r="A16" s="2" t="s">
        <v>31</v>
      </c>
      <c r="B16" s="18">
        <f>'Condensed statements'!B10/'Condensed statements'!B5</f>
        <v>4.4683889760884629E-3</v>
      </c>
      <c r="C16" s="18">
        <f>'Condensed statements'!C10/'Condensed statements'!C5</f>
        <v>-4.776883020014641E-3</v>
      </c>
      <c r="D16" s="18">
        <f>'Condensed statements'!D10/'Condensed statements'!D5</f>
        <v>-9.1528086569148057E-3</v>
      </c>
      <c r="E16" s="18">
        <f>'Condensed statements'!E10/'Condensed statements'!E5</f>
        <v>-1.2092657681187219E-2</v>
      </c>
      <c r="F16" s="18">
        <f>'Condensed statements'!F10/'Condensed statements'!F5</f>
        <v>5.9770983448968569E-3</v>
      </c>
    </row>
    <row r="17" spans="1:10" x14ac:dyDescent="0.25">
      <c r="A17" s="2" t="s">
        <v>32</v>
      </c>
      <c r="B17" s="19">
        <f>'Condensed statements'!B5/AVERAGE('Condensed statements'!B35+'Condensed statements'!B43,'Condensed statements'!C35+'Condensed statements'!C43)</f>
        <v>3.4150866677419449</v>
      </c>
      <c r="C17" s="19">
        <f>'Condensed statements'!C5/AVERAGE('Condensed statements'!C35+'Condensed statements'!C43,'Condensed statements'!D35+'Condensed statements'!D43)</f>
        <v>3.473287679776472</v>
      </c>
      <c r="D17" s="19">
        <f>'Condensed statements'!D5/AVERAGE('Condensed statements'!D35+'Condensed statements'!D43,'Condensed statements'!E35+'Condensed statements'!E43)</f>
        <v>3.6342005045800487</v>
      </c>
      <c r="E17" s="19">
        <f>'Condensed statements'!E5/AVERAGE('Condensed statements'!E35+'Condensed statements'!E43,'Condensed statements'!F35+'Condensed statements'!F43)</f>
        <v>3.6782092547077272</v>
      </c>
      <c r="F17" s="19">
        <f>'Condensed statements'!F5/AVERAGE('Condensed statements'!F35+'Condensed statements'!F43,'Condensed statements'!G35+'Condensed statements'!G43)</f>
        <v>3.6559596267959016</v>
      </c>
    </row>
    <row r="18" spans="1:10" x14ac:dyDescent="0.25">
      <c r="A18" s="2" t="s">
        <v>173</v>
      </c>
      <c r="B18" s="18">
        <f t="shared" ref="B18" si="4">B16*B17</f>
        <v>1.5259935618524789E-2</v>
      </c>
      <c r="C18" s="18">
        <f t="shared" ref="C18:F18" si="5">C16*C17</f>
        <v>-1.6591488941150277E-2</v>
      </c>
      <c r="D18" s="18">
        <f t="shared" si="5"/>
        <v>-3.3263141839284423E-2</v>
      </c>
      <c r="E18" s="18">
        <f t="shared" si="5"/>
        <v>-4.4479325396955316E-2</v>
      </c>
      <c r="F18" s="18">
        <f t="shared" si="5"/>
        <v>2.1852030234331514E-2</v>
      </c>
    </row>
    <row r="19" spans="1:10" x14ac:dyDescent="0.25">
      <c r="A19" s="2"/>
      <c r="B19" s="18"/>
      <c r="C19" s="18"/>
      <c r="D19" s="18"/>
      <c r="E19" s="18"/>
      <c r="F19" s="18"/>
    </row>
    <row r="20" spans="1:10" x14ac:dyDescent="0.25">
      <c r="A20" s="58" t="s">
        <v>26</v>
      </c>
      <c r="B20" s="59">
        <v>2020</v>
      </c>
      <c r="C20" s="59">
        <v>2019</v>
      </c>
      <c r="D20" s="59">
        <v>2018</v>
      </c>
      <c r="E20" s="59">
        <v>2017</v>
      </c>
      <c r="F20" s="59">
        <v>2016</v>
      </c>
    </row>
    <row r="21" spans="1:10" ht="30" x14ac:dyDescent="0.25">
      <c r="A21" s="2" t="s">
        <v>204</v>
      </c>
      <c r="B21" s="18">
        <f>('Condensed statements'!B25+'Condensed statements'!B11)/AVERAGE('Condensed statements'!B61,'Condensed statements'!C61)</f>
        <v>0.10461242849032709</v>
      </c>
      <c r="C21" s="18">
        <f>('Condensed statements'!C25+'Condensed statements'!C11)/AVERAGE('Condensed statements'!C61,'Condensed statements'!D61)</f>
        <v>8.814550529942862E-2</v>
      </c>
      <c r="D21" s="18">
        <f>('Condensed statements'!D25+'Condensed statements'!D11)/AVERAGE('Condensed statements'!D61,'Condensed statements'!E61)</f>
        <v>6.802410771532387E-2</v>
      </c>
      <c r="E21" s="18">
        <f>('Condensed statements'!E25+'Condensed statements'!E11)/AVERAGE('Condensed statements'!E61,'Condensed statements'!F61)</f>
        <v>6.0356619321710887E-2</v>
      </c>
      <c r="F21" s="18">
        <f>('Condensed statements'!F25+'Condensed statements'!F11)/AVERAGE('Condensed statements'!F61,'Condensed statements'!G61)</f>
        <v>9.8299045599151605E-2</v>
      </c>
    </row>
    <row r="22" spans="1:10" ht="30" x14ac:dyDescent="0.25">
      <c r="A22" s="2" t="s">
        <v>203</v>
      </c>
      <c r="B22" s="18">
        <f>('Condensed statements'!B10+'Condensed statements'!B11)/AVERAGE('Condensed statements'!B35+'Condensed statements'!B43,'Condensed statements'!C35+'Condensed statements'!C43)</f>
        <v>3.1667263864569035E-2</v>
      </c>
      <c r="C22" s="18">
        <f>('Condensed statements'!C10+'Condensed statements'!C11)/AVERAGE('Condensed statements'!C35+'Condensed statements'!C43,'Condensed statements'!D35+'Condensed statements'!D43)</f>
        <v>2.1091214041107389E-2</v>
      </c>
      <c r="D22" s="18">
        <f>('Condensed statements'!D10+'Condensed statements'!D11)/AVERAGE('Condensed statements'!D35+'Condensed statements'!D43,'Condensed statements'!E35+'Condensed statements'!E43)</f>
        <v>6.9383841423800718E-3</v>
      </c>
      <c r="E22" s="18">
        <f>('Condensed statements'!E10+'Condensed statements'!E11)/AVERAGE('Condensed statements'!E35+'Condensed statements'!E43,'Condensed statements'!F35+'Condensed statements'!F43)</f>
        <v>6.5595634712134025E-3</v>
      </c>
      <c r="F22" s="18">
        <f>('Condensed statements'!F10+'Condensed statements'!F11)/AVERAGE('Condensed statements'!F35+'Condensed statements'!F43,'Condensed statements'!G35+'Condensed statements'!G43)</f>
        <v>2.9787005716577608E-2</v>
      </c>
    </row>
    <row r="24" spans="1:10" x14ac:dyDescent="0.25">
      <c r="A24" s="3" t="s">
        <v>212</v>
      </c>
    </row>
    <row r="25" spans="1:10" x14ac:dyDescent="0.25">
      <c r="A25" s="58" t="s">
        <v>26</v>
      </c>
      <c r="B25" s="59">
        <v>2020</v>
      </c>
      <c r="C25" s="59">
        <v>2019</v>
      </c>
      <c r="D25" s="59">
        <v>2018</v>
      </c>
      <c r="E25" s="59">
        <v>2017</v>
      </c>
      <c r="F25" s="59">
        <v>2016</v>
      </c>
    </row>
    <row r="26" spans="1:10" x14ac:dyDescent="0.25">
      <c r="A26" s="2" t="s">
        <v>28</v>
      </c>
      <c r="B26" s="18">
        <f>('Condensed statements'!B25+'Condensed statements'!B11)/'Condensed statements'!B5</f>
        <v>1.6936891075948472E-2</v>
      </c>
      <c r="C26" s="18">
        <f>('Condensed statements'!C25+'Condensed statements'!C11)/'Condensed statements'!C5</f>
        <v>1.3957152920701134E-2</v>
      </c>
      <c r="D26" s="18">
        <f>('Condensed statements'!D25+'Condensed statements'!D11)/'Condensed statements'!D5</f>
        <v>1.0469894736842117E-2</v>
      </c>
      <c r="E26" s="18">
        <f>('Condensed statements'!E25+'Condensed statements'!E11)/'Condensed statements'!E5</f>
        <v>9.2370559083361607E-3</v>
      </c>
      <c r="F26" s="18">
        <f>('Condensed statements'!F25+'Condensed statements'!F11)/'Condensed statements'!F5</f>
        <v>1.4513040641920537E-2</v>
      </c>
    </row>
    <row r="27" spans="1:10" x14ac:dyDescent="0.25">
      <c r="A27" s="2" t="s">
        <v>29</v>
      </c>
      <c r="B27" s="19">
        <f>'Condensed statements'!B5/AVERAGE('Exhibit 3-Financial Statements'!B60,'Exhibit 3-Financial Statements'!C60)</f>
        <v>1.4375241386319748</v>
      </c>
      <c r="C27" s="19">
        <f>'Condensed statements'!C5/AVERAGE('Exhibit 3-Financial Statements'!C60,'Exhibit 3-Financial Statements'!D60)</f>
        <v>1.4276812037192241</v>
      </c>
      <c r="D27" s="19">
        <f>'Condensed statements'!D5/AVERAGE('Exhibit 3-Financial Statements'!D60,'Exhibit 3-Financial Statements'!E60)</f>
        <v>1.4931531071337354</v>
      </c>
      <c r="E27" s="19">
        <f>'Condensed statements'!E5/AVERAGE('Exhibit 3-Financial Statements'!E60,'Exhibit 3-Financial Statements'!F60)</f>
        <v>1.5276941397438255</v>
      </c>
      <c r="F27" s="19">
        <f>'Condensed statements'!F5/AVERAGE('Exhibit 3-Financial Statements'!F60,'Exhibit 3-Financial Statements'!G60)</f>
        <v>1.5285436505958019</v>
      </c>
    </row>
    <row r="28" spans="1:10" x14ac:dyDescent="0.25">
      <c r="A28" s="60" t="s">
        <v>194</v>
      </c>
      <c r="B28" s="18">
        <f t="shared" ref="B28" si="6">B26*B27</f>
        <v>2.4347189755056408E-2</v>
      </c>
      <c r="C28" s="18">
        <f t="shared" ref="C28:F28" si="7">C26*C27</f>
        <v>1.9926364882319879E-2</v>
      </c>
      <c r="D28" s="18">
        <f t="shared" si="7"/>
        <v>1.5633155857678951E-2</v>
      </c>
      <c r="E28" s="18">
        <f t="shared" si="7"/>
        <v>1.4111396179651231E-2</v>
      </c>
      <c r="F28" s="18">
        <f t="shared" si="7"/>
        <v>2.2183816124046459E-2</v>
      </c>
    </row>
    <row r="29" spans="1:10" x14ac:dyDescent="0.25">
      <c r="A29" s="2" t="s">
        <v>30</v>
      </c>
      <c r="B29" s="19">
        <f>AVERAGE('Exhibit 3-Financial Statements'!B60,'Exhibit 3-Financial Statements'!C60)/AVERAGE('Condensed statements'!B61,'Condensed statements'!C61)</f>
        <v>4.2966941787851001</v>
      </c>
      <c r="C29" s="19">
        <f>AVERAGE('Exhibit 3-Financial Statements'!C60,'Exhibit 3-Financial Statements'!D60)/AVERAGE('Condensed statements'!C61,'Condensed statements'!D61)</f>
        <v>4.4235617394338549</v>
      </c>
      <c r="D29" s="19">
        <f>AVERAGE('Exhibit 3-Financial Statements'!D60,'Exhibit 3-Financial Statements'!E60)/AVERAGE('Condensed statements'!D61,'Condensed statements'!E61)</f>
        <v>4.3512716392391537</v>
      </c>
      <c r="E29" s="19">
        <f>AVERAGE('Exhibit 3-Financial Statements'!E60,'Exhibit 3-Financial Statements'!F60)/AVERAGE('Condensed statements'!E61,'Condensed statements'!F61)</f>
        <v>4.2771543335127751</v>
      </c>
      <c r="F29" s="19">
        <f>AVERAGE('Exhibit 3-Financial Statements'!F60,'Exhibit 3-Financial Statements'!G60)/AVERAGE('Condensed statements'!F61,'Condensed statements'!G61)</f>
        <v>4.431115235065394</v>
      </c>
    </row>
    <row r="30" spans="1:10" x14ac:dyDescent="0.25">
      <c r="A30" s="60" t="s">
        <v>195</v>
      </c>
      <c r="B30" s="18">
        <f t="shared" ref="B30" si="8">B28*B29</f>
        <v>0.10461242849032709</v>
      </c>
      <c r="C30" s="18">
        <f t="shared" ref="C30:F30" si="9">C28*C29</f>
        <v>8.8145505299428606E-2</v>
      </c>
      <c r="D30" s="18">
        <f t="shared" si="9"/>
        <v>6.802410771532387E-2</v>
      </c>
      <c r="E30" s="18">
        <f t="shared" si="9"/>
        <v>6.035661932171088E-2</v>
      </c>
      <c r="F30" s="18">
        <f t="shared" si="9"/>
        <v>9.8299045599151605E-2</v>
      </c>
    </row>
    <row r="32" spans="1:10" ht="30" x14ac:dyDescent="0.25">
      <c r="A32" s="28" t="s">
        <v>213</v>
      </c>
      <c r="G32" s="100" t="s">
        <v>205</v>
      </c>
      <c r="H32" s="100"/>
      <c r="I32" s="100"/>
      <c r="J32" s="100"/>
    </row>
    <row r="33" spans="1:10" x14ac:dyDescent="0.25">
      <c r="A33" s="58" t="s">
        <v>26</v>
      </c>
      <c r="B33" s="59">
        <v>2020</v>
      </c>
      <c r="C33" s="59">
        <v>2019</v>
      </c>
      <c r="D33" s="59">
        <v>2018</v>
      </c>
      <c r="E33" s="59">
        <v>2017</v>
      </c>
      <c r="F33" s="59">
        <v>2016</v>
      </c>
      <c r="G33" s="64">
        <v>2020</v>
      </c>
      <c r="H33" s="64">
        <v>2019</v>
      </c>
      <c r="I33" s="64">
        <v>2018</v>
      </c>
      <c r="J33" s="64">
        <v>2017</v>
      </c>
    </row>
    <row r="34" spans="1:10" x14ac:dyDescent="0.25">
      <c r="A34" s="2" t="s">
        <v>31</v>
      </c>
      <c r="B34" s="18">
        <f>('Condensed statements'!B10+'Condensed statements'!B11)/'Condensed statements'!B5</f>
        <v>9.2727555536701589E-3</v>
      </c>
      <c r="C34" s="18">
        <f>('Condensed statements'!C10+'Condensed statements'!C11)/'Condensed statements'!C5</f>
        <v>6.0724063151788065E-3</v>
      </c>
      <c r="D34" s="18">
        <f>('Condensed statements'!D10+'Condensed statements'!D11)/'Condensed statements'!D5</f>
        <v>1.9091913430851937E-3</v>
      </c>
      <c r="E34" s="18">
        <f>('Condensed statements'!E10+'Condensed statements'!E11)/'Condensed statements'!E5</f>
        <v>1.7833578834096618E-3</v>
      </c>
      <c r="F34" s="18">
        <f>('Condensed statements'!F10+'Condensed statements'!F11)/'Condensed statements'!F5</f>
        <v>8.1475204207008892E-3</v>
      </c>
      <c r="G34" s="65">
        <v>2.7E-2</v>
      </c>
      <c r="H34" s="65">
        <v>1.9E-2</v>
      </c>
      <c r="I34" s="65">
        <v>2.1000000000000001E-2</v>
      </c>
      <c r="J34" s="65">
        <v>2.5000000000000001E-2</v>
      </c>
    </row>
    <row r="35" spans="1:10" x14ac:dyDescent="0.25">
      <c r="A35" s="2" t="s">
        <v>32</v>
      </c>
      <c r="B35" s="19">
        <f>'Condensed statements'!B5/AVERAGE('Condensed statements'!B35+'Condensed statements'!B43,'Condensed statements'!C35+'Condensed statements'!C43)</f>
        <v>3.4150866677419449</v>
      </c>
      <c r="C35" s="19">
        <f>'Condensed statements'!C5/AVERAGE('Condensed statements'!C35+'Condensed statements'!C43,'Condensed statements'!D35+'Condensed statements'!D43)</f>
        <v>3.473287679776472</v>
      </c>
      <c r="D35" s="19">
        <f>'Condensed statements'!D5/AVERAGE('Condensed statements'!D35+'Condensed statements'!D43,'Condensed statements'!E35+'Condensed statements'!E43)</f>
        <v>3.6342005045800487</v>
      </c>
      <c r="E35" s="19">
        <f>'Condensed statements'!E5/AVERAGE('Condensed statements'!E35+'Condensed statements'!E43,'Condensed statements'!F35+'Condensed statements'!F43)</f>
        <v>3.6782092547077272</v>
      </c>
      <c r="F35" s="19">
        <f>'Condensed statements'!F5/AVERAGE('Condensed statements'!F35+'Condensed statements'!F43,'Condensed statements'!G35+'Condensed statements'!G43)</f>
        <v>3.6559596267959016</v>
      </c>
      <c r="G35" s="66">
        <v>2.1800000000000002</v>
      </c>
      <c r="H35" s="66">
        <v>2.09</v>
      </c>
      <c r="I35" s="66">
        <v>2.2599999999999998</v>
      </c>
      <c r="J35" s="66">
        <v>2.0699999999999998</v>
      </c>
    </row>
    <row r="36" spans="1:10" x14ac:dyDescent="0.25">
      <c r="A36" s="60" t="s">
        <v>196</v>
      </c>
      <c r="B36" s="18">
        <f t="shared" ref="B36" si="10">B34*B35</f>
        <v>3.1667263864569035E-2</v>
      </c>
      <c r="C36" s="18">
        <f t="shared" ref="C36:J36" si="11">C34*C35</f>
        <v>2.1091214041107392E-2</v>
      </c>
      <c r="D36" s="18">
        <f t="shared" si="11"/>
        <v>6.9383841423800718E-3</v>
      </c>
      <c r="E36" s="18">
        <f t="shared" si="11"/>
        <v>6.5595634712134017E-3</v>
      </c>
      <c r="F36" s="18">
        <f t="shared" si="11"/>
        <v>2.9787005716577608E-2</v>
      </c>
      <c r="G36" s="65">
        <f t="shared" si="11"/>
        <v>5.8860000000000003E-2</v>
      </c>
      <c r="H36" s="65">
        <f t="shared" si="11"/>
        <v>3.9709999999999995E-2</v>
      </c>
      <c r="I36" s="65">
        <f t="shared" si="11"/>
        <v>4.7459999999999995E-2</v>
      </c>
      <c r="J36" s="65">
        <f t="shared" si="11"/>
        <v>5.1749999999999997E-2</v>
      </c>
    </row>
    <row r="37" spans="1:10" x14ac:dyDescent="0.25">
      <c r="A37" s="2"/>
      <c r="B37" s="18"/>
      <c r="C37" s="18"/>
      <c r="D37" s="18"/>
      <c r="E37" s="18"/>
      <c r="F37" s="18"/>
    </row>
    <row r="39" spans="1:10" x14ac:dyDescent="0.25">
      <c r="A39" s="3" t="s">
        <v>169</v>
      </c>
    </row>
    <row r="40" spans="1:10" x14ac:dyDescent="0.25">
      <c r="A40" s="17"/>
      <c r="B40" s="59">
        <v>2020</v>
      </c>
      <c r="C40" s="59">
        <v>2019</v>
      </c>
      <c r="D40" s="59">
        <v>2018</v>
      </c>
      <c r="E40" s="59">
        <v>2017</v>
      </c>
      <c r="F40" s="59">
        <v>2016</v>
      </c>
    </row>
    <row r="41" spans="1:10" x14ac:dyDescent="0.25">
      <c r="A41" s="5" t="s">
        <v>33</v>
      </c>
    </row>
    <row r="42" spans="1:10" x14ac:dyDescent="0.25">
      <c r="A42" s="2" t="s">
        <v>0</v>
      </c>
      <c r="B42" s="18">
        <f>'Condensed statements'!B5/'Condensed statements'!B5</f>
        <v>1</v>
      </c>
      <c r="C42" s="18">
        <f>'Condensed statements'!C5/'Condensed statements'!C5</f>
        <v>1</v>
      </c>
      <c r="D42" s="18">
        <f>'Condensed statements'!D5/'Condensed statements'!D5</f>
        <v>1</v>
      </c>
      <c r="E42" s="18">
        <f>'Condensed statements'!E5/'Condensed statements'!E5</f>
        <v>1</v>
      </c>
      <c r="F42" s="18">
        <f>'Condensed statements'!F5/'Condensed statements'!F5</f>
        <v>1</v>
      </c>
    </row>
    <row r="43" spans="1:10" x14ac:dyDescent="0.25">
      <c r="A43" s="2" t="s">
        <v>7</v>
      </c>
      <c r="B43" s="18">
        <f>'Exhibit 3-Financial Statements'!B16/'Condensed statements'!B5</f>
        <v>-4.4825294475317806E-3</v>
      </c>
      <c r="C43" s="18">
        <f>'Exhibit 3-Financial Statements'!C16/'Condensed statements'!C5</f>
        <v>-5.2073980966062128E-3</v>
      </c>
      <c r="D43" s="18">
        <f>'Exhibit 3-Financial Statements'!D16/'Condensed statements'!D5</f>
        <v>-5.2011100384000706E-3</v>
      </c>
      <c r="E43" s="18">
        <f>'Exhibit 3-Financial Statements'!E16/'Condensed statements'!E5</f>
        <v>-6.3551055244181831E-3</v>
      </c>
      <c r="F43" s="18">
        <f>'Exhibit 3-Financial Statements'!F16/'Condensed statements'!F5</f>
        <v>-7.4919907636533823E-3</v>
      </c>
    </row>
    <row r="44" spans="1:10" x14ac:dyDescent="0.25">
      <c r="A44" s="2" t="s">
        <v>9</v>
      </c>
      <c r="B44" s="22">
        <f>'Exhibit 3-Financial Statements'!B32/'Condensed statements'!B5</f>
        <v>-7.041954778772324E-3</v>
      </c>
      <c r="C44" s="22">
        <f>'Exhibit 3-Financial Statements'!C32/'Condensed statements'!C5</f>
        <v>-5.5389035457270325E-3</v>
      </c>
      <c r="D44" s="22">
        <f>'Exhibit 3-Financial Statements'!D32/'Condensed statements'!D5</f>
        <v>-5.9868421052631576E-3</v>
      </c>
      <c r="E44" s="22">
        <f>'Exhibit 3-Financial Statements'!E32/'Condensed statements'!E5</f>
        <v>-5.589566143199361E-3</v>
      </c>
      <c r="F44" s="22">
        <f>'Exhibit 3-Financial Statements'!F32/'Condensed statements'!F5</f>
        <v>-8.1153369430491222E-3</v>
      </c>
    </row>
    <row r="45" spans="1:10" ht="30" x14ac:dyDescent="0.25">
      <c r="A45" s="5" t="s">
        <v>57</v>
      </c>
      <c r="B45" s="24"/>
      <c r="C45" s="24"/>
      <c r="D45" s="24"/>
      <c r="E45" s="24"/>
      <c r="F45" s="24"/>
    </row>
    <row r="46" spans="1:10" x14ac:dyDescent="0.25">
      <c r="A46" s="2" t="s">
        <v>2</v>
      </c>
      <c r="B46" s="18">
        <f>'Exhibit 3-Financial Statements'!B6/'Condensed statements'!B5</f>
        <v>-0.80183543319334272</v>
      </c>
      <c r="C46" s="18">
        <f>'Exhibit 3-Financial Statements'!C6/'Condensed statements'!C5</f>
        <v>-0.80181499233393649</v>
      </c>
      <c r="D46" s="18">
        <f>'Exhibit 3-Financial Statements'!D6/'Condensed statements'!D5</f>
        <v>-0.80013157894736842</v>
      </c>
      <c r="E46" s="18">
        <f>'Exhibit 3-Financial Statements'!E6/'Condensed statements'!E5</f>
        <v>-0.79460562505545207</v>
      </c>
      <c r="F46" s="18">
        <f>'Exhibit 3-Financial Statements'!F6/'Condensed statements'!F5</f>
        <v>-0.79214560636701681</v>
      </c>
    </row>
    <row r="47" spans="1:10" x14ac:dyDescent="0.25">
      <c r="A47" s="2" t="s">
        <v>34</v>
      </c>
      <c r="B47" s="18">
        <f>'Exhibit 3-Financial Statements'!B7/'Condensed statements'!B5</f>
        <v>-0.19444562281706473</v>
      </c>
      <c r="C47" s="18">
        <f>'Exhibit 3-Financial Statements'!C7/'Condensed statements'!C5</f>
        <v>-0.19754962222191527</v>
      </c>
      <c r="D47" s="18">
        <f>'Exhibit 3-Financial Statements'!D7/'Condensed statements'!D5</f>
        <v>-0.20389473684210527</v>
      </c>
      <c r="E47" s="18">
        <f>'Exhibit 3-Financial Statements'!E7/'Condensed statements'!E5</f>
        <v>-0.20825886915852312</v>
      </c>
      <c r="F47" s="18">
        <f>'Exhibit 3-Financial Statements'!F7/'Condensed statements'!F5</f>
        <v>-0.20576684715245613</v>
      </c>
      <c r="G47" s="100" t="s">
        <v>205</v>
      </c>
      <c r="H47" s="100"/>
      <c r="I47" s="100"/>
      <c r="J47" s="100"/>
    </row>
    <row r="48" spans="1:10" ht="30" x14ac:dyDescent="0.25">
      <c r="A48" s="5" t="s">
        <v>58</v>
      </c>
      <c r="B48" s="18"/>
      <c r="C48" s="18"/>
      <c r="D48" s="18"/>
      <c r="E48" s="18"/>
      <c r="F48" s="18"/>
      <c r="G48" s="64">
        <v>2020</v>
      </c>
      <c r="H48" s="64">
        <v>2019</v>
      </c>
      <c r="I48" s="64">
        <v>2018</v>
      </c>
      <c r="J48" s="64">
        <v>2017</v>
      </c>
    </row>
    <row r="49" spans="1:10" x14ac:dyDescent="0.25">
      <c r="A49" s="2" t="s">
        <v>35</v>
      </c>
      <c r="B49" s="18">
        <f>'Exhibit 3-Financial Statements'!B24/'Condensed statements'!B5</f>
        <v>-0.10268810362137473</v>
      </c>
      <c r="C49" s="18">
        <f>'Exhibit 3-Financial Statements'!C24/'Condensed statements'!C5</f>
        <v>-0.10424465102145117</v>
      </c>
      <c r="D49" s="18">
        <f>'Exhibit 3-Financial Statements'!D24/'Condensed statements'!D5</f>
        <v>-0.10709210526315789</v>
      </c>
      <c r="E49" s="18">
        <f>'Exhibit 3-Financial Statements'!E24/'Condensed statements'!E5</f>
        <v>-0.10899020241580795</v>
      </c>
      <c r="F49" s="18">
        <f>'Exhibit 3-Financial Statements'!F24/'Condensed statements'!F5</f>
        <v>-0.10750864374714593</v>
      </c>
      <c r="G49" s="65">
        <v>-0.11700000000000001</v>
      </c>
      <c r="H49" s="65">
        <v>-0.12</v>
      </c>
      <c r="I49" s="65">
        <v>-0.123</v>
      </c>
      <c r="J49" s="65">
        <v>-0.121</v>
      </c>
    </row>
    <row r="50" spans="1:10" x14ac:dyDescent="0.25">
      <c r="A50" s="2" t="s">
        <v>36</v>
      </c>
      <c r="B50" s="18">
        <f>'Exhibit 3-Financial Statements'!B25/'Condensed statements'!B5</f>
        <v>-2.8691016558492061E-2</v>
      </c>
      <c r="C50" s="18">
        <f>'Exhibit 3-Financial Statements'!C25/'Condensed statements'!C5</f>
        <v>-2.8758097711231129E-2</v>
      </c>
      <c r="D50" s="18">
        <f>'Exhibit 3-Financial Statements'!D25/'Condensed statements'!D5</f>
        <v>-3.4342105263157896E-2</v>
      </c>
      <c r="E50" s="18">
        <f>'Exhibit 3-Financial Statements'!E25/'Condensed statements'!E5</f>
        <v>-3.3993687972926727E-2</v>
      </c>
      <c r="F50" s="18">
        <f>'Exhibit 3-Financial Statements'!F25/'Condensed statements'!F5</f>
        <v>-3.2448300606693195E-2</v>
      </c>
      <c r="G50" s="65"/>
      <c r="H50" s="65"/>
      <c r="I50" s="65"/>
      <c r="J50" s="65"/>
    </row>
    <row r="51" spans="1:10" x14ac:dyDescent="0.25">
      <c r="G51" s="67"/>
      <c r="H51" s="67"/>
      <c r="I51" s="67"/>
      <c r="J51" s="67"/>
    </row>
    <row r="52" spans="1:10" x14ac:dyDescent="0.25">
      <c r="A52" s="3" t="s">
        <v>172</v>
      </c>
      <c r="G52" s="67"/>
      <c r="H52" s="67"/>
      <c r="I52" s="67"/>
      <c r="J52" s="67"/>
    </row>
    <row r="53" spans="1:10" x14ac:dyDescent="0.25">
      <c r="A53" s="3" t="s">
        <v>214</v>
      </c>
      <c r="B53" s="59">
        <v>2020</v>
      </c>
      <c r="C53" s="59">
        <v>2019</v>
      </c>
      <c r="D53" s="59">
        <v>2018</v>
      </c>
      <c r="E53" s="59">
        <v>2017</v>
      </c>
      <c r="F53" s="59">
        <v>2016</v>
      </c>
      <c r="G53" s="67"/>
      <c r="H53" s="67"/>
      <c r="I53" s="67"/>
      <c r="J53" s="67"/>
    </row>
    <row r="54" spans="1:10" x14ac:dyDescent="0.25">
      <c r="A54" s="2" t="s">
        <v>37</v>
      </c>
      <c r="B54" s="18">
        <f>AVERAGE('Condensed statements'!B35,'Condensed statements'!C35)/'Condensed statements'!B5</f>
        <v>-6.0248023869115791E-2</v>
      </c>
      <c r="C54" s="18">
        <f>AVERAGE('Condensed statements'!C35,'Condensed statements'!D35)/'Condensed statements'!C5</f>
        <v>-6.3332182272746104E-2</v>
      </c>
      <c r="D54" s="18">
        <f>AVERAGE('Condensed statements'!D35,'Condensed statements'!E35)/'Condensed statements'!D5</f>
        <v>-6.3349473684210525E-2</v>
      </c>
      <c r="E54" s="18">
        <f>AVERAGE('Condensed statements'!E35,'Condensed statements'!F35)/'Condensed statements'!E5</f>
        <v>-6.2811767240832983E-2</v>
      </c>
      <c r="F54" s="18">
        <f>AVERAGE('Condensed statements'!F35,'Condensed statements'!G35)/'Condensed statements'!F5</f>
        <v>-6.414117033074565E-2</v>
      </c>
      <c r="G54" s="65">
        <v>-0.111</v>
      </c>
      <c r="H54" s="65">
        <v>-0.09</v>
      </c>
      <c r="I54" s="65">
        <v>-7.8E-2</v>
      </c>
      <c r="J54" s="65">
        <v>-6.9000000000000006E-2</v>
      </c>
    </row>
    <row r="55" spans="1:10" ht="30" x14ac:dyDescent="0.25">
      <c r="A55" s="2" t="s">
        <v>171</v>
      </c>
      <c r="B55" s="18">
        <f>AVERAGE(SUM('Condensed statements'!B37,'Condensed statements'!B38,'Condensed statements'!B39),SUM('Condensed statements'!C37,'Condensed statements'!C38,'Condensed statements'!C39))/'Condensed statements'!B5</f>
        <v>0.35037967165825307</v>
      </c>
      <c r="C55" s="18">
        <f>AVERAGE(SUM('Condensed statements'!C37,'Condensed statements'!C38,'Condensed statements'!C39),SUM('Condensed statements'!D37,'Condensed statements'!D38,'Condensed statements'!D39))/'Condensed statements'!C5</f>
        <v>0.34882660883738276</v>
      </c>
      <c r="D55" s="18">
        <f>AVERAGE(SUM('Condensed statements'!D37,'Condensed statements'!D38,'Condensed statements'!D39),SUM('Condensed statements'!E37,'Condensed statements'!E38,'Condensed statements'!E39))/'Condensed statements'!D5</f>
        <v>0.33634868421052633</v>
      </c>
      <c r="E55" s="18">
        <f>AVERAGE(SUM('Condensed statements'!E37,'Condensed statements'!E38,'Condensed statements'!E39),SUM('Condensed statements'!F37,'Condensed statements'!F38,'Condensed statements'!F39))/'Condensed statements'!E5</f>
        <v>0.33193911048582331</v>
      </c>
      <c r="F55" s="18">
        <f>AVERAGE(SUM('Condensed statements'!F37,'Condensed statements'!F38,'Condensed statements'!F39),SUM('Condensed statements'!G37,'Condensed statements'!G38,'Condensed statements'!G39))/'Condensed statements'!F5</f>
        <v>0.33426185661165114</v>
      </c>
      <c r="G55" s="65">
        <v>-0.56899999999999995</v>
      </c>
      <c r="H55" s="65">
        <v>-0.56899999999999995</v>
      </c>
      <c r="I55" s="65">
        <v>-0.52100000000000002</v>
      </c>
      <c r="J55" s="65">
        <v>-0.55200000000000005</v>
      </c>
    </row>
    <row r="56" spans="1:10" x14ac:dyDescent="0.25">
      <c r="A56" s="2" t="s">
        <v>38</v>
      </c>
      <c r="B56" s="18">
        <f>AVERAGE('Condensed statements'!B37,'Condensed statements'!C37)/'Condensed statements'!B5</f>
        <v>0.21755115315544621</v>
      </c>
      <c r="C56" s="18">
        <f>AVERAGE('Condensed statements'!C37,'Condensed statements'!D37)/'Condensed statements'!C5</f>
        <v>0.21848971642471374</v>
      </c>
      <c r="D56" s="18">
        <f>AVERAGE('Condensed statements'!D37,'Condensed statements'!E37)/'Condensed statements'!D5</f>
        <v>0.21276315789473685</v>
      </c>
      <c r="E56" s="18">
        <f>AVERAGE('Condensed statements'!E37,'Condensed statements'!F37)/'Condensed statements'!E5</f>
        <v>0.20996362345843314</v>
      </c>
      <c r="F56" s="18">
        <f>AVERAGE('Condensed statements'!F37,'Condensed statements'!G37)/'Condensed statements'!F5</f>
        <v>0.20760649748842064</v>
      </c>
      <c r="G56" s="65"/>
      <c r="H56" s="65"/>
      <c r="I56" s="65"/>
      <c r="J56" s="65"/>
    </row>
    <row r="57" spans="1:10" x14ac:dyDescent="0.25">
      <c r="A57" s="2" t="s">
        <v>39</v>
      </c>
      <c r="B57" s="20">
        <f t="shared" ref="B57:F57" si="12">1/B54</f>
        <v>-16.598054770600001</v>
      </c>
      <c r="C57" s="20">
        <f t="shared" si="12"/>
        <v>-15.789760657439599</v>
      </c>
      <c r="D57" s="20">
        <f t="shared" si="12"/>
        <v>-15.785450799242298</v>
      </c>
      <c r="E57" s="20">
        <f t="shared" si="12"/>
        <v>-15.920583736575956</v>
      </c>
      <c r="F57" s="20">
        <f t="shared" si="12"/>
        <v>-15.590610443237525</v>
      </c>
      <c r="G57" s="65"/>
      <c r="H57" s="65"/>
      <c r="I57" s="65"/>
      <c r="J57" s="65"/>
    </row>
    <row r="58" spans="1:10" x14ac:dyDescent="0.25">
      <c r="A58" s="2" t="s">
        <v>40</v>
      </c>
      <c r="B58" s="20">
        <f t="shared" ref="B58:F58" si="13">1/B55</f>
        <v>2.8540468551365095</v>
      </c>
      <c r="C58" s="20">
        <f t="shared" si="13"/>
        <v>2.8667537815791557</v>
      </c>
      <c r="D58" s="20">
        <f t="shared" si="13"/>
        <v>2.9731051344743276</v>
      </c>
      <c r="E58" s="20">
        <f t="shared" si="13"/>
        <v>3.0126007102218488</v>
      </c>
      <c r="F58" s="20">
        <f t="shared" si="13"/>
        <v>2.9916665040301331</v>
      </c>
      <c r="G58" s="65"/>
      <c r="H58" s="65"/>
      <c r="I58" s="65"/>
      <c r="J58" s="65"/>
    </row>
    <row r="59" spans="1:10" x14ac:dyDescent="0.25">
      <c r="A59" s="2" t="s">
        <v>41</v>
      </c>
      <c r="B59" s="20">
        <f t="shared" ref="B59:F59" si="14">1/B56</f>
        <v>4.5966200844978875</v>
      </c>
      <c r="C59" s="20">
        <f t="shared" si="14"/>
        <v>4.576874446832722</v>
      </c>
      <c r="D59" s="20">
        <f t="shared" si="14"/>
        <v>4.700061842918986</v>
      </c>
      <c r="E59" s="20">
        <f t="shared" si="14"/>
        <v>4.7627297697020916</v>
      </c>
      <c r="F59" s="20">
        <f t="shared" si="14"/>
        <v>4.816804927099045</v>
      </c>
      <c r="G59" s="65">
        <v>-0.28699999999999998</v>
      </c>
      <c r="H59" s="65">
        <v>-0.28699999999999998</v>
      </c>
      <c r="I59" s="65">
        <v>-0.221</v>
      </c>
      <c r="J59" s="65">
        <v>-0.25600000000000001</v>
      </c>
    </row>
    <row r="60" spans="1:10" x14ac:dyDescent="0.25">
      <c r="A60" s="2" t="s">
        <v>42</v>
      </c>
      <c r="B60" s="20">
        <f>'Condensed statements'!B5/AVERAGE('Condensed statements'!B30,'Condensed statements'!C30)</f>
        <v>27.225794032723773</v>
      </c>
      <c r="C60" s="20">
        <f>'Condensed statements'!C5/AVERAGE('Condensed statements'!C30,'Condensed statements'!D30)</f>
        <v>27.812908182865925</v>
      </c>
      <c r="D60" s="20">
        <f>'Condensed statements'!D5/AVERAGE('Condensed statements'!D30,'Condensed statements'!E30)</f>
        <v>28.749763571023266</v>
      </c>
      <c r="E60" s="20">
        <f>'Condensed statements'!E5/AVERAGE('Condensed statements'!E30,'Condensed statements'!F30)</f>
        <v>29.048969072164947</v>
      </c>
      <c r="F60" s="20">
        <f>'Condensed statements'!F5/AVERAGE('Condensed statements'!F30,'Condensed statements'!G30)</f>
        <v>30.961421934962633</v>
      </c>
    </row>
    <row r="61" spans="1:10" x14ac:dyDescent="0.25">
      <c r="A61" s="2" t="s">
        <v>43</v>
      </c>
      <c r="B61" s="21">
        <f>365*(1/B60)</f>
        <v>13.406404219516681</v>
      </c>
      <c r="C61" s="21">
        <f t="shared" ref="C61:F61" si="15">365*(1/C60)</f>
        <v>13.123402903435226</v>
      </c>
      <c r="D61" s="21">
        <f t="shared" si="15"/>
        <v>12.695756578947368</v>
      </c>
      <c r="E61" s="21">
        <f t="shared" si="15"/>
        <v>12.564989796823706</v>
      </c>
      <c r="F61" s="21">
        <f t="shared" si="15"/>
        <v>11.788864244242937</v>
      </c>
    </row>
    <row r="62" spans="1:10" x14ac:dyDescent="0.25">
      <c r="A62" s="2" t="s">
        <v>44</v>
      </c>
      <c r="B62" s="20">
        <f>-'Exhibit 3-Financial Statements'!B6/AVERAGE('Condensed statements'!B31,'Condensed statements'!C31)</f>
        <v>10.132225498079157</v>
      </c>
      <c r="C62" s="20">
        <f>-'Exhibit 3-Financial Statements'!C6/AVERAGE('Condensed statements'!C31,'Condensed statements'!D31)</f>
        <v>9.6732211298116972</v>
      </c>
      <c r="D62" s="20">
        <f>-'Exhibit 3-Financial Statements'!D6/AVERAGE('Condensed statements'!D31,'Condensed statements'!E31)</f>
        <v>9.4830409356725145</v>
      </c>
      <c r="E62" s="20">
        <f>-'Exhibit 3-Financial Statements'!E6/AVERAGE('Condensed statements'!E31,'Condensed statements'!F31)</f>
        <v>9.1327846165052087</v>
      </c>
      <c r="F62" s="20">
        <f>-'Exhibit 3-Financial Statements'!F6/AVERAGE('Condensed statements'!F31,'Condensed statements'!G31)</f>
        <v>9.0611148421759573</v>
      </c>
    </row>
    <row r="63" spans="1:10" x14ac:dyDescent="0.25">
      <c r="A63" s="2" t="s">
        <v>45</v>
      </c>
      <c r="B63" s="21">
        <f>365*(1/B62)</f>
        <v>36.023675160920554</v>
      </c>
      <c r="C63" s="21">
        <f t="shared" ref="C63:F63" si="16">365*(1/C62)</f>
        <v>37.733035883477754</v>
      </c>
      <c r="D63" s="21">
        <f t="shared" si="16"/>
        <v>38.489763196842624</v>
      </c>
      <c r="E63" s="21">
        <f t="shared" si="16"/>
        <v>39.965904740636759</v>
      </c>
      <c r="F63" s="21">
        <f t="shared" si="16"/>
        <v>40.282018974206935</v>
      </c>
    </row>
    <row r="64" spans="1:10" x14ac:dyDescent="0.25">
      <c r="A64" s="2" t="s">
        <v>46</v>
      </c>
      <c r="B64" s="20">
        <f>'Exhibit 3-Financial Statements'!B6/AVERAGE('Condensed statements'!B33,'Condensed statements'!C33)</f>
        <v>4.3276348927726476</v>
      </c>
      <c r="C64" s="20">
        <f>'Exhibit 3-Financial Statements'!C6/AVERAGE('Condensed statements'!C33,'Condensed statements'!D33)</f>
        <v>4.1751357571834431</v>
      </c>
      <c r="D64" s="20">
        <f>'Exhibit 3-Financial Statements'!D6/AVERAGE('Condensed statements'!D33,'Condensed statements'!E33)</f>
        <v>4.1589440207913002</v>
      </c>
      <c r="E64" s="20">
        <f>'Exhibit 3-Financial Statements'!E6/AVERAGE('Condensed statements'!E33,'Condensed statements'!F33)</f>
        <v>4.1139182361047313</v>
      </c>
      <c r="F64" s="20">
        <f>'Exhibit 3-Financial Statements'!F6/AVERAGE('Condensed statements'!F33,'Condensed statements'!G33)</f>
        <v>4.1808290869026301</v>
      </c>
    </row>
    <row r="65" spans="1:6" x14ac:dyDescent="0.25">
      <c r="A65" s="2" t="s">
        <v>47</v>
      </c>
      <c r="B65" s="21">
        <f>365*(1/B64)</f>
        <v>84.341680627810589</v>
      </c>
      <c r="C65" s="21">
        <f t="shared" ref="C65:F65" si="17">365*(1/C64)</f>
        <v>87.422307016486073</v>
      </c>
      <c r="D65" s="21">
        <f t="shared" si="17"/>
        <v>87.762662391054107</v>
      </c>
      <c r="E65" s="21">
        <f t="shared" si="17"/>
        <v>88.723202322465383</v>
      </c>
      <c r="F65" s="21">
        <f t="shared" si="17"/>
        <v>87.303257897684233</v>
      </c>
    </row>
    <row r="66" spans="1:6" x14ac:dyDescent="0.25">
      <c r="A66" s="2" t="s">
        <v>61</v>
      </c>
      <c r="B66" s="21">
        <f t="shared" ref="B66" si="18">B63+B61-B65</f>
        <v>-34.911601247373355</v>
      </c>
      <c r="C66" s="21">
        <f t="shared" ref="C66:F66" si="19">C63+C61-C65</f>
        <v>-36.565868229573091</v>
      </c>
      <c r="D66" s="21">
        <f t="shared" si="19"/>
        <v>-36.577142615264115</v>
      </c>
      <c r="E66" s="21">
        <f t="shared" si="19"/>
        <v>-36.192307785004914</v>
      </c>
      <c r="F66" s="21">
        <f t="shared" si="19"/>
        <v>-35.232374679234361</v>
      </c>
    </row>
    <row r="68" spans="1:6" x14ac:dyDescent="0.25">
      <c r="A68" s="3" t="s">
        <v>50</v>
      </c>
    </row>
    <row r="69" spans="1:6" x14ac:dyDescent="0.25">
      <c r="A69" s="58" t="s">
        <v>26</v>
      </c>
      <c r="B69" s="59">
        <v>2020</v>
      </c>
      <c r="C69" s="59">
        <v>2019</v>
      </c>
      <c r="D69" s="59">
        <v>2018</v>
      </c>
      <c r="E69" s="59">
        <v>2017</v>
      </c>
      <c r="F69" s="59">
        <v>2016</v>
      </c>
    </row>
    <row r="70" spans="1:6" x14ac:dyDescent="0.25">
      <c r="A70" s="2" t="s">
        <v>48</v>
      </c>
      <c r="B70" s="18">
        <f>B3</f>
        <v>7.493777020830604E-2</v>
      </c>
      <c r="C70" s="18">
        <f>C3</f>
        <v>1.9627513412134166E-2</v>
      </c>
      <c r="D70" s="18">
        <f>D3</f>
        <v>-3.8469758495404223E-3</v>
      </c>
      <c r="E70" s="18">
        <f>E3</f>
        <v>-3.0311814153795347E-2</v>
      </c>
      <c r="F70" s="18">
        <f>F3</f>
        <v>8.3598444680098929E-2</v>
      </c>
    </row>
    <row r="71" spans="1:6" x14ac:dyDescent="0.25">
      <c r="A71" s="2" t="s">
        <v>49</v>
      </c>
      <c r="B71" s="22">
        <f>-'Exhibit 3-Financial Statements'!B94/'Condensed statements'!B85</f>
        <v>0.19813519813519814</v>
      </c>
      <c r="C71" s="22">
        <f>-'Exhibit 3-Financial Statements'!C94/'Condensed statements'!C85</f>
        <v>0.98666666666666669</v>
      </c>
      <c r="D71" s="22">
        <f>-'Exhibit 3-Financial Statements'!D94/'Condensed statements'!D85</f>
        <v>-5.200000000000105</v>
      </c>
      <c r="E71" s="22">
        <f>-'Exhibit 3-Financial Statements'!E94/'Condensed statements'!E85</f>
        <v>-0.79781420765026922</v>
      </c>
      <c r="F71" s="22">
        <f>-'Exhibit 3-Financial Statements'!F94/'Condensed statements'!F85</f>
        <v>0.21881606765327707</v>
      </c>
    </row>
    <row r="72" spans="1:6" x14ac:dyDescent="0.25">
      <c r="A72" s="2" t="s">
        <v>50</v>
      </c>
      <c r="B72" s="18">
        <f t="shared" ref="B72:C72" si="20">(1-B71)*B70</f>
        <v>6.008996026027337E-2</v>
      </c>
      <c r="C72" s="18">
        <f t="shared" si="20"/>
        <v>2.6170017882845505E-4</v>
      </c>
      <c r="D72" s="18">
        <f t="shared" ref="D72:E72" si="21">(1-D71)*D70</f>
        <v>-2.3851250267151021E-2</v>
      </c>
      <c r="E72" s="18">
        <f t="shared" si="21"/>
        <v>-5.44950101453478E-2</v>
      </c>
      <c r="F72" s="18">
        <f t="shared" ref="F72" si="22">(1-F71)*F70</f>
        <v>6.5305761753269659E-2</v>
      </c>
    </row>
  </sheetData>
  <mergeCells count="2">
    <mergeCell ref="G32:J32"/>
    <mergeCell ref="G47:J47"/>
  </mergeCells>
  <pageMargins left="0.7" right="0.7" top="0.75" bottom="0.75" header="0.3" footer="0.3"/>
  <pageSetup paperSize="9" orientation="portrait" verticalDpi="0" r:id="rId1"/>
  <ignoredErrors>
    <ignoredError sqref="B11:F11 B29:F29 B62:F62 B64:F6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9CAB-0A74-4ABB-BF3B-02300DFAB30B}">
  <sheetPr>
    <tabColor rgb="FF00B050"/>
  </sheetPr>
  <dimension ref="A1:E37"/>
  <sheetViews>
    <sheetView workbookViewId="0">
      <selection activeCell="A20" sqref="A20:E37"/>
    </sheetView>
  </sheetViews>
  <sheetFormatPr defaultColWidth="8.85546875" defaultRowHeight="15" x14ac:dyDescent="0.25"/>
  <cols>
    <col min="1" max="1" width="27.7109375" style="33" customWidth="1"/>
    <col min="2" max="5" width="10.42578125" style="33" customWidth="1"/>
    <col min="6" max="16384" width="8.85546875" style="33"/>
  </cols>
  <sheetData>
    <row r="1" spans="1:5" ht="30" x14ac:dyDescent="0.25">
      <c r="A1" s="53"/>
      <c r="B1" s="54" t="s">
        <v>72</v>
      </c>
      <c r="C1" s="54" t="s">
        <v>73</v>
      </c>
      <c r="D1" s="54" t="s">
        <v>74</v>
      </c>
      <c r="E1" s="54" t="s">
        <v>75</v>
      </c>
    </row>
    <row r="2" spans="1:5" x14ac:dyDescent="0.25">
      <c r="A2" s="45" t="s">
        <v>176</v>
      </c>
    </row>
    <row r="3" spans="1:5" x14ac:dyDescent="0.25">
      <c r="A3" s="1">
        <v>2020</v>
      </c>
      <c r="B3" s="55">
        <f>'Exhibit 2-Geographic Segment'!C8/'Exhibit 2-Geographic Segment'!C2</f>
        <v>1.8426834627215467E-2</v>
      </c>
      <c r="C3" s="55">
        <f>'Exhibit 2-Geographic Segment'!D8/'Exhibit 2-Geographic Segment'!D2</f>
        <v>3.2864070813126797E-2</v>
      </c>
      <c r="D3" s="55">
        <f>'Exhibit 2-Geographic Segment'!E8/'Exhibit 2-Geographic Segment'!E2</f>
        <v>5.9343148357870898E-2</v>
      </c>
      <c r="E3" s="55">
        <f>'Exhibit 2-Geographic Segment'!F8/'Exhibit 2-Geographic Segment'!F2</f>
        <v>4.476190476190476E-2</v>
      </c>
    </row>
    <row r="4" spans="1:5" x14ac:dyDescent="0.25">
      <c r="A4" s="1">
        <v>2019</v>
      </c>
      <c r="B4" s="55">
        <f>'Exhibit 2-Geographic Segment'!C9/'Exhibit 2-Geographic Segment'!C3</f>
        <v>1.5964331943046167E-2</v>
      </c>
      <c r="C4" s="55">
        <f>'Exhibit 2-Geographic Segment'!D9/'Exhibit 2-Geographic Segment'!D3</f>
        <v>3.1382446783180154E-2</v>
      </c>
      <c r="D4" s="55">
        <f>'Exhibit 2-Geographic Segment'!E9/'Exhibit 2-Geographic Segment'!E3</f>
        <v>5.6801909307875896E-2</v>
      </c>
      <c r="E4" s="55">
        <f>'Exhibit 2-Geographic Segment'!F9/'Exhibit 2-Geographic Segment'!F3</f>
        <v>4.217479674796748E-2</v>
      </c>
    </row>
    <row r="5" spans="1:5" x14ac:dyDescent="0.25">
      <c r="A5" s="1">
        <v>2018</v>
      </c>
      <c r="B5" s="55">
        <f>'Exhibit 2-Geographic Segment'!C10/'Exhibit 2-Geographic Segment'!C4</f>
        <v>1.308437456128036E-2</v>
      </c>
      <c r="C5" s="55">
        <f>'Exhibit 2-Geographic Segment'!D10/'Exhibit 2-Geographic Segment'!D4</f>
        <v>3.1505029417346744E-2</v>
      </c>
      <c r="D5" s="55">
        <f>'Exhibit 2-Geographic Segment'!E10/'Exhibit 2-Geographic Segment'!E4</f>
        <v>5.5543486132232603E-2</v>
      </c>
      <c r="E5" s="55">
        <f>'Exhibit 2-Geographic Segment'!F10/'Exhibit 2-Geographic Segment'!F4</f>
        <v>8.1803308489365577E-3</v>
      </c>
    </row>
    <row r="6" spans="1:5" x14ac:dyDescent="0.25">
      <c r="A6" s="1">
        <v>2017</v>
      </c>
      <c r="B6" s="55">
        <f>'Exhibit 2-Geographic Segment'!C11/'Exhibit 2-Geographic Segment'!C5</f>
        <v>1.9310729733500766E-2</v>
      </c>
      <c r="C6" s="55">
        <f>'Exhibit 2-Geographic Segment'!D11/'Exhibit 2-Geographic Segment'!D5</f>
        <v>3.206707086017431E-2</v>
      </c>
      <c r="D6" s="55">
        <f>'Exhibit 2-Geographic Segment'!E11/'Exhibit 2-Geographic Segment'!E5</f>
        <v>4.4570502431118313E-2</v>
      </c>
      <c r="E6" s="55">
        <f>'Exhibit 2-Geographic Segment'!F11/'Exhibit 2-Geographic Segment'!F5</f>
        <v>6.7716268833587271E-4</v>
      </c>
    </row>
    <row r="7" spans="1:5" x14ac:dyDescent="0.25">
      <c r="A7" s="1">
        <v>2016</v>
      </c>
      <c r="B7" s="55">
        <f>'Exhibit 2-Geographic Segment'!C12/'Exhibit 2-Geographic Segment'!C6</f>
        <v>2.8737073891351005E-2</v>
      </c>
      <c r="C7" s="55">
        <f>'Exhibit 2-Geographic Segment'!D12/'Exhibit 2-Geographic Segment'!D6</f>
        <v>3.5449340303709234E-2</v>
      </c>
      <c r="D7" s="55">
        <f>'Exhibit 2-Geographic Segment'!E12/'Exhibit 2-Geographic Segment'!E6</f>
        <v>4.9010822361618529E-2</v>
      </c>
      <c r="E7" s="55">
        <f>'Exhibit 2-Geographic Segment'!F12/'Exhibit 2-Geographic Segment'!F6</f>
        <v>-9.39119170984456E-3</v>
      </c>
    </row>
    <row r="8" spans="1:5" x14ac:dyDescent="0.25">
      <c r="A8" s="45" t="s">
        <v>178</v>
      </c>
      <c r="B8" s="55"/>
      <c r="C8" s="55"/>
      <c r="D8" s="55"/>
      <c r="E8" s="55"/>
    </row>
    <row r="9" spans="1:5" x14ac:dyDescent="0.25">
      <c r="A9" s="1">
        <v>2020</v>
      </c>
      <c r="B9" s="71">
        <f>'Exhibit 2-Geographic Segment'!C2/AVERAGE('Exhibit 2-Geographic Segment'!C14:C15)</f>
        <v>1.6868452263293141</v>
      </c>
      <c r="C9" s="71">
        <f>'Exhibit 2-Geographic Segment'!D2/AVERAGE('Exhibit 2-Geographic Segment'!D14:D15)</f>
        <v>1.8444637429439861</v>
      </c>
      <c r="D9" s="71">
        <f>'Exhibit 2-Geographic Segment'!E2/AVERAGE('Exhibit 2-Geographic Segment'!E14:E15)</f>
        <v>1.6872611464968152</v>
      </c>
      <c r="E9" s="71">
        <f>'Exhibit 2-Geographic Segment'!F2/AVERAGE('Exhibit 2-Geographic Segment'!F14:F15)</f>
        <v>1.8025751072961373</v>
      </c>
    </row>
    <row r="10" spans="1:5" x14ac:dyDescent="0.25">
      <c r="A10" s="1">
        <v>2019</v>
      </c>
      <c r="B10" s="71">
        <f>'Exhibit 2-Geographic Segment'!C3/AVERAGE('Exhibit 2-Geographic Segment'!C15:C16)</f>
        <v>1.7339152119700749</v>
      </c>
      <c r="C10" s="71">
        <f>'Exhibit 2-Geographic Segment'!D3/AVERAGE('Exhibit 2-Geographic Segment'!D15:D16)</f>
        <v>1.9289913650560353</v>
      </c>
      <c r="D10" s="71">
        <f>'Exhibit 2-Geographic Segment'!E3/AVERAGE('Exhibit 2-Geographic Segment'!E15:E16)</f>
        <v>1.8783221261607428</v>
      </c>
      <c r="E10" s="71">
        <f>'Exhibit 2-Geographic Segment'!F3/AVERAGE('Exhibit 2-Geographic Segment'!F15:F16)</f>
        <v>1.2354048964218456</v>
      </c>
    </row>
    <row r="11" spans="1:5" x14ac:dyDescent="0.25">
      <c r="A11" s="1">
        <v>2018</v>
      </c>
      <c r="B11" s="71">
        <f>'Exhibit 2-Geographic Segment'!C4/AVERAGE('Exhibit 2-Geographic Segment'!C16:C17)</f>
        <v>1.8128833575118983</v>
      </c>
      <c r="C11" s="71">
        <f>'Exhibit 2-Geographic Segment'!D4/AVERAGE('Exhibit 2-Geographic Segment'!D16:D17)</f>
        <v>2.0711477987421385</v>
      </c>
      <c r="D11" s="71">
        <f>'Exhibit 2-Geographic Segment'!E4/AVERAGE('Exhibit 2-Geographic Segment'!E16:E17)</f>
        <v>1.9378332865562728</v>
      </c>
      <c r="E11" s="71">
        <f>'Exhibit 2-Geographic Segment'!F4/AVERAGE('Exhibit 2-Geographic Segment'!F16:F17)</f>
        <v>2.6723342239494778</v>
      </c>
    </row>
    <row r="12" spans="1:5" x14ac:dyDescent="0.25">
      <c r="A12" s="1">
        <v>2017</v>
      </c>
      <c r="B12" s="71">
        <f>'Exhibit 2-Geographic Segment'!C5/AVERAGE('Exhibit 2-Geographic Segment'!C17:C18)</f>
        <v>1.7892897266258894</v>
      </c>
      <c r="C12" s="71">
        <f>'Exhibit 2-Geographic Segment'!D5/AVERAGE('Exhibit 2-Geographic Segment'!D17:D18)</f>
        <v>1.9934847268778622</v>
      </c>
      <c r="D12" s="71">
        <f>'Exhibit 2-Geographic Segment'!E5/AVERAGE('Exhibit 2-Geographic Segment'!E17:E18)</f>
        <v>2.1837734821671657</v>
      </c>
      <c r="E12" s="71">
        <f>'Exhibit 2-Geographic Segment'!F5/AVERAGE('Exhibit 2-Geographic Segment'!F17:F18)</f>
        <v>2.5873850197109065</v>
      </c>
    </row>
    <row r="13" spans="1:5" x14ac:dyDescent="0.25">
      <c r="A13" s="1">
        <v>2016</v>
      </c>
      <c r="B13" s="71">
        <f>'Exhibit 2-Geographic Segment'!C6/AVERAGE('Exhibit 2-Geographic Segment'!C18:C19)</f>
        <v>1.8274290080224118</v>
      </c>
      <c r="C13" s="71">
        <f>'Exhibit 2-Geographic Segment'!D6/AVERAGE('Exhibit 2-Geographic Segment'!D18:D19)</f>
        <v>1.9104917720916961</v>
      </c>
      <c r="D13" s="71">
        <f>'Exhibit 2-Geographic Segment'!E6/AVERAGE('Exhibit 2-Geographic Segment'!E18:E19)</f>
        <v>2.1747994902930814</v>
      </c>
      <c r="E13" s="71">
        <f>'Exhibit 2-Geographic Segment'!F6/AVERAGE('Exhibit 2-Geographic Segment'!F18:F19)</f>
        <v>2.5846411383134549</v>
      </c>
    </row>
    <row r="14" spans="1:5" x14ac:dyDescent="0.25">
      <c r="A14" s="45" t="s">
        <v>177</v>
      </c>
    </row>
    <row r="15" spans="1:5" x14ac:dyDescent="0.25">
      <c r="A15" s="1">
        <v>2020</v>
      </c>
      <c r="B15" s="71">
        <f>'Exhibit 2-Geographic Segment'!C2/AVERAGE('Exhibit 2-Geographic Segment'!C32:C33)</f>
        <v>6.2165361500637406</v>
      </c>
      <c r="C15" s="71">
        <f>'Exhibit 2-Geographic Segment'!D2/AVERAGE('Exhibit 2-Geographic Segment'!D32:D33)</f>
        <v>3.6117677068276506</v>
      </c>
      <c r="D15" s="71">
        <f>'Exhibit 2-Geographic Segment'!E2/AVERAGE('Exhibit 2-Geographic Segment'!E32:E33)</f>
        <v>4.967185449090568</v>
      </c>
      <c r="E15" s="71">
        <f>'Exhibit 2-Geographic Segment'!F2/AVERAGE('Exhibit 2-Geographic Segment'!F32:F33)</f>
        <v>2.014388489208633</v>
      </c>
    </row>
    <row r="16" spans="1:5" x14ac:dyDescent="0.25">
      <c r="A16" s="1">
        <v>2019</v>
      </c>
      <c r="B16" s="71">
        <f>'Exhibit 2-Geographic Segment'!C3/AVERAGE('Exhibit 2-Geographic Segment'!C33:C34)</f>
        <v>6.3088648942927144</v>
      </c>
      <c r="C16" s="71">
        <f>'Exhibit 2-Geographic Segment'!D3/AVERAGE('Exhibit 2-Geographic Segment'!D33:D34)</f>
        <v>3.7518313382169017</v>
      </c>
      <c r="D16" s="71">
        <f>'Exhibit 2-Geographic Segment'!E3/AVERAGE('Exhibit 2-Geographic Segment'!E33:E34)</f>
        <v>5.721810378462739</v>
      </c>
      <c r="E16" s="71">
        <f>'Exhibit 2-Geographic Segment'!F3/AVERAGE('Exhibit 2-Geographic Segment'!F33:F34)</f>
        <v>1.0589184826472962</v>
      </c>
    </row>
    <row r="17" spans="1:5" x14ac:dyDescent="0.25">
      <c r="A17" s="1">
        <v>2018</v>
      </c>
      <c r="B17" s="71">
        <f>'Exhibit 2-Geographic Segment'!C4/AVERAGE('Exhibit 2-Geographic Segment'!C34:C35)</f>
        <v>6.2979664014146772</v>
      </c>
      <c r="C17" s="71">
        <f>'Exhibit 2-Geographic Segment'!D4/AVERAGE('Exhibit 2-Geographic Segment'!D34:D35)</f>
        <v>3.7645797981602214</v>
      </c>
      <c r="D17" s="71">
        <f>'Exhibit 2-Geographic Segment'!E4/AVERAGE('Exhibit 2-Geographic Segment'!E34:E35)</f>
        <v>5.6156974379829201</v>
      </c>
      <c r="E17" s="71">
        <f>'Exhibit 2-Geographic Segment'!F4/AVERAGE('Exhibit 2-Geographic Segment'!F34:F35)</f>
        <v>2.0362761428835832</v>
      </c>
    </row>
    <row r="18" spans="1:5" x14ac:dyDescent="0.25">
      <c r="A18" s="1">
        <v>2017</v>
      </c>
      <c r="B18" s="71">
        <f>'Exhibit 2-Geographic Segment'!C5/AVERAGE('Exhibit 2-Geographic Segment'!C35:C36)</f>
        <v>6.2414003309239749</v>
      </c>
      <c r="C18" s="71">
        <f>'Exhibit 2-Geographic Segment'!D5/AVERAGE('Exhibit 2-Geographic Segment'!D35:D36)</f>
        <v>3.821868211440985</v>
      </c>
      <c r="D18" s="71">
        <f>'Exhibit 2-Geographic Segment'!E5/AVERAGE('Exhibit 2-Geographic Segment'!E35:E36)</f>
        <v>6.7644950453299604</v>
      </c>
      <c r="E18" s="71">
        <f>'Exhibit 2-Geographic Segment'!F5/AVERAGE('Exhibit 2-Geographic Segment'!F35:F36)</f>
        <v>2.1503458318165269</v>
      </c>
    </row>
    <row r="19" spans="1:5" x14ac:dyDescent="0.25">
      <c r="A19" s="1">
        <v>2016</v>
      </c>
      <c r="B19" s="71">
        <f>'Exhibit 2-Geographic Segment'!C6/AVERAGE('Exhibit 2-Geographic Segment'!C36:C37)</f>
        <v>6.3013963291472734</v>
      </c>
      <c r="C19" s="71">
        <f>'Exhibit 2-Geographic Segment'!D6/AVERAGE('Exhibit 2-Geographic Segment'!D36:D37)</f>
        <v>3.4966922005571033</v>
      </c>
      <c r="D19" s="71">
        <f>'Exhibit 2-Geographic Segment'!E6/AVERAGE('Exhibit 2-Geographic Segment'!E36:E37)</f>
        <v>6.317004136729806</v>
      </c>
      <c r="E19" s="71">
        <f>'Exhibit 2-Geographic Segment'!F6/AVERAGE('Exhibit 2-Geographic Segment'!F36:F37)</f>
        <v>2.249089584850692</v>
      </c>
    </row>
    <row r="20" spans="1:5" x14ac:dyDescent="0.25">
      <c r="A20" s="45"/>
    </row>
    <row r="21" spans="1:5" x14ac:dyDescent="0.25">
      <c r="A21" s="1"/>
      <c r="B21" s="55"/>
      <c r="C21" s="55"/>
      <c r="D21" s="55"/>
      <c r="E21" s="55"/>
    </row>
    <row r="22" spans="1:5" x14ac:dyDescent="0.25">
      <c r="A22" s="1"/>
      <c r="B22" s="55"/>
      <c r="C22" s="55"/>
      <c r="D22" s="55"/>
      <c r="E22" s="55"/>
    </row>
    <row r="23" spans="1:5" x14ac:dyDescent="0.25">
      <c r="A23" s="1"/>
      <c r="B23" s="55"/>
      <c r="C23" s="55"/>
      <c r="D23" s="55"/>
      <c r="E23" s="55"/>
    </row>
    <row r="24" spans="1:5" x14ac:dyDescent="0.25">
      <c r="A24" s="1"/>
      <c r="B24" s="55"/>
      <c r="C24" s="55"/>
      <c r="D24" s="55"/>
      <c r="E24" s="55"/>
    </row>
    <row r="25" spans="1:5" x14ac:dyDescent="0.25">
      <c r="A25" s="1"/>
      <c r="B25" s="55"/>
      <c r="C25" s="55"/>
      <c r="D25" s="55"/>
      <c r="E25" s="55"/>
    </row>
    <row r="26" spans="1:5" x14ac:dyDescent="0.25">
      <c r="A26" s="45"/>
    </row>
    <row r="27" spans="1:5" x14ac:dyDescent="0.25">
      <c r="A27" s="1"/>
      <c r="B27" s="55"/>
      <c r="C27" s="55"/>
      <c r="D27" s="55"/>
      <c r="E27" s="55"/>
    </row>
    <row r="28" spans="1:5" x14ac:dyDescent="0.25">
      <c r="A28" s="1"/>
      <c r="B28" s="55"/>
      <c r="C28" s="55"/>
      <c r="D28" s="55"/>
      <c r="E28" s="55"/>
    </row>
    <row r="29" spans="1:5" x14ac:dyDescent="0.25">
      <c r="A29" s="1"/>
      <c r="B29" s="55"/>
      <c r="C29" s="55"/>
      <c r="D29" s="55"/>
      <c r="E29" s="55"/>
    </row>
    <row r="30" spans="1:5" x14ac:dyDescent="0.25">
      <c r="A30" s="1"/>
      <c r="B30" s="55"/>
      <c r="C30" s="55"/>
      <c r="D30" s="55"/>
      <c r="E30" s="55"/>
    </row>
    <row r="31" spans="1:5" x14ac:dyDescent="0.25">
      <c r="A31" s="1"/>
      <c r="B31" s="55"/>
      <c r="C31" s="55"/>
      <c r="D31" s="55"/>
      <c r="E31" s="55"/>
    </row>
    <row r="32" spans="1:5" x14ac:dyDescent="0.25">
      <c r="A32" s="45"/>
    </row>
    <row r="33" spans="1:5" x14ac:dyDescent="0.25">
      <c r="A33" s="1"/>
      <c r="B33" s="55"/>
      <c r="C33" s="55"/>
      <c r="D33" s="55"/>
      <c r="E33" s="55"/>
    </row>
    <row r="34" spans="1:5" x14ac:dyDescent="0.25">
      <c r="A34" s="1"/>
      <c r="B34" s="55"/>
      <c r="C34" s="55"/>
      <c r="D34" s="55"/>
      <c r="E34" s="55"/>
    </row>
    <row r="35" spans="1:5" x14ac:dyDescent="0.25">
      <c r="A35" s="1"/>
      <c r="B35" s="55"/>
      <c r="C35" s="55"/>
      <c r="D35" s="55"/>
      <c r="E35" s="55"/>
    </row>
    <row r="36" spans="1:5" x14ac:dyDescent="0.25">
      <c r="A36" s="1"/>
      <c r="B36" s="55"/>
      <c r="C36" s="55"/>
      <c r="D36" s="55"/>
      <c r="E36" s="55"/>
    </row>
    <row r="37" spans="1:5" x14ac:dyDescent="0.25">
      <c r="A37" s="1"/>
      <c r="B37" s="55"/>
      <c r="C37" s="55"/>
      <c r="D37" s="55"/>
      <c r="E37" s="5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Exhibit 2-Geographic Segment</vt:lpstr>
      <vt:lpstr>Exhibit 3-Financial Statements</vt:lpstr>
      <vt:lpstr>Exhibit 4-LFL sales growth</vt:lpstr>
      <vt:lpstr>Exhibit 5 - Casino</vt:lpstr>
      <vt:lpstr>Condensed statements</vt:lpstr>
      <vt:lpstr>Ratio analysis</vt:lpstr>
      <vt:lpstr>Segment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Peek-Apreda</dc:creator>
  <cp:lastModifiedBy>Xi.Li</cp:lastModifiedBy>
  <cp:lastPrinted>2021-08-23T14:13:24Z</cp:lastPrinted>
  <dcterms:created xsi:type="dcterms:W3CDTF">2006-04-02T09:15:21Z</dcterms:created>
  <dcterms:modified xsi:type="dcterms:W3CDTF">2025-02-13T11:14:32Z</dcterms:modified>
</cp:coreProperties>
</file>