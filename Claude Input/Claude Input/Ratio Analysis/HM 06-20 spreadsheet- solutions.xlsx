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24226"/>
  <mc:AlternateContent xmlns:mc="http://schemas.openxmlformats.org/markup-compatibility/2006">
    <mc:Choice Requires="x15">
      <x15ac:absPath xmlns:x15ac="http://schemas.microsoft.com/office/spreadsheetml/2010/11/ac" url="C:\Users\lix14\Dropbox\Teaching\LSE - AC444 2025\Week 4-2 - Ratio analysis\Mini Case - H&amp;M and Inditex\"/>
    </mc:Choice>
  </mc:AlternateContent>
  <xr:revisionPtr revIDLastSave="0" documentId="13_ncr:1_{94CE269C-F3FB-4B62-A1E6-2A9D31A9DF28}" xr6:coauthVersionLast="47" xr6:coauthVersionMax="47" xr10:uidLastSave="{00000000-0000-0000-0000-000000000000}"/>
  <bookViews>
    <workbookView xWindow="-120" yWindow="-120" windowWidth="29040" windowHeight="15840" activeTab="4" xr2:uid="{00000000-000D-0000-FFFF-FFFF00000000}"/>
  </bookViews>
  <sheets>
    <sheet name="Financial Statements" sheetId="9" r:id="rId1"/>
    <sheet name="Standardized Statements" sheetId="19" r:id="rId2"/>
    <sheet name="Lease adjustments" sheetId="21" r:id="rId3"/>
    <sheet name="Adjusted Statements" sheetId="20" r:id="rId4"/>
    <sheet name="Ratio Analysis" sheetId="2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S96" i="20" l="1"/>
  <c r="T96" i="20"/>
  <c r="U96" i="20"/>
  <c r="V96" i="20"/>
  <c r="W96" i="20"/>
  <c r="X96" i="20"/>
  <c r="Y96" i="20"/>
  <c r="Z96" i="20"/>
  <c r="AA96" i="20"/>
  <c r="AB96" i="20"/>
  <c r="AC96" i="20"/>
  <c r="AD96" i="20"/>
  <c r="AE96" i="20"/>
  <c r="AF96" i="20"/>
  <c r="S98" i="20"/>
  <c r="T98" i="20"/>
  <c r="U98" i="20"/>
  <c r="V98" i="20"/>
  <c r="W98" i="20"/>
  <c r="X98" i="20"/>
  <c r="Y98" i="20"/>
  <c r="Z98" i="20"/>
  <c r="AA98" i="20"/>
  <c r="AB98" i="20"/>
  <c r="AC98" i="20"/>
  <c r="AD98" i="20"/>
  <c r="AE98" i="20"/>
  <c r="AF98" i="20"/>
  <c r="S103" i="20"/>
  <c r="T103" i="20"/>
  <c r="U103" i="20"/>
  <c r="V103" i="20"/>
  <c r="W103" i="20"/>
  <c r="X103" i="20"/>
  <c r="Y103" i="20"/>
  <c r="Z103" i="20"/>
  <c r="AA103" i="20"/>
  <c r="AB103" i="20"/>
  <c r="AC103" i="20"/>
  <c r="AD103" i="20"/>
  <c r="AE103" i="20"/>
  <c r="AF103" i="20"/>
  <c r="S104" i="20"/>
  <c r="T104" i="20"/>
  <c r="U104" i="20"/>
  <c r="U105" i="20" s="1"/>
  <c r="U102" i="20" s="1"/>
  <c r="V104" i="20"/>
  <c r="V105" i="20" s="1"/>
  <c r="V102" i="20" s="1"/>
  <c r="W104" i="20"/>
  <c r="W105" i="20" s="1"/>
  <c r="W102" i="20" s="1"/>
  <c r="X104" i="20"/>
  <c r="X105" i="20" s="1"/>
  <c r="X102" i="20" s="1"/>
  <c r="Y104" i="20"/>
  <c r="Y105" i="20" s="1"/>
  <c r="Y102" i="20" s="1"/>
  <c r="Z104" i="20"/>
  <c r="Z105" i="20" s="1"/>
  <c r="Z102" i="20" s="1"/>
  <c r="AA104" i="20"/>
  <c r="AA105" i="20" s="1"/>
  <c r="AA102" i="20" s="1"/>
  <c r="AB104" i="20"/>
  <c r="AB105" i="20" s="1"/>
  <c r="AB102" i="20" s="1"/>
  <c r="AC104" i="20"/>
  <c r="AC105" i="20" s="1"/>
  <c r="AC102" i="20" s="1"/>
  <c r="AD104" i="20"/>
  <c r="AD105" i="20" s="1"/>
  <c r="AD102" i="20" s="1"/>
  <c r="AE104" i="20"/>
  <c r="AE105" i="20" s="1"/>
  <c r="AE102" i="20" s="1"/>
  <c r="AF104" i="20"/>
  <c r="AF105" i="20" s="1"/>
  <c r="AF102" i="20" s="1"/>
  <c r="S105" i="20"/>
  <c r="S102" i="20" s="1"/>
  <c r="T105" i="20"/>
  <c r="T102" i="20" s="1"/>
  <c r="S107" i="20"/>
  <c r="S109" i="20" s="1"/>
  <c r="S106" i="20" s="1"/>
  <c r="S99" i="20" s="1"/>
  <c r="T107" i="20"/>
  <c r="T109" i="20" s="1"/>
  <c r="T106" i="20" s="1"/>
  <c r="T99" i="20" s="1"/>
  <c r="U107" i="20"/>
  <c r="U109" i="20" s="1"/>
  <c r="U106" i="20" s="1"/>
  <c r="U99" i="20" s="1"/>
  <c r="V107" i="20"/>
  <c r="V109" i="20" s="1"/>
  <c r="V106" i="20" s="1"/>
  <c r="V99" i="20" s="1"/>
  <c r="W107" i="20"/>
  <c r="W109" i="20" s="1"/>
  <c r="W106" i="20" s="1"/>
  <c r="W99" i="20" s="1"/>
  <c r="W101" i="20" s="1"/>
  <c r="X107" i="20"/>
  <c r="X109" i="20" s="1"/>
  <c r="X106" i="20" s="1"/>
  <c r="X99" i="20" s="1"/>
  <c r="Y107" i="20"/>
  <c r="Z107" i="20"/>
  <c r="AA107" i="20"/>
  <c r="AB107" i="20"/>
  <c r="AC107" i="20"/>
  <c r="AD107" i="20"/>
  <c r="AE107" i="20"/>
  <c r="AF107" i="20"/>
  <c r="S108" i="20"/>
  <c r="T108" i="20"/>
  <c r="U108" i="20"/>
  <c r="V108" i="20"/>
  <c r="W108" i="20"/>
  <c r="X108" i="20"/>
  <c r="Y108" i="20"/>
  <c r="Z108" i="20"/>
  <c r="AA108" i="20"/>
  <c r="AB108" i="20"/>
  <c r="AC108" i="20"/>
  <c r="AC109" i="20" s="1"/>
  <c r="AC106" i="20" s="1"/>
  <c r="AC99" i="20" s="1"/>
  <c r="AC101" i="20" s="1"/>
  <c r="AD108" i="20"/>
  <c r="AD109" i="20" s="1"/>
  <c r="AD106" i="20" s="1"/>
  <c r="AD99" i="20" s="1"/>
  <c r="AD101" i="20" s="1"/>
  <c r="AE108" i="20"/>
  <c r="AE109" i="20" s="1"/>
  <c r="AE106" i="20" s="1"/>
  <c r="AE99" i="20" s="1"/>
  <c r="AE101" i="20" s="1"/>
  <c r="AF108" i="20"/>
  <c r="AF109" i="20" s="1"/>
  <c r="AF106" i="20" s="1"/>
  <c r="AF99" i="20" s="1"/>
  <c r="AF101" i="20" s="1"/>
  <c r="Y109" i="20"/>
  <c r="Y106" i="20" s="1"/>
  <c r="Y99" i="20" s="1"/>
  <c r="Y101" i="20" s="1"/>
  <c r="Z109" i="20"/>
  <c r="Z106" i="20" s="1"/>
  <c r="Z99" i="20" s="1"/>
  <c r="Z101" i="20" s="1"/>
  <c r="AA109" i="20"/>
  <c r="AA106" i="20" s="1"/>
  <c r="AA99" i="20" s="1"/>
  <c r="AA101" i="20" s="1"/>
  <c r="AB109" i="20"/>
  <c r="AB106" i="20" s="1"/>
  <c r="AB99" i="20" s="1"/>
  <c r="AB101" i="20" s="1"/>
  <c r="S111" i="20"/>
  <c r="S113" i="20" s="1"/>
  <c r="S110" i="20" s="1"/>
  <c r="S100" i="20" s="1"/>
  <c r="T111" i="20"/>
  <c r="T113" i="20" s="1"/>
  <c r="T110" i="20" s="1"/>
  <c r="T100" i="20" s="1"/>
  <c r="U111" i="20"/>
  <c r="U113" i="20" s="1"/>
  <c r="U110" i="20" s="1"/>
  <c r="U100" i="20" s="1"/>
  <c r="V111" i="20"/>
  <c r="V113" i="20" s="1"/>
  <c r="V110" i="20" s="1"/>
  <c r="V100" i="20" s="1"/>
  <c r="W111" i="20"/>
  <c r="W113" i="20" s="1"/>
  <c r="W110" i="20" s="1"/>
  <c r="W100" i="20" s="1"/>
  <c r="X111" i="20"/>
  <c r="X113" i="20" s="1"/>
  <c r="X110" i="20" s="1"/>
  <c r="X100" i="20" s="1"/>
  <c r="Y111" i="20"/>
  <c r="Y113" i="20" s="1"/>
  <c r="Y110" i="20" s="1"/>
  <c r="Y100" i="20" s="1"/>
  <c r="Z111" i="20"/>
  <c r="Z113" i="20" s="1"/>
  <c r="Z110" i="20" s="1"/>
  <c r="Z100" i="20" s="1"/>
  <c r="AA111" i="20"/>
  <c r="AA113" i="20" s="1"/>
  <c r="AA110" i="20" s="1"/>
  <c r="AA100" i="20" s="1"/>
  <c r="AB111" i="20"/>
  <c r="AB113" i="20" s="1"/>
  <c r="AB110" i="20" s="1"/>
  <c r="AB100" i="20" s="1"/>
  <c r="AC111" i="20"/>
  <c r="AC113" i="20" s="1"/>
  <c r="AC110" i="20" s="1"/>
  <c r="AC100" i="20" s="1"/>
  <c r="AD111" i="20"/>
  <c r="AD113" i="20" s="1"/>
  <c r="AD110" i="20" s="1"/>
  <c r="AD100" i="20" s="1"/>
  <c r="AE111" i="20"/>
  <c r="AE113" i="20" s="1"/>
  <c r="AE110" i="20" s="1"/>
  <c r="AE100" i="20" s="1"/>
  <c r="AF111" i="20"/>
  <c r="AF113" i="20" s="1"/>
  <c r="AF110" i="20" s="1"/>
  <c r="AF100" i="20" s="1"/>
  <c r="S112" i="20"/>
  <c r="T112" i="20"/>
  <c r="U112" i="20"/>
  <c r="V112" i="20"/>
  <c r="W112" i="20"/>
  <c r="X112" i="20"/>
  <c r="Y112" i="20"/>
  <c r="Z112" i="20"/>
  <c r="AA112" i="20"/>
  <c r="AB112" i="20"/>
  <c r="AC112" i="20"/>
  <c r="AD112" i="20"/>
  <c r="AE112" i="20"/>
  <c r="AF112" i="20"/>
  <c r="R113" i="20"/>
  <c r="R112" i="20"/>
  <c r="R111" i="20"/>
  <c r="R110" i="20"/>
  <c r="R109" i="20"/>
  <c r="R106" i="20" s="1"/>
  <c r="R99" i="20" s="1"/>
  <c r="R101" i="20" s="1"/>
  <c r="R108" i="20"/>
  <c r="R107" i="20"/>
  <c r="R104" i="20"/>
  <c r="R105" i="20" s="1"/>
  <c r="R102" i="20" s="1"/>
  <c r="R103" i="20"/>
  <c r="R100" i="20"/>
  <c r="R98" i="20"/>
  <c r="R96" i="20"/>
  <c r="AF87" i="20"/>
  <c r="AE87" i="20"/>
  <c r="AD87" i="20"/>
  <c r="AC87" i="20"/>
  <c r="AB87" i="20"/>
  <c r="AA87" i="20"/>
  <c r="Z87" i="20"/>
  <c r="Y87" i="20"/>
  <c r="X87" i="20"/>
  <c r="W87" i="20"/>
  <c r="V87" i="20"/>
  <c r="U87" i="20"/>
  <c r="T87" i="20"/>
  <c r="S87" i="20"/>
  <c r="C22" i="21"/>
  <c r="P34" i="21"/>
  <c r="O34" i="21"/>
  <c r="N34" i="21"/>
  <c r="M34" i="21"/>
  <c r="L34" i="21"/>
  <c r="K34" i="21"/>
  <c r="J34" i="21"/>
  <c r="I34" i="21"/>
  <c r="H34" i="21"/>
  <c r="G34" i="21"/>
  <c r="F34" i="21"/>
  <c r="E34" i="21"/>
  <c r="D34" i="21"/>
  <c r="C34" i="21"/>
  <c r="P33" i="21"/>
  <c r="O33" i="21"/>
  <c r="N33" i="21"/>
  <c r="M33" i="21"/>
  <c r="L33" i="21"/>
  <c r="K33" i="21"/>
  <c r="J33" i="21"/>
  <c r="I33" i="21"/>
  <c r="H33" i="21"/>
  <c r="G33" i="21"/>
  <c r="F33" i="21"/>
  <c r="E33" i="21"/>
  <c r="D33" i="21"/>
  <c r="C33" i="21"/>
  <c r="O29" i="21"/>
  <c r="N29" i="21"/>
  <c r="M29" i="21"/>
  <c r="K29" i="21"/>
  <c r="J29" i="21"/>
  <c r="I29" i="21"/>
  <c r="H29" i="21"/>
  <c r="G29" i="21"/>
  <c r="F29" i="21"/>
  <c r="E29" i="21"/>
  <c r="D29" i="21"/>
  <c r="C29" i="21"/>
  <c r="L29" i="21"/>
  <c r="O28" i="21"/>
  <c r="N28" i="21"/>
  <c r="M28" i="21"/>
  <c r="K28" i="21"/>
  <c r="J28" i="21"/>
  <c r="I28" i="21"/>
  <c r="H28" i="21"/>
  <c r="G28" i="21"/>
  <c r="F28" i="21"/>
  <c r="E28" i="21"/>
  <c r="D28" i="21"/>
  <c r="C28" i="21"/>
  <c r="L28" i="21"/>
  <c r="O27" i="21"/>
  <c r="N27" i="21"/>
  <c r="M27" i="21"/>
  <c r="K27" i="21"/>
  <c r="J27" i="21"/>
  <c r="I27" i="21"/>
  <c r="H27" i="21"/>
  <c r="G27" i="21"/>
  <c r="F27" i="21"/>
  <c r="E27" i="21"/>
  <c r="D27" i="21"/>
  <c r="C27" i="21"/>
  <c r="L27" i="21"/>
  <c r="N26" i="21"/>
  <c r="M26" i="21"/>
  <c r="L26" i="21"/>
  <c r="K26" i="21"/>
  <c r="J26" i="21"/>
  <c r="I26" i="21"/>
  <c r="H26" i="21"/>
  <c r="G26" i="21"/>
  <c r="F26" i="21"/>
  <c r="E26" i="21"/>
  <c r="D26" i="21"/>
  <c r="C26" i="21"/>
  <c r="O26" i="21"/>
  <c r="O22" i="21"/>
  <c r="N22" i="21"/>
  <c r="M22" i="21"/>
  <c r="L22" i="21"/>
  <c r="K22" i="21"/>
  <c r="J22" i="21"/>
  <c r="I22" i="21"/>
  <c r="H22" i="21"/>
  <c r="G22" i="21"/>
  <c r="F22" i="21"/>
  <c r="E22" i="21"/>
  <c r="D22" i="21"/>
  <c r="B22" i="21"/>
  <c r="P22" i="21"/>
  <c r="O21" i="21"/>
  <c r="N21" i="21"/>
  <c r="M21" i="21"/>
  <c r="L21" i="21"/>
  <c r="K21" i="21"/>
  <c r="J21" i="21"/>
  <c r="I21" i="21"/>
  <c r="H21" i="21"/>
  <c r="G21" i="21"/>
  <c r="F21" i="21"/>
  <c r="E21" i="21"/>
  <c r="D21" i="21"/>
  <c r="C21" i="21"/>
  <c r="B21" i="21"/>
  <c r="P21" i="21"/>
  <c r="O20" i="21"/>
  <c r="N20" i="21"/>
  <c r="M20" i="21"/>
  <c r="L20" i="21"/>
  <c r="K20" i="21"/>
  <c r="J20" i="21"/>
  <c r="I20" i="21"/>
  <c r="H20" i="21"/>
  <c r="G20" i="21"/>
  <c r="F20" i="21"/>
  <c r="E20" i="21"/>
  <c r="D20" i="21"/>
  <c r="C20" i="21"/>
  <c r="B20" i="21"/>
  <c r="P20" i="21"/>
  <c r="W114" i="20" l="1"/>
  <c r="W97" i="20"/>
  <c r="X101" i="20"/>
  <c r="AA97" i="20"/>
  <c r="AA114" i="20"/>
  <c r="AD114" i="20"/>
  <c r="AD97" i="20"/>
  <c r="T101" i="20"/>
  <c r="S101" i="20"/>
  <c r="AF97" i="20"/>
  <c r="AF114" i="20"/>
  <c r="AC114" i="20"/>
  <c r="AC97" i="20"/>
  <c r="Y114" i="20"/>
  <c r="Y97" i="20"/>
  <c r="V101" i="20"/>
  <c r="AE97" i="20"/>
  <c r="AE114" i="20"/>
  <c r="Z114" i="20"/>
  <c r="Z97" i="20"/>
  <c r="U101" i="20"/>
  <c r="AB114" i="20"/>
  <c r="AB97" i="20"/>
  <c r="R114" i="20"/>
  <c r="R97" i="20"/>
  <c r="B15" i="21"/>
  <c r="B14" i="21"/>
  <c r="U114" i="20" l="1"/>
  <c r="U97" i="20"/>
  <c r="V114" i="20"/>
  <c r="V97" i="20"/>
  <c r="S114" i="20"/>
  <c r="S97" i="20"/>
  <c r="T97" i="20"/>
  <c r="T114" i="20"/>
  <c r="X114" i="20"/>
  <c r="X97" i="20"/>
  <c r="E21" i="9"/>
  <c r="D21" i="9"/>
  <c r="D25" i="9" l="1"/>
  <c r="AH2" i="20"/>
  <c r="R84" i="20"/>
  <c r="R76" i="20"/>
  <c r="R65" i="20"/>
  <c r="R66" i="20" s="1"/>
  <c r="R57" i="20"/>
  <c r="R51" i="20"/>
  <c r="R44" i="20"/>
  <c r="R32" i="20"/>
  <c r="R28" i="20"/>
  <c r="R27" i="20"/>
  <c r="R14" i="20"/>
  <c r="R12" i="20"/>
  <c r="AF51" i="20"/>
  <c r="B112" i="20"/>
  <c r="AH112" i="20" s="1"/>
  <c r="B108" i="20"/>
  <c r="AH108" i="20" s="1"/>
  <c r="B104" i="20"/>
  <c r="AH104" i="20" s="1"/>
  <c r="B13" i="21"/>
  <c r="B12" i="21"/>
  <c r="B11" i="21"/>
  <c r="B10" i="21"/>
  <c r="B92" i="20"/>
  <c r="AH92" i="20" s="1"/>
  <c r="B91" i="20"/>
  <c r="AH91" i="20" s="1"/>
  <c r="B88" i="20"/>
  <c r="B84" i="20"/>
  <c r="B83" i="20"/>
  <c r="AH83" i="20" s="1"/>
  <c r="B82" i="20"/>
  <c r="AH82" i="20" s="1"/>
  <c r="B79" i="20"/>
  <c r="AH79" i="20" s="1"/>
  <c r="B76" i="20"/>
  <c r="AH76" i="20" s="1"/>
  <c r="B75" i="20"/>
  <c r="AH75" i="20" s="1"/>
  <c r="B73" i="20"/>
  <c r="B68" i="20"/>
  <c r="AH68" i="20" s="1"/>
  <c r="B65" i="20"/>
  <c r="B140" i="20" s="1"/>
  <c r="B64" i="20"/>
  <c r="AH64" i="20" s="1"/>
  <c r="B63" i="20"/>
  <c r="B122" i="20" s="1"/>
  <c r="B60" i="20"/>
  <c r="B130" i="20" s="1"/>
  <c r="B59" i="20"/>
  <c r="AH59" i="20" s="1"/>
  <c r="B58" i="20"/>
  <c r="R58" i="20" s="1"/>
  <c r="R36" i="20" s="1"/>
  <c r="B57" i="20"/>
  <c r="B141" i="20" s="1"/>
  <c r="B55" i="20"/>
  <c r="B142" i="20" s="1"/>
  <c r="B53" i="20"/>
  <c r="B146" i="20" s="1"/>
  <c r="B51" i="20"/>
  <c r="B46" i="20"/>
  <c r="AH46" i="20" s="1"/>
  <c r="B43" i="20"/>
  <c r="AH43" i="20" s="1"/>
  <c r="B42" i="20"/>
  <c r="B121" i="20" s="1"/>
  <c r="B41" i="20"/>
  <c r="B119" i="20" s="1"/>
  <c r="B40" i="20"/>
  <c r="B120" i="20" s="1"/>
  <c r="B37" i="20"/>
  <c r="AH37" i="20" s="1"/>
  <c r="B36" i="20"/>
  <c r="B35" i="20"/>
  <c r="B135" i="20" s="1"/>
  <c r="B34" i="20"/>
  <c r="B134" i="20" s="1"/>
  <c r="B33" i="20"/>
  <c r="B127" i="20" s="1"/>
  <c r="B32" i="20"/>
  <c r="B27" i="20"/>
  <c r="AH27" i="20" s="1"/>
  <c r="B26" i="20"/>
  <c r="B23" i="20"/>
  <c r="AH23" i="20" s="1"/>
  <c r="B22" i="20"/>
  <c r="B21" i="20"/>
  <c r="AH21" i="20" s="1"/>
  <c r="B16" i="20"/>
  <c r="AH16" i="20" s="1"/>
  <c r="B14" i="20"/>
  <c r="B12" i="20"/>
  <c r="B111" i="20" s="1"/>
  <c r="B11" i="20"/>
  <c r="AH11" i="20" s="1"/>
  <c r="B10" i="20"/>
  <c r="B103" i="20" s="1"/>
  <c r="B9" i="20"/>
  <c r="AH9" i="20" s="1"/>
  <c r="B6" i="20"/>
  <c r="AH6" i="20" s="1"/>
  <c r="B64" i="19"/>
  <c r="B70" i="19" s="1"/>
  <c r="P52" i="19"/>
  <c r="O52" i="19"/>
  <c r="N52" i="19"/>
  <c r="M52" i="19"/>
  <c r="L52" i="19"/>
  <c r="K52" i="19"/>
  <c r="J52" i="19"/>
  <c r="I52" i="19"/>
  <c r="H52" i="19"/>
  <c r="G52" i="19"/>
  <c r="F52" i="19"/>
  <c r="E52" i="19"/>
  <c r="D52" i="19"/>
  <c r="C52" i="19"/>
  <c r="B52" i="19"/>
  <c r="P37" i="19"/>
  <c r="O37" i="19"/>
  <c r="N37" i="19"/>
  <c r="M37" i="19"/>
  <c r="L37" i="19"/>
  <c r="K37" i="19"/>
  <c r="J37" i="19"/>
  <c r="I37" i="19"/>
  <c r="H37" i="19"/>
  <c r="G37" i="19"/>
  <c r="F37" i="19"/>
  <c r="E37" i="19"/>
  <c r="D37" i="19"/>
  <c r="C37" i="19"/>
  <c r="B37" i="19"/>
  <c r="P14" i="19"/>
  <c r="O14" i="19"/>
  <c r="N14" i="19"/>
  <c r="M14" i="19"/>
  <c r="L14" i="19"/>
  <c r="K14" i="19"/>
  <c r="J14" i="19"/>
  <c r="I14" i="19"/>
  <c r="H14" i="19"/>
  <c r="G14" i="19"/>
  <c r="F14" i="19"/>
  <c r="E14" i="19"/>
  <c r="D14" i="19"/>
  <c r="C14" i="19"/>
  <c r="B14" i="19"/>
  <c r="C64" i="19"/>
  <c r="D64" i="19"/>
  <c r="E64" i="19"/>
  <c r="F64" i="19"/>
  <c r="G64" i="19"/>
  <c r="H64" i="19"/>
  <c r="I64" i="19"/>
  <c r="J64" i="19"/>
  <c r="K64" i="19"/>
  <c r="L64" i="19"/>
  <c r="M64" i="19"/>
  <c r="N64" i="19"/>
  <c r="O64" i="19"/>
  <c r="P64" i="19"/>
  <c r="D111" i="9"/>
  <c r="D105" i="9"/>
  <c r="D89" i="9"/>
  <c r="D88" i="9"/>
  <c r="D87" i="9"/>
  <c r="D74" i="9"/>
  <c r="D76" i="9" s="1"/>
  <c r="D67" i="9"/>
  <c r="D60" i="9"/>
  <c r="D52" i="9"/>
  <c r="D48" i="9"/>
  <c r="D43" i="9"/>
  <c r="D8" i="9"/>
  <c r="D5" i="9"/>
  <c r="AH51" i="20" l="1"/>
  <c r="AH145" i="20" s="1"/>
  <c r="R22" i="20"/>
  <c r="R7" i="20" s="1"/>
  <c r="R8" i="20" s="1"/>
  <c r="R13" i="20" s="1"/>
  <c r="R15" i="20" s="1"/>
  <c r="R17" i="20" s="1"/>
  <c r="AH84" i="20"/>
  <c r="AH32" i="20"/>
  <c r="AH126" i="20" s="1"/>
  <c r="AH123" i="20"/>
  <c r="AH26" i="20"/>
  <c r="AH14" i="20"/>
  <c r="B22" i="23"/>
  <c r="AH96" i="20"/>
  <c r="D53" i="9"/>
  <c r="D55" i="9" s="1"/>
  <c r="B36" i="23"/>
  <c r="B26" i="23"/>
  <c r="B31" i="23"/>
  <c r="B40" i="23" s="1"/>
  <c r="AH55" i="20"/>
  <c r="AH58" i="20"/>
  <c r="AH60" i="20"/>
  <c r="AH147" i="20"/>
  <c r="AH36" i="20"/>
  <c r="AH12" i="20"/>
  <c r="AH128" i="20"/>
  <c r="AH33" i="20"/>
  <c r="AH35" i="20"/>
  <c r="AH53" i="20"/>
  <c r="AH118" i="20"/>
  <c r="AH57" i="20"/>
  <c r="AH40" i="20"/>
  <c r="AH107" i="20"/>
  <c r="AH41" i="20"/>
  <c r="AH10" i="20"/>
  <c r="AH42" i="20"/>
  <c r="AH63" i="20"/>
  <c r="AH65" i="20"/>
  <c r="AH34" i="20"/>
  <c r="R88" i="20"/>
  <c r="AH88" i="20" s="1"/>
  <c r="R61" i="20"/>
  <c r="R70" i="20" s="1"/>
  <c r="R38" i="20"/>
  <c r="R48" i="20" s="1"/>
  <c r="R73" i="20"/>
  <c r="AH73" i="20" s="1"/>
  <c r="B147" i="20"/>
  <c r="B38" i="20"/>
  <c r="B113" i="20"/>
  <c r="B110" i="20" s="1"/>
  <c r="B100" i="20" s="1"/>
  <c r="B107" i="20"/>
  <c r="B109" i="20" s="1"/>
  <c r="B106" i="20" s="1"/>
  <c r="B118" i="20"/>
  <c r="B126" i="20"/>
  <c r="B129" i="20"/>
  <c r="B128" i="20"/>
  <c r="B7" i="20"/>
  <c r="B66" i="20"/>
  <c r="AH66" i="20" s="1"/>
  <c r="B143" i="20"/>
  <c r="B105" i="20"/>
  <c r="B102" i="20" s="1"/>
  <c r="B25" i="20"/>
  <c r="B61" i="20"/>
  <c r="B123" i="20"/>
  <c r="B96" i="20"/>
  <c r="B44" i="20"/>
  <c r="AH44" i="20" s="1"/>
  <c r="B145" i="20"/>
  <c r="B87" i="20"/>
  <c r="D78" i="9"/>
  <c r="D86" i="9"/>
  <c r="D98" i="9" s="1"/>
  <c r="D115" i="9" s="1"/>
  <c r="D117" i="9" s="1"/>
  <c r="D10" i="9"/>
  <c r="AH22" i="20" l="1"/>
  <c r="B32" i="23" s="1"/>
  <c r="AH133" i="20"/>
  <c r="AH109" i="20"/>
  <c r="AH140" i="20"/>
  <c r="AH122" i="20"/>
  <c r="AH130" i="20"/>
  <c r="AH141" i="20"/>
  <c r="AH142" i="20"/>
  <c r="AH146" i="20"/>
  <c r="AH120" i="20"/>
  <c r="AH135" i="20"/>
  <c r="AH134" i="20"/>
  <c r="AH127" i="20"/>
  <c r="B28" i="23"/>
  <c r="AH121" i="20"/>
  <c r="B34" i="23"/>
  <c r="B55" i="19"/>
  <c r="D13" i="9"/>
  <c r="D15" i="9" s="1"/>
  <c r="B40" i="19"/>
  <c r="B65" i="19"/>
  <c r="B3" i="19"/>
  <c r="AH111" i="20"/>
  <c r="B27" i="23"/>
  <c r="AH103" i="20"/>
  <c r="B24" i="23"/>
  <c r="AH119" i="20"/>
  <c r="B99" i="20"/>
  <c r="AH129" i="20"/>
  <c r="B74" i="20"/>
  <c r="B8" i="20"/>
  <c r="AH7" i="20"/>
  <c r="AH61" i="20"/>
  <c r="AH38" i="20"/>
  <c r="B28" i="20"/>
  <c r="AH28" i="20" s="1"/>
  <c r="AH25" i="20"/>
  <c r="B148" i="20"/>
  <c r="B149" i="20" s="1"/>
  <c r="B124" i="20"/>
  <c r="B48" i="20"/>
  <c r="B70" i="20"/>
  <c r="AH70" i="20" s="1"/>
  <c r="B133" i="20"/>
  <c r="B136" i="20" s="1"/>
  <c r="B131" i="20"/>
  <c r="AI2" i="20"/>
  <c r="S44" i="20"/>
  <c r="C112" i="20"/>
  <c r="AI112" i="20" s="1"/>
  <c r="C108" i="20"/>
  <c r="AI108" i="20" s="1"/>
  <c r="C104" i="20"/>
  <c r="C87" i="20" s="1"/>
  <c r="C74" i="20" s="1"/>
  <c r="C7" i="21"/>
  <c r="C38" i="21" s="1"/>
  <c r="S28" i="20" s="1"/>
  <c r="C14" i="21"/>
  <c r="C13" i="21"/>
  <c r="C12" i="21"/>
  <c r="C11" i="21"/>
  <c r="C10" i="21"/>
  <c r="C92" i="20"/>
  <c r="AI92" i="20" s="1"/>
  <c r="C91" i="20"/>
  <c r="AI91" i="20" s="1"/>
  <c r="C88" i="20"/>
  <c r="C84" i="20"/>
  <c r="C83" i="20"/>
  <c r="AI83" i="20" s="1"/>
  <c r="C82" i="20"/>
  <c r="AI82" i="20" s="1"/>
  <c r="C79" i="20"/>
  <c r="AI79" i="20" s="1"/>
  <c r="C76" i="20"/>
  <c r="C75" i="20"/>
  <c r="AI75" i="20" s="1"/>
  <c r="C73" i="20"/>
  <c r="C68" i="20"/>
  <c r="AI68" i="20" s="1"/>
  <c r="C65" i="20"/>
  <c r="C140" i="20" s="1"/>
  <c r="C64" i="20"/>
  <c r="C123" i="20" s="1"/>
  <c r="C63" i="20"/>
  <c r="C122" i="20" s="1"/>
  <c r="C60" i="20"/>
  <c r="C130" i="20" s="1"/>
  <c r="C59" i="20"/>
  <c r="AI59" i="20" s="1"/>
  <c r="C58" i="20"/>
  <c r="C57" i="20"/>
  <c r="C141" i="20" s="1"/>
  <c r="C55" i="20"/>
  <c r="C142" i="20" s="1"/>
  <c r="C53" i="20"/>
  <c r="C146" i="20" s="1"/>
  <c r="C51" i="20"/>
  <c r="C145" i="20" s="1"/>
  <c r="C46" i="20"/>
  <c r="AI46" i="20" s="1"/>
  <c r="C43" i="20"/>
  <c r="AI43" i="20" s="1"/>
  <c r="C42" i="20"/>
  <c r="C121" i="20" s="1"/>
  <c r="C41" i="20"/>
  <c r="C119" i="20" s="1"/>
  <c r="C40" i="20"/>
  <c r="AI40" i="20" s="1"/>
  <c r="C37" i="20"/>
  <c r="AI37" i="20" s="1"/>
  <c r="C36" i="20"/>
  <c r="C35" i="20"/>
  <c r="C135" i="20" s="1"/>
  <c r="C34" i="20"/>
  <c r="C134" i="20" s="1"/>
  <c r="C33" i="20"/>
  <c r="C127" i="20" s="1"/>
  <c r="C32" i="20"/>
  <c r="C126" i="20" s="1"/>
  <c r="C27" i="20"/>
  <c r="C26" i="20"/>
  <c r="C23" i="20"/>
  <c r="AI23" i="20" s="1"/>
  <c r="C22" i="20"/>
  <c r="C21" i="20"/>
  <c r="AI21" i="20" s="1"/>
  <c r="C16" i="20"/>
  <c r="AI16" i="20" s="1"/>
  <c r="C14" i="20"/>
  <c r="C12" i="20"/>
  <c r="C111" i="20" s="1"/>
  <c r="C11" i="20"/>
  <c r="AI11" i="20" s="1"/>
  <c r="C10" i="20"/>
  <c r="C103" i="20" s="1"/>
  <c r="C9" i="20"/>
  <c r="AI9" i="20" s="1"/>
  <c r="C6" i="20"/>
  <c r="C96" i="20" s="1"/>
  <c r="C70" i="19"/>
  <c r="E111" i="9"/>
  <c r="E105" i="9"/>
  <c r="E89" i="9"/>
  <c r="E88" i="9"/>
  <c r="E87" i="9"/>
  <c r="E60" i="9"/>
  <c r="E74" i="9"/>
  <c r="E76" i="9" s="1"/>
  <c r="E67" i="9"/>
  <c r="E48" i="9"/>
  <c r="E53" i="9" s="1"/>
  <c r="E43" i="9"/>
  <c r="E25" i="9"/>
  <c r="E8" i="9"/>
  <c r="E5" i="9"/>
  <c r="E10" i="9" s="1"/>
  <c r="C15" i="21" l="1"/>
  <c r="C16" i="21" s="1"/>
  <c r="AH148" i="20"/>
  <c r="AH105" i="20"/>
  <c r="AH113" i="20"/>
  <c r="AH106" i="20"/>
  <c r="AH143" i="20"/>
  <c r="AH136" i="20"/>
  <c r="AH131" i="20"/>
  <c r="AI120" i="20"/>
  <c r="B37" i="23"/>
  <c r="B23" i="23"/>
  <c r="AH124" i="20"/>
  <c r="AI26" i="20"/>
  <c r="B17" i="19"/>
  <c r="B25" i="19"/>
  <c r="B35" i="23"/>
  <c r="AH48" i="20"/>
  <c r="B77" i="20"/>
  <c r="B13" i="20"/>
  <c r="AH8" i="20"/>
  <c r="B137" i="20"/>
  <c r="AI104" i="20"/>
  <c r="C25" i="20"/>
  <c r="E55" i="9"/>
  <c r="E13" i="9"/>
  <c r="E15" i="9" s="1"/>
  <c r="C25" i="19"/>
  <c r="E86" i="9"/>
  <c r="E98" i="9" s="1"/>
  <c r="E115" i="9" s="1"/>
  <c r="E117" i="9" s="1"/>
  <c r="E78" i="9"/>
  <c r="C17" i="19" s="1"/>
  <c r="C55" i="19"/>
  <c r="AI128" i="20"/>
  <c r="AI33" i="20"/>
  <c r="AI55" i="20"/>
  <c r="AI107" i="20"/>
  <c r="AI147" i="20"/>
  <c r="AI41" i="20"/>
  <c r="AI60" i="20"/>
  <c r="AI10" i="20"/>
  <c r="AI42" i="20"/>
  <c r="AI63" i="20"/>
  <c r="AI64" i="20"/>
  <c r="AI34" i="20"/>
  <c r="AI35" i="20"/>
  <c r="AI53" i="20"/>
  <c r="AI6" i="20"/>
  <c r="C113" i="20"/>
  <c r="C110" i="20" s="1"/>
  <c r="C100" i="20" s="1"/>
  <c r="C129" i="20"/>
  <c r="C44" i="20"/>
  <c r="AI44" i="20" s="1"/>
  <c r="C128" i="20"/>
  <c r="C118" i="20"/>
  <c r="C133" i="20" s="1"/>
  <c r="C136" i="20" s="1"/>
  <c r="C147" i="20"/>
  <c r="C148" i="20" s="1"/>
  <c r="C77" i="20"/>
  <c r="C107" i="20"/>
  <c r="C109" i="20" s="1"/>
  <c r="C106" i="20" s="1"/>
  <c r="C120" i="20"/>
  <c r="C143" i="20"/>
  <c r="C38" i="20"/>
  <c r="C105" i="20"/>
  <c r="C102" i="20" s="1"/>
  <c r="C66" i="20"/>
  <c r="C61" i="20"/>
  <c r="S65" i="20" l="1"/>
  <c r="S66" i="20" s="1"/>
  <c r="AI66" i="20" s="1"/>
  <c r="B62" i="23" s="1"/>
  <c r="AI142" i="20"/>
  <c r="AI146" i="20"/>
  <c r="B53" i="23"/>
  <c r="B54" i="23" s="1"/>
  <c r="AH110" i="20"/>
  <c r="AH100" i="20" s="1"/>
  <c r="AI109" i="20"/>
  <c r="AH99" i="20"/>
  <c r="AH102" i="20"/>
  <c r="AI122" i="20"/>
  <c r="AI123" i="20"/>
  <c r="AH149" i="20"/>
  <c r="AI130" i="20"/>
  <c r="AI135" i="20"/>
  <c r="AI127" i="20"/>
  <c r="AI134" i="20"/>
  <c r="AH137" i="20"/>
  <c r="AI121" i="20"/>
  <c r="AI25" i="20"/>
  <c r="C22" i="23"/>
  <c r="B80" i="20"/>
  <c r="B15" i="20"/>
  <c r="AH13" i="20"/>
  <c r="C28" i="20"/>
  <c r="AI28" i="20" s="1"/>
  <c r="C7" i="20"/>
  <c r="C8" i="20" s="1"/>
  <c r="C40" i="19"/>
  <c r="C65" i="19"/>
  <c r="C3" i="19"/>
  <c r="C31" i="23"/>
  <c r="C40" i="23" s="1"/>
  <c r="C99" i="20"/>
  <c r="C34" i="23"/>
  <c r="C26" i="23"/>
  <c r="AI103" i="20"/>
  <c r="C24" i="23"/>
  <c r="AI119" i="20"/>
  <c r="AI96" i="20"/>
  <c r="C80" i="20"/>
  <c r="AI118" i="20"/>
  <c r="S57" i="20"/>
  <c r="AI57" i="20" s="1"/>
  <c r="C70" i="20"/>
  <c r="C131" i="20"/>
  <c r="C48" i="20"/>
  <c r="C149" i="20"/>
  <c r="C124" i="20"/>
  <c r="AJ2" i="20"/>
  <c r="T44" i="20"/>
  <c r="D112" i="20"/>
  <c r="AJ112" i="20" s="1"/>
  <c r="D108" i="20"/>
  <c r="AJ108" i="20" s="1"/>
  <c r="D104" i="20"/>
  <c r="D87" i="20" s="1"/>
  <c r="D74" i="20" s="1"/>
  <c r="D92" i="20"/>
  <c r="AJ92" i="20" s="1"/>
  <c r="D91" i="20"/>
  <c r="AJ91" i="20" s="1"/>
  <c r="D88" i="20"/>
  <c r="D84" i="20"/>
  <c r="D83" i="20"/>
  <c r="AJ83" i="20" s="1"/>
  <c r="D82" i="20"/>
  <c r="AJ82" i="20" s="1"/>
  <c r="D79" i="20"/>
  <c r="AJ79" i="20" s="1"/>
  <c r="D76" i="20"/>
  <c r="D75" i="20"/>
  <c r="AJ75" i="20" s="1"/>
  <c r="D73" i="20"/>
  <c r="D68" i="20"/>
  <c r="AJ68" i="20" s="1"/>
  <c r="D65" i="20"/>
  <c r="D140" i="20" s="1"/>
  <c r="D64" i="20"/>
  <c r="D123" i="20" s="1"/>
  <c r="D63" i="20"/>
  <c r="D122" i="20" s="1"/>
  <c r="D60" i="20"/>
  <c r="D130" i="20" s="1"/>
  <c r="D59" i="20"/>
  <c r="AJ59" i="20" s="1"/>
  <c r="D58" i="20"/>
  <c r="D57" i="20"/>
  <c r="D55" i="20"/>
  <c r="D142" i="20" s="1"/>
  <c r="D53" i="20"/>
  <c r="D146" i="20" s="1"/>
  <c r="D51" i="20"/>
  <c r="D145" i="20" s="1"/>
  <c r="D46" i="20"/>
  <c r="AJ46" i="20" s="1"/>
  <c r="D43" i="20"/>
  <c r="AJ43" i="20" s="1"/>
  <c r="D42" i="20"/>
  <c r="D121" i="20" s="1"/>
  <c r="D41" i="20"/>
  <c r="D119" i="20" s="1"/>
  <c r="D40" i="20"/>
  <c r="D120" i="20" s="1"/>
  <c r="D37" i="20"/>
  <c r="AJ37" i="20" s="1"/>
  <c r="D36" i="20"/>
  <c r="D35" i="20"/>
  <c r="D135" i="20" s="1"/>
  <c r="D34" i="20"/>
  <c r="D134" i="20" s="1"/>
  <c r="D33" i="20"/>
  <c r="D127" i="20" s="1"/>
  <c r="D32" i="20"/>
  <c r="D126" i="20" s="1"/>
  <c r="D27" i="20"/>
  <c r="D26" i="20"/>
  <c r="AJ26" i="20" s="1"/>
  <c r="D23" i="20"/>
  <c r="AJ23" i="20" s="1"/>
  <c r="D22" i="20"/>
  <c r="D21" i="20"/>
  <c r="AJ21" i="20" s="1"/>
  <c r="D16" i="20"/>
  <c r="AJ16" i="20" s="1"/>
  <c r="D14" i="20"/>
  <c r="D12" i="20"/>
  <c r="D111" i="20" s="1"/>
  <c r="D11" i="20"/>
  <c r="AJ11" i="20" s="1"/>
  <c r="D10" i="20"/>
  <c r="D103" i="20" s="1"/>
  <c r="D9" i="20"/>
  <c r="AJ9" i="20" s="1"/>
  <c r="D6" i="20"/>
  <c r="AJ6" i="20" s="1"/>
  <c r="D70" i="19"/>
  <c r="D14" i="21"/>
  <c r="D15" i="21" s="1"/>
  <c r="D16" i="21" s="1"/>
  <c r="D13" i="21"/>
  <c r="D12" i="21"/>
  <c r="D11" i="21"/>
  <c r="D10" i="21"/>
  <c r="D7" i="21"/>
  <c r="D38" i="21" s="1"/>
  <c r="T28" i="20" s="1"/>
  <c r="F111" i="9"/>
  <c r="F105" i="9"/>
  <c r="F89" i="9"/>
  <c r="F88" i="9"/>
  <c r="F87" i="9"/>
  <c r="F74" i="9"/>
  <c r="F76" i="9" s="1"/>
  <c r="F67" i="9"/>
  <c r="F48" i="9"/>
  <c r="F53" i="9" s="1"/>
  <c r="F43" i="9"/>
  <c r="F25" i="9"/>
  <c r="F21" i="9"/>
  <c r="F8" i="9"/>
  <c r="F5" i="9"/>
  <c r="AI65" i="20" l="1"/>
  <c r="AI140" i="20" s="1"/>
  <c r="B61" i="23"/>
  <c r="B63" i="23"/>
  <c r="B55" i="23"/>
  <c r="B56" i="23" s="1"/>
  <c r="B51" i="23"/>
  <c r="B52" i="23" s="1"/>
  <c r="AI105" i="20"/>
  <c r="AI106" i="20"/>
  <c r="AI141" i="20"/>
  <c r="C37" i="23"/>
  <c r="C35" i="23"/>
  <c r="B98" i="20"/>
  <c r="B101" i="20" s="1"/>
  <c r="AH15" i="20"/>
  <c r="B17" i="20"/>
  <c r="AH17" i="20" s="1"/>
  <c r="B85" i="20"/>
  <c r="F55" i="9"/>
  <c r="C85" i="20"/>
  <c r="C13" i="20"/>
  <c r="AI124" i="20"/>
  <c r="AI133" i="20"/>
  <c r="C137" i="20"/>
  <c r="AJ104" i="20"/>
  <c r="D25" i="20"/>
  <c r="AJ25" i="20" s="1"/>
  <c r="F10" i="9"/>
  <c r="F86" i="9"/>
  <c r="F98" i="9" s="1"/>
  <c r="F115" i="9" s="1"/>
  <c r="F117" i="9" s="1"/>
  <c r="D22" i="23"/>
  <c r="AJ96" i="20"/>
  <c r="D31" i="23"/>
  <c r="D40" i="23" s="1"/>
  <c r="D26" i="23"/>
  <c r="D34" i="23"/>
  <c r="AJ107" i="20"/>
  <c r="AJ147" i="20"/>
  <c r="AJ128" i="20"/>
  <c r="AJ10" i="20"/>
  <c r="AJ33" i="20"/>
  <c r="AJ42" i="20"/>
  <c r="AJ34" i="20"/>
  <c r="AJ118" i="20"/>
  <c r="AJ60" i="20"/>
  <c r="AJ63" i="20"/>
  <c r="AJ40" i="20"/>
  <c r="AJ53" i="20"/>
  <c r="AJ64" i="20"/>
  <c r="AJ41" i="20"/>
  <c r="AJ55" i="20"/>
  <c r="AJ35" i="20"/>
  <c r="D147" i="20"/>
  <c r="D148" i="20" s="1"/>
  <c r="D107" i="20"/>
  <c r="D109" i="20" s="1"/>
  <c r="D106" i="20" s="1"/>
  <c r="D118" i="20"/>
  <c r="D124" i="20" s="1"/>
  <c r="D128" i="20"/>
  <c r="D61" i="20"/>
  <c r="D129" i="20"/>
  <c r="D113" i="20"/>
  <c r="D110" i="20" s="1"/>
  <c r="D100" i="20" s="1"/>
  <c r="D77" i="20"/>
  <c r="D44" i="20"/>
  <c r="AJ44" i="20" s="1"/>
  <c r="D141" i="20"/>
  <c r="D143" i="20" s="1"/>
  <c r="D96" i="20"/>
  <c r="D38" i="20"/>
  <c r="D105" i="20"/>
  <c r="D102" i="20" s="1"/>
  <c r="D66" i="20"/>
  <c r="T65" i="20" l="1"/>
  <c r="C24" i="21"/>
  <c r="S84" i="20" s="1"/>
  <c r="AI84" i="20" s="1"/>
  <c r="T57" i="20"/>
  <c r="AJ57" i="20" s="1"/>
  <c r="AJ146" i="20"/>
  <c r="AJ142" i="20"/>
  <c r="AI143" i="20"/>
  <c r="AJ133" i="20"/>
  <c r="AI99" i="20"/>
  <c r="AJ109" i="20"/>
  <c r="AI102" i="20"/>
  <c r="AJ122" i="20"/>
  <c r="AJ123" i="20"/>
  <c r="AJ130" i="20"/>
  <c r="AJ120" i="20"/>
  <c r="AJ134" i="20"/>
  <c r="AJ127" i="20"/>
  <c r="AJ135" i="20"/>
  <c r="D35" i="23"/>
  <c r="AI136" i="20"/>
  <c r="AJ121" i="20"/>
  <c r="B57" i="23"/>
  <c r="B25" i="23"/>
  <c r="B45" i="23"/>
  <c r="AH98" i="20"/>
  <c r="B71" i="23"/>
  <c r="B89" i="20"/>
  <c r="B97" i="20"/>
  <c r="B114" i="20"/>
  <c r="C15" i="20"/>
  <c r="C89" i="20"/>
  <c r="D28" i="20"/>
  <c r="AJ28" i="20" s="1"/>
  <c r="F13" i="9"/>
  <c r="AJ103" i="20"/>
  <c r="D24" i="23"/>
  <c r="AJ119" i="20"/>
  <c r="D99" i="20"/>
  <c r="D80" i="20"/>
  <c r="D48" i="20"/>
  <c r="D70" i="20"/>
  <c r="D149" i="20"/>
  <c r="D131" i="20"/>
  <c r="D133" i="20"/>
  <c r="D136" i="20" s="1"/>
  <c r="T66" i="20" l="1"/>
  <c r="AJ66" i="20" s="1"/>
  <c r="AJ65" i="20"/>
  <c r="C53" i="23"/>
  <c r="C54" i="23" s="1"/>
  <c r="C55" i="23"/>
  <c r="C56" i="23" s="1"/>
  <c r="C51" i="23"/>
  <c r="C52" i="23" s="1"/>
  <c r="AJ106" i="20"/>
  <c r="AJ105" i="20"/>
  <c r="AJ141" i="20"/>
  <c r="AJ136" i="20"/>
  <c r="D37" i="23"/>
  <c r="B48" i="23"/>
  <c r="B41" i="23"/>
  <c r="B29" i="23"/>
  <c r="AH101" i="20"/>
  <c r="B15" i="23" s="1"/>
  <c r="B93" i="20"/>
  <c r="D7" i="20"/>
  <c r="D8" i="20" s="1"/>
  <c r="C93" i="20"/>
  <c r="C98" i="20"/>
  <c r="C101" i="20" s="1"/>
  <c r="C17" i="20"/>
  <c r="F15" i="9"/>
  <c r="AJ124" i="20"/>
  <c r="D85" i="20"/>
  <c r="D137" i="20"/>
  <c r="C40" i="21" l="1"/>
  <c r="S12" i="20" s="1"/>
  <c r="AJ140" i="20"/>
  <c r="AJ143" i="20" s="1"/>
  <c r="C63" i="23"/>
  <c r="C62" i="23"/>
  <c r="C61" i="23"/>
  <c r="AJ102" i="20"/>
  <c r="AJ99" i="20"/>
  <c r="C57" i="23"/>
  <c r="AH97" i="20"/>
  <c r="AH114" i="20"/>
  <c r="B79" i="23" s="1"/>
  <c r="D13" i="20"/>
  <c r="D15" i="20" s="1"/>
  <c r="C45" i="23"/>
  <c r="C97" i="20"/>
  <c r="C114" i="20"/>
  <c r="D89" i="20"/>
  <c r="S76" i="20" l="1"/>
  <c r="C39" i="21"/>
  <c r="C32" i="21"/>
  <c r="S32" i="20" s="1"/>
  <c r="AI32" i="20" s="1"/>
  <c r="S73" i="20"/>
  <c r="AI73" i="20" s="1"/>
  <c r="AI12" i="20"/>
  <c r="C48" i="23"/>
  <c r="B7" i="23"/>
  <c r="F60" i="9"/>
  <c r="D98" i="20"/>
  <c r="D101" i="20" s="1"/>
  <c r="D17" i="20"/>
  <c r="D93" i="20"/>
  <c r="S27" i="20" l="1"/>
  <c r="C41" i="21"/>
  <c r="AI111" i="20"/>
  <c r="C27" i="23"/>
  <c r="AI126" i="20"/>
  <c r="B47" i="23" s="1"/>
  <c r="B50" i="23" s="1"/>
  <c r="AI76" i="20"/>
  <c r="S88" i="20"/>
  <c r="AI88" i="20" s="1"/>
  <c r="F78" i="9"/>
  <c r="D25" i="19"/>
  <c r="D3" i="19"/>
  <c r="D55" i="19"/>
  <c r="D97" i="20"/>
  <c r="D114" i="20"/>
  <c r="S14" i="20" l="1"/>
  <c r="AI14" i="20" s="1"/>
  <c r="C42" i="21"/>
  <c r="C36" i="21" s="1"/>
  <c r="S51" i="20" s="1"/>
  <c r="AI51" i="20" s="1"/>
  <c r="C35" i="21"/>
  <c r="AI113" i="20"/>
  <c r="AI27" i="20"/>
  <c r="S22" i="20"/>
  <c r="D40" i="19"/>
  <c r="D65" i="19"/>
  <c r="D17" i="19"/>
  <c r="C36" i="23" l="1"/>
  <c r="AI110" i="20"/>
  <c r="S7" i="20"/>
  <c r="AI22" i="20"/>
  <c r="AI145" i="20"/>
  <c r="S58" i="20"/>
  <c r="S36" i="20" s="1"/>
  <c r="C28" i="23"/>
  <c r="AK2" i="20"/>
  <c r="AL2" i="20"/>
  <c r="AM2" i="20"/>
  <c r="AN2" i="20"/>
  <c r="AO2" i="20"/>
  <c r="AP2" i="20"/>
  <c r="AQ2" i="20"/>
  <c r="AR2" i="20"/>
  <c r="AS2" i="20"/>
  <c r="AT2" i="20"/>
  <c r="AU2" i="20"/>
  <c r="AV2" i="20"/>
  <c r="C32" i="23" l="1"/>
  <c r="S38" i="20"/>
  <c r="AI36" i="20"/>
  <c r="AI148" i="20"/>
  <c r="S8" i="20"/>
  <c r="AI7" i="20"/>
  <c r="S61" i="20"/>
  <c r="AI58" i="20"/>
  <c r="AI100" i="20"/>
  <c r="G48" i="9"/>
  <c r="C23" i="23" l="1"/>
  <c r="C25" i="23" s="1"/>
  <c r="AI129" i="20"/>
  <c r="S70" i="20"/>
  <c r="AI70" i="20" s="1"/>
  <c r="AI61" i="20"/>
  <c r="B3" i="23"/>
  <c r="B78" i="23" s="1"/>
  <c r="B80" i="23" s="1"/>
  <c r="B69" i="23"/>
  <c r="AI149" i="20"/>
  <c r="AI8" i="20"/>
  <c r="S13" i="20"/>
  <c r="S48" i="20"/>
  <c r="AI48" i="20" s="1"/>
  <c r="AI38" i="20"/>
  <c r="E112" i="20"/>
  <c r="AK112" i="20" s="1"/>
  <c r="E108" i="20"/>
  <c r="AK108" i="20" s="1"/>
  <c r="E104" i="20"/>
  <c r="U44" i="20"/>
  <c r="E38" i="21"/>
  <c r="U28" i="20" s="1"/>
  <c r="E14" i="21"/>
  <c r="E15" i="21" s="1"/>
  <c r="E16" i="21" s="1"/>
  <c r="E13" i="21"/>
  <c r="E12" i="21"/>
  <c r="E11" i="21"/>
  <c r="E10" i="21"/>
  <c r="E92" i="20"/>
  <c r="AK92" i="20" s="1"/>
  <c r="E91" i="20"/>
  <c r="AK91" i="20" s="1"/>
  <c r="E88" i="20"/>
  <c r="E84" i="20"/>
  <c r="E83" i="20"/>
  <c r="AK83" i="20" s="1"/>
  <c r="E82" i="20"/>
  <c r="AK82" i="20" s="1"/>
  <c r="E79" i="20"/>
  <c r="AK79" i="20" s="1"/>
  <c r="E76" i="20"/>
  <c r="E75" i="20"/>
  <c r="AK75" i="20" s="1"/>
  <c r="E73" i="20"/>
  <c r="E68" i="20"/>
  <c r="AK68" i="20" s="1"/>
  <c r="E65" i="20"/>
  <c r="E140" i="20" s="1"/>
  <c r="E64" i="20"/>
  <c r="AK64" i="20" s="1"/>
  <c r="AK123" i="20" s="1"/>
  <c r="E63" i="20"/>
  <c r="E122" i="20" s="1"/>
  <c r="E60" i="20"/>
  <c r="E130" i="20" s="1"/>
  <c r="E59" i="20"/>
  <c r="AK59" i="20" s="1"/>
  <c r="E58" i="20"/>
  <c r="E57" i="20"/>
  <c r="E141" i="20" s="1"/>
  <c r="E55" i="20"/>
  <c r="E142" i="20" s="1"/>
  <c r="E53" i="20"/>
  <c r="E146" i="20" s="1"/>
  <c r="E51" i="20"/>
  <c r="E145" i="20" s="1"/>
  <c r="E46" i="20"/>
  <c r="AK46" i="20" s="1"/>
  <c r="E43" i="20"/>
  <c r="AK43" i="20" s="1"/>
  <c r="E42" i="20"/>
  <c r="E121" i="20" s="1"/>
  <c r="E41" i="20"/>
  <c r="E119" i="20" s="1"/>
  <c r="E40" i="20"/>
  <c r="E120" i="20" s="1"/>
  <c r="E37" i="20"/>
  <c r="AK37" i="20" s="1"/>
  <c r="E36" i="20"/>
  <c r="E35" i="20"/>
  <c r="E135" i="20" s="1"/>
  <c r="E34" i="20"/>
  <c r="E134" i="20" s="1"/>
  <c r="E33" i="20"/>
  <c r="E127" i="20" s="1"/>
  <c r="E32" i="20"/>
  <c r="E126" i="20" s="1"/>
  <c r="E27" i="20"/>
  <c r="E26" i="20"/>
  <c r="AK26" i="20" s="1"/>
  <c r="E23" i="20"/>
  <c r="AK23" i="20" s="1"/>
  <c r="E22" i="20"/>
  <c r="E21" i="20"/>
  <c r="AK21" i="20" s="1"/>
  <c r="E16" i="20"/>
  <c r="AK16" i="20" s="1"/>
  <c r="E14" i="20"/>
  <c r="E12" i="20"/>
  <c r="E111" i="20" s="1"/>
  <c r="E11" i="20"/>
  <c r="AK11" i="20" s="1"/>
  <c r="E10" i="20"/>
  <c r="E103" i="20" s="1"/>
  <c r="E9" i="20"/>
  <c r="AK9" i="20" s="1"/>
  <c r="E6" i="20"/>
  <c r="E70" i="19"/>
  <c r="G21" i="9"/>
  <c r="H21" i="9"/>
  <c r="B70" i="23" l="1"/>
  <c r="B8" i="23"/>
  <c r="B9" i="23" s="1"/>
  <c r="B10" i="23"/>
  <c r="AI131" i="20"/>
  <c r="B68" i="23"/>
  <c r="AI13" i="20"/>
  <c r="S15" i="20"/>
  <c r="C29" i="23"/>
  <c r="C41" i="23"/>
  <c r="E87" i="20"/>
  <c r="E74" i="20" s="1"/>
  <c r="E77" i="20" s="1"/>
  <c r="R87" i="20"/>
  <c r="E25" i="20"/>
  <c r="AK25" i="20" s="1"/>
  <c r="AK6" i="20"/>
  <c r="AK104" i="20"/>
  <c r="AK33" i="20"/>
  <c r="AK127" i="20" s="1"/>
  <c r="AK107" i="20"/>
  <c r="AK109" i="20" s="1"/>
  <c r="AK106" i="20" s="1"/>
  <c r="AK99" i="20" s="1"/>
  <c r="AK42" i="20"/>
  <c r="AK128" i="20"/>
  <c r="AK147" i="20"/>
  <c r="AK34" i="20"/>
  <c r="AK134" i="20" s="1"/>
  <c r="AK60" i="20"/>
  <c r="AK130" i="20" s="1"/>
  <c r="AK63" i="20"/>
  <c r="AK122" i="20" s="1"/>
  <c r="D55" i="23" s="1"/>
  <c r="AK40" i="20"/>
  <c r="AK120" i="20" s="1"/>
  <c r="D53" i="23" s="1"/>
  <c r="AK53" i="20"/>
  <c r="AK146" i="20" s="1"/>
  <c r="AK10" i="20"/>
  <c r="AK41" i="20"/>
  <c r="AK55" i="20"/>
  <c r="AK142" i="20" s="1"/>
  <c r="AK35" i="20"/>
  <c r="AK135" i="20" s="1"/>
  <c r="E107" i="20"/>
  <c r="E109" i="20" s="1"/>
  <c r="E106" i="20" s="1"/>
  <c r="E147" i="20"/>
  <c r="E148" i="20" s="1"/>
  <c r="E44" i="20"/>
  <c r="AK44" i="20" s="1"/>
  <c r="E118" i="20"/>
  <c r="E113" i="20"/>
  <c r="E110" i="20" s="1"/>
  <c r="E100" i="20" s="1"/>
  <c r="E128" i="20"/>
  <c r="E66" i="20"/>
  <c r="E143" i="20"/>
  <c r="E38" i="20"/>
  <c r="E129" i="20"/>
  <c r="E61" i="20"/>
  <c r="E96" i="20"/>
  <c r="E123" i="20"/>
  <c r="E105" i="20"/>
  <c r="E102" i="20" s="1"/>
  <c r="G74" i="9"/>
  <c r="G76" i="9" s="1"/>
  <c r="G53" i="9"/>
  <c r="G8" i="9"/>
  <c r="G111" i="9"/>
  <c r="G105" i="9"/>
  <c r="G89" i="9"/>
  <c r="G88" i="9"/>
  <c r="G87" i="9"/>
  <c r="G67" i="9"/>
  <c r="G43" i="9"/>
  <c r="G25" i="9"/>
  <c r="G5" i="9"/>
  <c r="B11" i="23" l="1"/>
  <c r="AI137" i="20"/>
  <c r="B16" i="23"/>
  <c r="B17" i="23" s="1"/>
  <c r="B46" i="23"/>
  <c r="B49" i="23" s="1"/>
  <c r="U65" i="20"/>
  <c r="R74" i="20"/>
  <c r="AH87" i="20"/>
  <c r="B74" i="23" s="1"/>
  <c r="D24" i="21"/>
  <c r="T84" i="20" s="1"/>
  <c r="AJ84" i="20" s="1"/>
  <c r="U57" i="20"/>
  <c r="S17" i="20"/>
  <c r="AI17" i="20" s="1"/>
  <c r="AI15" i="20"/>
  <c r="AK121" i="20"/>
  <c r="D54" i="23"/>
  <c r="D56" i="23"/>
  <c r="E28" i="20"/>
  <c r="AK28" i="20" s="1"/>
  <c r="E37" i="23" s="1"/>
  <c r="E22" i="23"/>
  <c r="E26" i="23"/>
  <c r="AK96" i="20"/>
  <c r="AK118" i="20"/>
  <c r="AK133" i="20" s="1"/>
  <c r="E34" i="23"/>
  <c r="E35" i="23"/>
  <c r="E31" i="23"/>
  <c r="E40" i="23" s="1"/>
  <c r="AK103" i="20"/>
  <c r="AK105" i="20" s="1"/>
  <c r="AK102" i="20" s="1"/>
  <c r="E24" i="23"/>
  <c r="E99" i="20"/>
  <c r="AK119" i="20"/>
  <c r="D51" i="23" s="1"/>
  <c r="D52" i="23" s="1"/>
  <c r="E80" i="20"/>
  <c r="E124" i="20"/>
  <c r="E149" i="20"/>
  <c r="E131" i="20"/>
  <c r="E48" i="20"/>
  <c r="E133" i="20"/>
  <c r="E136" i="20" s="1"/>
  <c r="E70" i="20"/>
  <c r="G86" i="9"/>
  <c r="G98" i="9" s="1"/>
  <c r="G115" i="9" s="1"/>
  <c r="G117" i="9" s="1"/>
  <c r="G55" i="9"/>
  <c r="G10" i="9"/>
  <c r="G13" i="9" s="1"/>
  <c r="G15" i="9" s="1"/>
  <c r="F112" i="20"/>
  <c r="AL112" i="20" s="1"/>
  <c r="F108" i="20"/>
  <c r="AL108" i="20" s="1"/>
  <c r="F104" i="20"/>
  <c r="V44" i="20"/>
  <c r="F38" i="21"/>
  <c r="V28" i="20" s="1"/>
  <c r="F14" i="21"/>
  <c r="F15" i="21" s="1"/>
  <c r="F13" i="21"/>
  <c r="F12" i="21"/>
  <c r="F11" i="21"/>
  <c r="F10" i="21"/>
  <c r="F92" i="20"/>
  <c r="AL92" i="20" s="1"/>
  <c r="F91" i="20"/>
  <c r="AL91" i="20" s="1"/>
  <c r="F88" i="20"/>
  <c r="F84" i="20"/>
  <c r="F83" i="20"/>
  <c r="AL83" i="20" s="1"/>
  <c r="F82" i="20"/>
  <c r="AL82" i="20" s="1"/>
  <c r="F79" i="20"/>
  <c r="AL79" i="20" s="1"/>
  <c r="F76" i="20"/>
  <c r="F75" i="20"/>
  <c r="AL75" i="20" s="1"/>
  <c r="F73" i="20"/>
  <c r="F68" i="20"/>
  <c r="AL68" i="20" s="1"/>
  <c r="F65" i="20"/>
  <c r="F140" i="20" s="1"/>
  <c r="F64" i="20"/>
  <c r="F123" i="20" s="1"/>
  <c r="F63" i="20"/>
  <c r="F122" i="20" s="1"/>
  <c r="F60" i="20"/>
  <c r="F130" i="20" s="1"/>
  <c r="F59" i="20"/>
  <c r="AL59" i="20" s="1"/>
  <c r="F58" i="20"/>
  <c r="F57" i="20"/>
  <c r="F141" i="20" s="1"/>
  <c r="F55" i="20"/>
  <c r="F142" i="20" s="1"/>
  <c r="F53" i="20"/>
  <c r="F146" i="20" s="1"/>
  <c r="F51" i="20"/>
  <c r="F145" i="20" s="1"/>
  <c r="F46" i="20"/>
  <c r="AL46" i="20" s="1"/>
  <c r="F43" i="20"/>
  <c r="AL43" i="20" s="1"/>
  <c r="F42" i="20"/>
  <c r="F121" i="20" s="1"/>
  <c r="F41" i="20"/>
  <c r="F119" i="20" s="1"/>
  <c r="F40" i="20"/>
  <c r="F120" i="20" s="1"/>
  <c r="F37" i="20"/>
  <c r="AL37" i="20" s="1"/>
  <c r="F36" i="20"/>
  <c r="F35" i="20"/>
  <c r="F135" i="20" s="1"/>
  <c r="F34" i="20"/>
  <c r="F134" i="20" s="1"/>
  <c r="F33" i="20"/>
  <c r="F127" i="20" s="1"/>
  <c r="F32" i="20"/>
  <c r="F126" i="20" s="1"/>
  <c r="F27" i="20"/>
  <c r="F26" i="20"/>
  <c r="AL26" i="20" s="1"/>
  <c r="F23" i="20"/>
  <c r="AL23" i="20" s="1"/>
  <c r="F22" i="20"/>
  <c r="F21" i="20"/>
  <c r="AL21" i="20" s="1"/>
  <c r="F16" i="20"/>
  <c r="AL16" i="20" s="1"/>
  <c r="F14" i="20"/>
  <c r="F12" i="20"/>
  <c r="F111" i="20" s="1"/>
  <c r="F11" i="20"/>
  <c r="AL11" i="20" s="1"/>
  <c r="F10" i="20"/>
  <c r="F103" i="20" s="1"/>
  <c r="F9" i="20"/>
  <c r="AL9" i="20" s="1"/>
  <c r="F6" i="20"/>
  <c r="R111" i="9"/>
  <c r="Q111" i="9"/>
  <c r="P111" i="9"/>
  <c r="O111" i="9"/>
  <c r="N111" i="9"/>
  <c r="M111" i="9"/>
  <c r="L111" i="9"/>
  <c r="K111" i="9"/>
  <c r="J111" i="9"/>
  <c r="I111" i="9"/>
  <c r="H111" i="9"/>
  <c r="H105" i="9"/>
  <c r="H89" i="9"/>
  <c r="H88" i="9"/>
  <c r="H87" i="9"/>
  <c r="F70" i="19"/>
  <c r="H74" i="9"/>
  <c r="H76" i="9" s="1"/>
  <c r="H67" i="9"/>
  <c r="H48" i="9"/>
  <c r="H53" i="9" s="1"/>
  <c r="H43" i="9"/>
  <c r="H25" i="9"/>
  <c r="H8" i="9"/>
  <c r="H5" i="9"/>
  <c r="F16" i="21" l="1"/>
  <c r="F17" i="21" s="1"/>
  <c r="R77" i="20"/>
  <c r="AH74" i="20"/>
  <c r="B73" i="23" s="1"/>
  <c r="U66" i="20"/>
  <c r="AK66" i="20" s="1"/>
  <c r="AK65" i="20"/>
  <c r="AK140" i="20" s="1"/>
  <c r="C71" i="23"/>
  <c r="AI98" i="20"/>
  <c r="AL104" i="20"/>
  <c r="D57" i="23"/>
  <c r="E7" i="20"/>
  <c r="E8" i="20" s="1"/>
  <c r="AK57" i="20"/>
  <c r="AK141" i="20" s="1"/>
  <c r="AK136" i="20"/>
  <c r="F96" i="20"/>
  <c r="AK124" i="20"/>
  <c r="H10" i="9"/>
  <c r="H13" i="9" s="1"/>
  <c r="H15" i="9" s="1"/>
  <c r="H60" i="9" s="1"/>
  <c r="H78" i="9" s="1"/>
  <c r="E85" i="20"/>
  <c r="E137" i="20"/>
  <c r="F25" i="20"/>
  <c r="AL25" i="20" s="1"/>
  <c r="G60" i="9"/>
  <c r="G78" i="9" s="1"/>
  <c r="AL64" i="20"/>
  <c r="AL123" i="20" s="1"/>
  <c r="AL40" i="20"/>
  <c r="AL120" i="20" s="1"/>
  <c r="E53" i="23" s="1"/>
  <c r="AL41" i="20"/>
  <c r="AL6" i="20"/>
  <c r="AL53" i="20"/>
  <c r="AL146" i="20" s="1"/>
  <c r="AL55" i="20"/>
  <c r="AL142" i="20" s="1"/>
  <c r="AL10" i="20"/>
  <c r="AL63" i="20"/>
  <c r="AL122" i="20" s="1"/>
  <c r="E55" i="23" s="1"/>
  <c r="AL147" i="20"/>
  <c r="AL33" i="20"/>
  <c r="AL127" i="20" s="1"/>
  <c r="AL34" i="20"/>
  <c r="AL134" i="20" s="1"/>
  <c r="AL35" i="20"/>
  <c r="AL135" i="20" s="1"/>
  <c r="AL128" i="20"/>
  <c r="AL107" i="20"/>
  <c r="AL109" i="20" s="1"/>
  <c r="AL106" i="20" s="1"/>
  <c r="AL99" i="20" s="1"/>
  <c r="AL42" i="20"/>
  <c r="AL60" i="20"/>
  <c r="AL130" i="20" s="1"/>
  <c r="F129" i="20"/>
  <c r="F128" i="20"/>
  <c r="F61" i="20"/>
  <c r="F147" i="20"/>
  <c r="F148" i="20" s="1"/>
  <c r="F66" i="20"/>
  <c r="F143" i="20"/>
  <c r="F44" i="20"/>
  <c r="AL44" i="20" s="1"/>
  <c r="F107" i="20"/>
  <c r="F109" i="20" s="1"/>
  <c r="F106" i="20" s="1"/>
  <c r="F113" i="20"/>
  <c r="F110" i="20" s="1"/>
  <c r="F100" i="20" s="1"/>
  <c r="F38" i="20"/>
  <c r="F105" i="20"/>
  <c r="F102" i="20" s="1"/>
  <c r="F87" i="20"/>
  <c r="F118" i="20"/>
  <c r="H86" i="9"/>
  <c r="H98" i="9" s="1"/>
  <c r="H115" i="9" s="1"/>
  <c r="H117" i="9" s="1"/>
  <c r="H55" i="9"/>
  <c r="W44" i="20"/>
  <c r="G112" i="20"/>
  <c r="AM112" i="20" s="1"/>
  <c r="G108" i="20"/>
  <c r="AM108" i="20" s="1"/>
  <c r="G104" i="20"/>
  <c r="G92" i="20"/>
  <c r="AM92" i="20" s="1"/>
  <c r="G91" i="20"/>
  <c r="AM91" i="20" s="1"/>
  <c r="G88" i="20"/>
  <c r="G84" i="20"/>
  <c r="G83" i="20"/>
  <c r="AM83" i="20" s="1"/>
  <c r="G82" i="20"/>
  <c r="AM82" i="20" s="1"/>
  <c r="G79" i="20"/>
  <c r="AM79" i="20" s="1"/>
  <c r="G76" i="20"/>
  <c r="G75" i="20"/>
  <c r="AM75" i="20" s="1"/>
  <c r="G73" i="20"/>
  <c r="G68" i="20"/>
  <c r="AM68" i="20" s="1"/>
  <c r="G65" i="20"/>
  <c r="G140" i="20" s="1"/>
  <c r="G64" i="20"/>
  <c r="G123" i="20" s="1"/>
  <c r="G63" i="20"/>
  <c r="G122" i="20" s="1"/>
  <c r="G60" i="20"/>
  <c r="G130" i="20" s="1"/>
  <c r="G59" i="20"/>
  <c r="AM59" i="20" s="1"/>
  <c r="G58" i="20"/>
  <c r="G57" i="20"/>
  <c r="G141" i="20" s="1"/>
  <c r="G55" i="20"/>
  <c r="G142" i="20" s="1"/>
  <c r="G53" i="20"/>
  <c r="G146" i="20" s="1"/>
  <c r="G51" i="20"/>
  <c r="G145" i="20" s="1"/>
  <c r="G46" i="20"/>
  <c r="AM46" i="20" s="1"/>
  <c r="G43" i="20"/>
  <c r="AM43" i="20" s="1"/>
  <c r="G42" i="20"/>
  <c r="G121" i="20" s="1"/>
  <c r="G41" i="20"/>
  <c r="G119" i="20" s="1"/>
  <c r="G40" i="20"/>
  <c r="G120" i="20" s="1"/>
  <c r="G37" i="20"/>
  <c r="AM37" i="20" s="1"/>
  <c r="G36" i="20"/>
  <c r="G35" i="20"/>
  <c r="G34" i="20"/>
  <c r="G134" i="20" s="1"/>
  <c r="G33" i="20"/>
  <c r="G127" i="20" s="1"/>
  <c r="G32" i="20"/>
  <c r="G126" i="20" s="1"/>
  <c r="G27" i="20"/>
  <c r="G26" i="20"/>
  <c r="AM26" i="20" s="1"/>
  <c r="G23" i="20"/>
  <c r="AM23" i="20" s="1"/>
  <c r="G22" i="20"/>
  <c r="G21" i="20"/>
  <c r="AM21" i="20" s="1"/>
  <c r="G16" i="20"/>
  <c r="AM16" i="20" s="1"/>
  <c r="G14" i="20"/>
  <c r="G12" i="20"/>
  <c r="G111" i="20" s="1"/>
  <c r="G11" i="20"/>
  <c r="AM11" i="20" s="1"/>
  <c r="G10" i="20"/>
  <c r="G103" i="20" s="1"/>
  <c r="G9" i="20"/>
  <c r="AM9" i="20" s="1"/>
  <c r="G6" i="20"/>
  <c r="AK143" i="20" l="1"/>
  <c r="V65" i="20"/>
  <c r="E24" i="21"/>
  <c r="U84" i="20" s="1"/>
  <c r="AK84" i="20" s="1"/>
  <c r="AI101" i="20"/>
  <c r="C15" i="23" s="1"/>
  <c r="D61" i="23"/>
  <c r="D62" i="23"/>
  <c r="D63" i="23"/>
  <c r="R80" i="20"/>
  <c r="AH77" i="20"/>
  <c r="AL121" i="20"/>
  <c r="S74" i="20"/>
  <c r="AI87" i="20"/>
  <c r="C74" i="23" s="1"/>
  <c r="E54" i="23"/>
  <c r="D45" i="23"/>
  <c r="D48" i="23" s="1"/>
  <c r="AM104" i="20"/>
  <c r="E13" i="20"/>
  <c r="E15" i="20" s="1"/>
  <c r="E17" i="20" s="1"/>
  <c r="D40" i="21"/>
  <c r="E56" i="23"/>
  <c r="F26" i="23"/>
  <c r="G96" i="20"/>
  <c r="E40" i="19"/>
  <c r="E55" i="19"/>
  <c r="E25" i="19"/>
  <c r="E65" i="19"/>
  <c r="E3" i="19"/>
  <c r="E17" i="19"/>
  <c r="F22" i="23"/>
  <c r="E89" i="20"/>
  <c r="F28" i="20"/>
  <c r="AL28" i="20" s="1"/>
  <c r="F37" i="23" s="1"/>
  <c r="F17" i="19"/>
  <c r="F25" i="19"/>
  <c r="F40" i="19"/>
  <c r="F65" i="19"/>
  <c r="F31" i="23"/>
  <c r="F40" i="23" s="1"/>
  <c r="F35" i="23"/>
  <c r="AL103" i="20"/>
  <c r="AL105" i="20" s="1"/>
  <c r="AL102" i="20" s="1"/>
  <c r="F24" i="23"/>
  <c r="F99" i="20"/>
  <c r="AL96" i="20"/>
  <c r="F34" i="23"/>
  <c r="AL119" i="20"/>
  <c r="E51" i="23" s="1"/>
  <c r="E52" i="23" s="1"/>
  <c r="AL118" i="20"/>
  <c r="F74" i="20"/>
  <c r="F131" i="20"/>
  <c r="F149" i="20"/>
  <c r="F70" i="20"/>
  <c r="F48" i="20"/>
  <c r="F124" i="20"/>
  <c r="F133" i="20"/>
  <c r="F136" i="20" s="1"/>
  <c r="F3" i="19"/>
  <c r="G25" i="20"/>
  <c r="AM25" i="20" s="1"/>
  <c r="AM60" i="20"/>
  <c r="AM130" i="20" s="1"/>
  <c r="AM41" i="20"/>
  <c r="AM42" i="20"/>
  <c r="AM121" i="20" s="1"/>
  <c r="AM55" i="20"/>
  <c r="AM142" i="20" s="1"/>
  <c r="AM107" i="20"/>
  <c r="AM109" i="20" s="1"/>
  <c r="AM106" i="20" s="1"/>
  <c r="AM99" i="20" s="1"/>
  <c r="AM33" i="20"/>
  <c r="AM127" i="20" s="1"/>
  <c r="AM128" i="20"/>
  <c r="AM34" i="20"/>
  <c r="AM134" i="20" s="1"/>
  <c r="AM147" i="20"/>
  <c r="AM6" i="20"/>
  <c r="AM63" i="20"/>
  <c r="AM122" i="20" s="1"/>
  <c r="F55" i="23" s="1"/>
  <c r="AM10" i="20"/>
  <c r="AM40" i="20"/>
  <c r="AM120" i="20" s="1"/>
  <c r="F53" i="23" s="1"/>
  <c r="AM53" i="20"/>
  <c r="AM146" i="20" s="1"/>
  <c r="AM64" i="20"/>
  <c r="AM123" i="20" s="1"/>
  <c r="G61" i="20"/>
  <c r="G128" i="20"/>
  <c r="G44" i="20"/>
  <c r="AM44" i="20" s="1"/>
  <c r="G143" i="20"/>
  <c r="G129" i="20"/>
  <c r="G66" i="20"/>
  <c r="G105" i="20"/>
  <c r="G102" i="20" s="1"/>
  <c r="G38" i="20"/>
  <c r="G147" i="20"/>
  <c r="G148" i="20" s="1"/>
  <c r="G107" i="20"/>
  <c r="G109" i="20" s="1"/>
  <c r="G106" i="20" s="1"/>
  <c r="G113" i="20"/>
  <c r="G110" i="20" s="1"/>
  <c r="G100" i="20" s="1"/>
  <c r="G87" i="20"/>
  <c r="G135" i="20"/>
  <c r="G118" i="20"/>
  <c r="G38" i="21"/>
  <c r="W28" i="20" s="1"/>
  <c r="G14" i="21"/>
  <c r="G15" i="21" s="1"/>
  <c r="G13" i="21"/>
  <c r="G12" i="21"/>
  <c r="G11" i="21"/>
  <c r="G10" i="21"/>
  <c r="G70" i="19"/>
  <c r="I105" i="9"/>
  <c r="I89" i="9"/>
  <c r="I88" i="9"/>
  <c r="I87" i="9"/>
  <c r="I74" i="9"/>
  <c r="I76" i="9" s="1"/>
  <c r="I67" i="9"/>
  <c r="I48" i="9"/>
  <c r="I53" i="9" s="1"/>
  <c r="I43" i="9"/>
  <c r="I21" i="9"/>
  <c r="I25" i="9"/>
  <c r="I8" i="9"/>
  <c r="I5" i="9"/>
  <c r="G16" i="21" l="1"/>
  <c r="G17" i="21" s="1"/>
  <c r="AI97" i="20"/>
  <c r="AI114" i="20"/>
  <c r="C79" i="23" s="1"/>
  <c r="R85" i="20"/>
  <c r="AH80" i="20"/>
  <c r="B72" i="23" s="1"/>
  <c r="V66" i="20"/>
  <c r="AL66" i="20" s="1"/>
  <c r="AL65" i="20"/>
  <c r="AL140" i="20" s="1"/>
  <c r="E40" i="21"/>
  <c r="U12" i="20" s="1"/>
  <c r="AK12" i="20" s="1"/>
  <c r="V57" i="20"/>
  <c r="AL57" i="20" s="1"/>
  <c r="AL141" i="20" s="1"/>
  <c r="S77" i="20"/>
  <c r="AI74" i="20"/>
  <c r="C73" i="23" s="1"/>
  <c r="T12" i="20"/>
  <c r="T76" i="20"/>
  <c r="D39" i="21"/>
  <c r="E98" i="20"/>
  <c r="E101" i="20" s="1"/>
  <c r="E114" i="20" s="1"/>
  <c r="D32" i="21"/>
  <c r="T32" i="20" s="1"/>
  <c r="F55" i="19"/>
  <c r="E57" i="23"/>
  <c r="G22" i="23"/>
  <c r="G26" i="23"/>
  <c r="F7" i="20"/>
  <c r="F8" i="20" s="1"/>
  <c r="E93" i="20"/>
  <c r="F56" i="23"/>
  <c r="F54" i="23"/>
  <c r="AL133" i="20"/>
  <c r="AL124" i="20"/>
  <c r="F77" i="20"/>
  <c r="F137" i="20"/>
  <c r="I86" i="9"/>
  <c r="I98" i="9" s="1"/>
  <c r="I115" i="9" s="1"/>
  <c r="I117" i="9" s="1"/>
  <c r="G28" i="20"/>
  <c r="AM28" i="20" s="1"/>
  <c r="G37" i="23" s="1"/>
  <c r="I55" i="9"/>
  <c r="I10" i="9"/>
  <c r="I13" i="9" s="1"/>
  <c r="I15" i="9" s="1"/>
  <c r="I60" i="9" s="1"/>
  <c r="I78" i="9" s="1"/>
  <c r="G34" i="23"/>
  <c r="G31" i="23"/>
  <c r="G40" i="23" s="1"/>
  <c r="G99" i="20"/>
  <c r="AM103" i="20"/>
  <c r="AM105" i="20" s="1"/>
  <c r="AM102" i="20" s="1"/>
  <c r="G24" i="23"/>
  <c r="G35" i="23"/>
  <c r="AM119" i="20"/>
  <c r="F51" i="23" s="1"/>
  <c r="AM96" i="20"/>
  <c r="G74" i="20"/>
  <c r="AM118" i="20"/>
  <c r="G48" i="20"/>
  <c r="G131" i="20"/>
  <c r="G149" i="20"/>
  <c r="G70" i="20"/>
  <c r="G133" i="20"/>
  <c r="G136" i="20" s="1"/>
  <c r="G124" i="20"/>
  <c r="AM35" i="20"/>
  <c r="AM135" i="20" s="1"/>
  <c r="U76" i="20" l="1"/>
  <c r="U88" i="20" s="1"/>
  <c r="AK88" i="20" s="1"/>
  <c r="AL143" i="20"/>
  <c r="E63" i="23"/>
  <c r="E61" i="23"/>
  <c r="E62" i="23"/>
  <c r="C7" i="23"/>
  <c r="B64" i="23"/>
  <c r="R89" i="20"/>
  <c r="AH85" i="20"/>
  <c r="U73" i="20"/>
  <c r="AK73" i="20" s="1"/>
  <c r="F24" i="21"/>
  <c r="V84" i="20" s="1"/>
  <c r="AL84" i="20" s="1"/>
  <c r="W57" i="20"/>
  <c r="W65" i="20"/>
  <c r="S80" i="20"/>
  <c r="AI77" i="20"/>
  <c r="AJ32" i="20"/>
  <c r="T27" i="20"/>
  <c r="T88" i="20"/>
  <c r="AJ88" i="20" s="1"/>
  <c r="AJ76" i="20"/>
  <c r="T73" i="20"/>
  <c r="AJ73" i="20" s="1"/>
  <c r="AJ12" i="20"/>
  <c r="D41" i="21"/>
  <c r="T14" i="20" s="1"/>
  <c r="AJ14" i="20" s="1"/>
  <c r="E97" i="20"/>
  <c r="AL136" i="20"/>
  <c r="F13" i="20"/>
  <c r="F15" i="20" s="1"/>
  <c r="E32" i="21"/>
  <c r="U32" i="20" s="1"/>
  <c r="AK32" i="20" s="1"/>
  <c r="AK126" i="20" s="1"/>
  <c r="AK76" i="20"/>
  <c r="E39" i="21"/>
  <c r="U27" i="20" s="1"/>
  <c r="U22" i="20" s="1"/>
  <c r="AK111" i="20"/>
  <c r="AK113" i="20" s="1"/>
  <c r="E27" i="23"/>
  <c r="E45" i="23"/>
  <c r="E48" i="23" s="1"/>
  <c r="G7" i="20"/>
  <c r="G8" i="20" s="1"/>
  <c r="G17" i="19"/>
  <c r="F52" i="23"/>
  <c r="F80" i="20"/>
  <c r="G25" i="19"/>
  <c r="G40" i="19"/>
  <c r="G65" i="19"/>
  <c r="G55" i="19"/>
  <c r="G3" i="19"/>
  <c r="AM133" i="20"/>
  <c r="AM124" i="20"/>
  <c r="G77" i="20"/>
  <c r="G137" i="20"/>
  <c r="W66" i="20" l="1"/>
  <c r="AM66" i="20" s="1"/>
  <c r="AM65" i="20"/>
  <c r="AM140" i="20" s="1"/>
  <c r="R93" i="20"/>
  <c r="AH93" i="20" s="1"/>
  <c r="AH89" i="20"/>
  <c r="D28" i="23"/>
  <c r="AJ126" i="20"/>
  <c r="D35" i="21"/>
  <c r="S85" i="20"/>
  <c r="AI80" i="20"/>
  <c r="C72" i="23" s="1"/>
  <c r="D27" i="23"/>
  <c r="AJ111" i="20"/>
  <c r="D42" i="21"/>
  <c r="D36" i="21" s="1"/>
  <c r="AJ27" i="20"/>
  <c r="T22" i="20"/>
  <c r="T74" i="20"/>
  <c r="AJ87" i="20"/>
  <c r="D74" i="23" s="1"/>
  <c r="AK110" i="20"/>
  <c r="AK100" i="20" s="1"/>
  <c r="AM136" i="20"/>
  <c r="AK27" i="20"/>
  <c r="E36" i="23" s="1"/>
  <c r="E41" i="21"/>
  <c r="E42" i="21" s="1"/>
  <c r="E36" i="21" s="1"/>
  <c r="AM57" i="20"/>
  <c r="AM141" i="20" s="1"/>
  <c r="U7" i="20"/>
  <c r="AK22" i="20"/>
  <c r="G13" i="20"/>
  <c r="G15" i="20" s="1"/>
  <c r="F57" i="23"/>
  <c r="F45" i="23"/>
  <c r="F85" i="20"/>
  <c r="F17" i="20"/>
  <c r="F98" i="20"/>
  <c r="F101" i="20" s="1"/>
  <c r="G80" i="20"/>
  <c r="R89" i="9"/>
  <c r="R86" i="9" s="1"/>
  <c r="Q89" i="9"/>
  <c r="Q86" i="9" s="1"/>
  <c r="P89" i="9"/>
  <c r="P86" i="9" s="1"/>
  <c r="O89" i="9"/>
  <c r="O86" i="9" s="1"/>
  <c r="N89" i="9"/>
  <c r="N86" i="9" s="1"/>
  <c r="M89" i="9"/>
  <c r="M86" i="9" s="1"/>
  <c r="L89" i="9"/>
  <c r="L86" i="9" s="1"/>
  <c r="K89" i="9"/>
  <c r="J89" i="9"/>
  <c r="AM143" i="20" l="1"/>
  <c r="F63" i="23"/>
  <c r="F61" i="23"/>
  <c r="F62" i="23"/>
  <c r="C47" i="23"/>
  <c r="C50" i="23" s="1"/>
  <c r="AJ113" i="20"/>
  <c r="D36" i="23"/>
  <c r="C64" i="23"/>
  <c r="D47" i="23"/>
  <c r="D50" i="23" s="1"/>
  <c r="T51" i="20"/>
  <c r="AJ51" i="20" s="1"/>
  <c r="U51" i="20"/>
  <c r="AK51" i="20" s="1"/>
  <c r="T58" i="20"/>
  <c r="S89" i="20"/>
  <c r="AI85" i="20"/>
  <c r="T77" i="20"/>
  <c r="AJ74" i="20"/>
  <c r="D73" i="23" s="1"/>
  <c r="T7" i="20"/>
  <c r="AJ22" i="20"/>
  <c r="U14" i="20"/>
  <c r="AK14" i="20" s="1"/>
  <c r="E35" i="21"/>
  <c r="U58" i="20" s="1"/>
  <c r="F40" i="21"/>
  <c r="V12" i="20" s="1"/>
  <c r="U8" i="20"/>
  <c r="AK7" i="20"/>
  <c r="E32" i="23"/>
  <c r="F48" i="23"/>
  <c r="F97" i="20"/>
  <c r="F114" i="20"/>
  <c r="F89" i="20"/>
  <c r="G85" i="20"/>
  <c r="G17" i="20"/>
  <c r="G98" i="20"/>
  <c r="G101" i="20" s="1"/>
  <c r="R21" i="9"/>
  <c r="Q21" i="9"/>
  <c r="P21" i="9"/>
  <c r="O21" i="9"/>
  <c r="N21" i="9"/>
  <c r="M21" i="9"/>
  <c r="L21" i="9"/>
  <c r="K21" i="9"/>
  <c r="J21" i="9"/>
  <c r="R8" i="9"/>
  <c r="Q8" i="9"/>
  <c r="P8" i="9"/>
  <c r="O8" i="9"/>
  <c r="N8" i="9"/>
  <c r="M8" i="9"/>
  <c r="L8" i="9"/>
  <c r="K8" i="9"/>
  <c r="J8" i="9"/>
  <c r="AJ110" i="20" l="1"/>
  <c r="AK145" i="20"/>
  <c r="AK148" i="20" s="1"/>
  <c r="AK149" i="20" s="1"/>
  <c r="AJ145" i="20"/>
  <c r="T61" i="20"/>
  <c r="AJ58" i="20"/>
  <c r="T36" i="20"/>
  <c r="U61" i="20"/>
  <c r="AK61" i="20" s="1"/>
  <c r="U36" i="20"/>
  <c r="U38" i="20" s="1"/>
  <c r="S93" i="20"/>
  <c r="AI93" i="20" s="1"/>
  <c r="AI89" i="20"/>
  <c r="D32" i="23"/>
  <c r="T8" i="20"/>
  <c r="AJ7" i="20"/>
  <c r="T80" i="20"/>
  <c r="AJ77" i="20"/>
  <c r="E23" i="23"/>
  <c r="E28" i="23"/>
  <c r="AK58" i="20"/>
  <c r="V76" i="20"/>
  <c r="F32" i="21"/>
  <c r="V32" i="20" s="1"/>
  <c r="F39" i="21"/>
  <c r="V73" i="20"/>
  <c r="AL73" i="20" s="1"/>
  <c r="AL12" i="20"/>
  <c r="U13" i="20"/>
  <c r="AK8" i="20"/>
  <c r="F93" i="20"/>
  <c r="G89" i="20"/>
  <c r="G114" i="20"/>
  <c r="G97" i="20"/>
  <c r="AJ148" i="20" l="1"/>
  <c r="AJ149" i="20" s="1"/>
  <c r="AJ100" i="20"/>
  <c r="D23" i="23"/>
  <c r="D25" i="23" s="1"/>
  <c r="U70" i="20"/>
  <c r="AK70" i="20" s="1"/>
  <c r="T38" i="20"/>
  <c r="AJ36" i="20"/>
  <c r="AJ61" i="20"/>
  <c r="T70" i="20"/>
  <c r="AJ70" i="20" s="1"/>
  <c r="T85" i="20"/>
  <c r="AJ80" i="20"/>
  <c r="D72" i="23" s="1"/>
  <c r="T13" i="20"/>
  <c r="AJ8" i="20"/>
  <c r="E25" i="23"/>
  <c r="AK36" i="20"/>
  <c r="AK129" i="20" s="1"/>
  <c r="AK131" i="20" s="1"/>
  <c r="V27" i="20"/>
  <c r="F41" i="21"/>
  <c r="AL111" i="20"/>
  <c r="AL113" i="20" s="1"/>
  <c r="AL110" i="20" s="1"/>
  <c r="AL100" i="20" s="1"/>
  <c r="F27" i="23"/>
  <c r="AL32" i="20"/>
  <c r="AL126" i="20" s="1"/>
  <c r="E47" i="23" s="1"/>
  <c r="AL76" i="20"/>
  <c r="V88" i="20"/>
  <c r="AL88" i="20" s="1"/>
  <c r="U48" i="20"/>
  <c r="AK48" i="20" s="1"/>
  <c r="AK38" i="20"/>
  <c r="U15" i="20"/>
  <c r="AK13" i="20"/>
  <c r="G93" i="20"/>
  <c r="C69" i="23" l="1"/>
  <c r="D69" i="23"/>
  <c r="C3" i="23"/>
  <c r="C78" i="23" s="1"/>
  <c r="C70" i="23"/>
  <c r="D64" i="23"/>
  <c r="AJ129" i="20"/>
  <c r="D70" i="23"/>
  <c r="C68" i="23"/>
  <c r="AJ38" i="20"/>
  <c r="T48" i="20"/>
  <c r="AJ48" i="20" s="1"/>
  <c r="D68" i="23"/>
  <c r="D29" i="23"/>
  <c r="D41" i="23"/>
  <c r="E29" i="23"/>
  <c r="T15" i="20"/>
  <c r="AJ13" i="20"/>
  <c r="T89" i="20"/>
  <c r="AJ85" i="20"/>
  <c r="E50" i="23"/>
  <c r="E41" i="23"/>
  <c r="AK137" i="20"/>
  <c r="F35" i="21"/>
  <c r="V58" i="20" s="1"/>
  <c r="V14" i="20"/>
  <c r="AL14" i="20" s="1"/>
  <c r="F42" i="21"/>
  <c r="F36" i="21" s="1"/>
  <c r="V51" i="20" s="1"/>
  <c r="AL27" i="20"/>
  <c r="F36" i="23" s="1"/>
  <c r="V22" i="20"/>
  <c r="U17" i="20"/>
  <c r="AK17" i="20" s="1"/>
  <c r="AK15" i="20"/>
  <c r="AF84" i="20"/>
  <c r="AF76" i="20"/>
  <c r="AJ131" i="20" l="1"/>
  <c r="AJ137" i="20" s="1"/>
  <c r="C80" i="23"/>
  <c r="C8" i="23"/>
  <c r="C10" i="23"/>
  <c r="D8" i="23"/>
  <c r="D10" i="23"/>
  <c r="T93" i="20"/>
  <c r="AJ93" i="20" s="1"/>
  <c r="AJ89" i="20"/>
  <c r="T17" i="20"/>
  <c r="AJ17" i="20" s="1"/>
  <c r="AJ15" i="20"/>
  <c r="F28" i="23"/>
  <c r="V7" i="20"/>
  <c r="AL22" i="20"/>
  <c r="AL51" i="20"/>
  <c r="V36" i="20"/>
  <c r="AK98" i="20"/>
  <c r="E71" i="23"/>
  <c r="AF88" i="20"/>
  <c r="D46" i="23" l="1"/>
  <c r="D49" i="23" s="1"/>
  <c r="D16" i="23"/>
  <c r="C46" i="23"/>
  <c r="C49" i="23" s="1"/>
  <c r="C16" i="23"/>
  <c r="C17" i="23" s="1"/>
  <c r="C9" i="23"/>
  <c r="D71" i="23"/>
  <c r="AJ98" i="20"/>
  <c r="AL36" i="20"/>
  <c r="V38" i="20"/>
  <c r="F32" i="23"/>
  <c r="AL58" i="20"/>
  <c r="V61" i="20"/>
  <c r="AL145" i="20"/>
  <c r="AL148" i="20" s="1"/>
  <c r="V8" i="20"/>
  <c r="AL7" i="20"/>
  <c r="AK101" i="20"/>
  <c r="E15" i="23" s="1"/>
  <c r="K88" i="9"/>
  <c r="J88" i="9"/>
  <c r="K87" i="9"/>
  <c r="J87" i="9"/>
  <c r="C11" i="23" l="1"/>
  <c r="AJ101" i="20"/>
  <c r="D15" i="23" s="1"/>
  <c r="F23" i="23"/>
  <c r="AL129" i="20"/>
  <c r="AL131" i="20" s="1"/>
  <c r="V13" i="20"/>
  <c r="AL8" i="20"/>
  <c r="AL61" i="20"/>
  <c r="V70" i="20"/>
  <c r="AL70" i="20" s="1"/>
  <c r="AL149" i="20"/>
  <c r="E70" i="23" s="1"/>
  <c r="E69" i="23"/>
  <c r="AL38" i="20"/>
  <c r="V48" i="20"/>
  <c r="AL48" i="20" s="1"/>
  <c r="AK114" i="20"/>
  <c r="E79" i="23" s="1"/>
  <c r="AK97" i="20"/>
  <c r="J86" i="9"/>
  <c r="K86" i="9"/>
  <c r="AJ97" i="20" l="1"/>
  <c r="AJ114" i="20"/>
  <c r="D79" i="23" s="1"/>
  <c r="F25" i="23"/>
  <c r="F41" i="23" s="1"/>
  <c r="E16" i="23"/>
  <c r="E46" i="23"/>
  <c r="AL137" i="20"/>
  <c r="E10" i="23"/>
  <c r="E8" i="23"/>
  <c r="E68" i="23"/>
  <c r="V15" i="20"/>
  <c r="AL13" i="20"/>
  <c r="E7" i="23"/>
  <c r="E3" i="23"/>
  <c r="R25" i="9"/>
  <c r="Q25" i="9"/>
  <c r="P25" i="9"/>
  <c r="O25" i="9"/>
  <c r="N25" i="9"/>
  <c r="M25" i="9"/>
  <c r="L25" i="9"/>
  <c r="K25" i="9"/>
  <c r="J25" i="9"/>
  <c r="E78" i="23" l="1"/>
  <c r="E80" i="23" s="1"/>
  <c r="D7" i="23"/>
  <c r="D3" i="23"/>
  <c r="E49" i="23"/>
  <c r="F29" i="23"/>
  <c r="V17" i="20"/>
  <c r="AL17" i="20" s="1"/>
  <c r="AL15" i="20"/>
  <c r="E9" i="23"/>
  <c r="E17" i="23"/>
  <c r="R105" i="9"/>
  <c r="Q105" i="9"/>
  <c r="P105" i="9"/>
  <c r="O105" i="9"/>
  <c r="N105" i="9"/>
  <c r="M105" i="9"/>
  <c r="L105" i="9"/>
  <c r="K105" i="9"/>
  <c r="J105" i="9"/>
  <c r="R98" i="9"/>
  <c r="Q98" i="9"/>
  <c r="P98" i="9"/>
  <c r="O98" i="9"/>
  <c r="N98" i="9"/>
  <c r="M98" i="9"/>
  <c r="L98" i="9"/>
  <c r="K98" i="9"/>
  <c r="J98" i="9"/>
  <c r="J115" i="9" s="1"/>
  <c r="J117" i="9" s="1"/>
  <c r="R76" i="9"/>
  <c r="L76" i="9"/>
  <c r="J76" i="9"/>
  <c r="Q74" i="9"/>
  <c r="Q76" i="9" s="1"/>
  <c r="P74" i="9"/>
  <c r="P76" i="9" s="1"/>
  <c r="O74" i="9"/>
  <c r="O76" i="9" s="1"/>
  <c r="N74" i="9"/>
  <c r="N76" i="9" s="1"/>
  <c r="M74" i="9"/>
  <c r="M76" i="9" s="1"/>
  <c r="K74" i="9"/>
  <c r="K76" i="9" s="1"/>
  <c r="R67" i="9"/>
  <c r="Q67" i="9"/>
  <c r="P67" i="9"/>
  <c r="O67" i="9"/>
  <c r="N67" i="9"/>
  <c r="M67" i="9"/>
  <c r="L67" i="9"/>
  <c r="K67" i="9"/>
  <c r="J67" i="9"/>
  <c r="R60" i="9"/>
  <c r="Q60" i="9"/>
  <c r="P60" i="9"/>
  <c r="O60" i="9"/>
  <c r="N60" i="9"/>
  <c r="M60" i="9"/>
  <c r="L60" i="9"/>
  <c r="K60" i="9"/>
  <c r="J60" i="9"/>
  <c r="R53" i="9"/>
  <c r="J53" i="9"/>
  <c r="K49" i="9"/>
  <c r="Q48" i="9"/>
  <c r="Q53" i="9" s="1"/>
  <c r="P48" i="9"/>
  <c r="P53" i="9" s="1"/>
  <c r="O48" i="9"/>
  <c r="O53" i="9" s="1"/>
  <c r="N48" i="9"/>
  <c r="N53" i="9" s="1"/>
  <c r="M48" i="9"/>
  <c r="M53" i="9" s="1"/>
  <c r="L48" i="9"/>
  <c r="L53" i="9" s="1"/>
  <c r="K48" i="9"/>
  <c r="R43" i="9"/>
  <c r="Q43" i="9"/>
  <c r="P43" i="9"/>
  <c r="O43" i="9"/>
  <c r="N43" i="9"/>
  <c r="M43" i="9"/>
  <c r="L43" i="9"/>
  <c r="K43" i="9"/>
  <c r="J43" i="9"/>
  <c r="R5" i="9"/>
  <c r="Q5" i="9"/>
  <c r="P5" i="9"/>
  <c r="O5" i="9"/>
  <c r="N5" i="9"/>
  <c r="M5" i="9"/>
  <c r="L5" i="9"/>
  <c r="K5" i="9"/>
  <c r="J5" i="9"/>
  <c r="E11" i="23" l="1"/>
  <c r="D78" i="23"/>
  <c r="D80" i="23" s="1"/>
  <c r="K115" i="9"/>
  <c r="K117" i="9" s="1"/>
  <c r="N115" i="9"/>
  <c r="N117" i="9" s="1"/>
  <c r="M115" i="9"/>
  <c r="M117" i="9" s="1"/>
  <c r="O115" i="9"/>
  <c r="O117" i="9" s="1"/>
  <c r="P115" i="9"/>
  <c r="P117" i="9" s="1"/>
  <c r="L115" i="9"/>
  <c r="L117" i="9" s="1"/>
  <c r="Q115" i="9"/>
  <c r="Q117" i="9" s="1"/>
  <c r="R115" i="9"/>
  <c r="R117" i="9" s="1"/>
  <c r="Q55" i="9"/>
  <c r="D17" i="23"/>
  <c r="D9" i="23"/>
  <c r="J78" i="9"/>
  <c r="P78" i="9"/>
  <c r="P55" i="9"/>
  <c r="M55" i="9"/>
  <c r="AL98" i="20"/>
  <c r="F71" i="23"/>
  <c r="O10" i="9"/>
  <c r="O13" i="9" s="1"/>
  <c r="O15" i="9" s="1"/>
  <c r="P10" i="9"/>
  <c r="P13" i="9" s="1"/>
  <c r="P15" i="9" s="1"/>
  <c r="N17" i="19"/>
  <c r="L10" i="9"/>
  <c r="L13" i="9" s="1"/>
  <c r="L15" i="9" s="1"/>
  <c r="M10" i="9"/>
  <c r="M13" i="9" s="1"/>
  <c r="M15" i="9" s="1"/>
  <c r="N10" i="9"/>
  <c r="N13" i="9" s="1"/>
  <c r="N15" i="9" s="1"/>
  <c r="J10" i="9"/>
  <c r="J13" i="9" s="1"/>
  <c r="J15" i="9" s="1"/>
  <c r="R10" i="9"/>
  <c r="R13" i="9" s="1"/>
  <c r="R15" i="9" s="1"/>
  <c r="Q10" i="9"/>
  <c r="Q13" i="9" s="1"/>
  <c r="Q15" i="9" s="1"/>
  <c r="K10" i="9"/>
  <c r="K13" i="9" s="1"/>
  <c r="K15" i="9" s="1"/>
  <c r="N78" i="9"/>
  <c r="K78" i="9"/>
  <c r="J55" i="9"/>
  <c r="R55" i="9"/>
  <c r="N55" i="9"/>
  <c r="L17" i="19" s="1"/>
  <c r="O78" i="9"/>
  <c r="L55" i="9"/>
  <c r="K53" i="9"/>
  <c r="K55" i="9" s="1"/>
  <c r="O55" i="9"/>
  <c r="R78" i="9"/>
  <c r="L78" i="9"/>
  <c r="M78" i="9"/>
  <c r="Q78" i="9"/>
  <c r="O17" i="19" s="1"/>
  <c r="D11" i="23" l="1"/>
  <c r="AL101" i="20"/>
  <c r="F15" i="23" s="1"/>
  <c r="M17" i="19"/>
  <c r="I17" i="19"/>
  <c r="K17" i="19"/>
  <c r="H17" i="19"/>
  <c r="P17" i="19"/>
  <c r="J17" i="19"/>
  <c r="P40" i="19"/>
  <c r="P25" i="19"/>
  <c r="AL97" i="20" l="1"/>
  <c r="AL114" i="20"/>
  <c r="F79" i="23" s="1"/>
  <c r="I65" i="19"/>
  <c r="I3" i="19"/>
  <c r="I40" i="19"/>
  <c r="I25" i="19"/>
  <c r="I55" i="19"/>
  <c r="H55" i="19"/>
  <c r="J25" i="19"/>
  <c r="N3" i="19"/>
  <c r="M55" i="19"/>
  <c r="K55" i="19"/>
  <c r="L40" i="19"/>
  <c r="P55" i="19"/>
  <c r="P65" i="19"/>
  <c r="P3" i="19"/>
  <c r="O40" i="19"/>
  <c r="O25" i="19"/>
  <c r="O3" i="19"/>
  <c r="H40" i="19"/>
  <c r="O55" i="19"/>
  <c r="O65" i="19"/>
  <c r="F7" i="23" l="1"/>
  <c r="H65" i="19"/>
  <c r="H25" i="19"/>
  <c r="H3" i="19"/>
  <c r="N40" i="19"/>
  <c r="L3" i="19"/>
  <c r="N25" i="19"/>
  <c r="N65" i="19"/>
  <c r="N55" i="19"/>
  <c r="K40" i="19"/>
  <c r="K65" i="19"/>
  <c r="J40" i="19"/>
  <c r="L55" i="19"/>
  <c r="L25" i="19"/>
  <c r="J3" i="19"/>
  <c r="M40" i="19"/>
  <c r="J65" i="19"/>
  <c r="M25" i="19"/>
  <c r="K25" i="19"/>
  <c r="K3" i="19"/>
  <c r="L65" i="19"/>
  <c r="M65" i="19"/>
  <c r="M3" i="19"/>
  <c r="J55" i="19"/>
  <c r="X44" i="20" l="1"/>
  <c r="Y44" i="20"/>
  <c r="Z44" i="20"/>
  <c r="H112" i="20"/>
  <c r="AN112" i="20" s="1"/>
  <c r="I112" i="20"/>
  <c r="AO112" i="20" s="1"/>
  <c r="H108" i="20"/>
  <c r="AN108" i="20" s="1"/>
  <c r="I108" i="20"/>
  <c r="AO108" i="20" s="1"/>
  <c r="H104" i="20"/>
  <c r="I104" i="20"/>
  <c r="I92" i="20"/>
  <c r="AO92" i="20" s="1"/>
  <c r="I91" i="20"/>
  <c r="AO91" i="20" s="1"/>
  <c r="I88" i="20"/>
  <c r="I84" i="20"/>
  <c r="I83" i="20"/>
  <c r="AO83" i="20" s="1"/>
  <c r="I82" i="20"/>
  <c r="AO82" i="20" s="1"/>
  <c r="I79" i="20"/>
  <c r="AO79" i="20" s="1"/>
  <c r="I76" i="20"/>
  <c r="I75" i="20"/>
  <c r="AO75" i="20" s="1"/>
  <c r="I73" i="20"/>
  <c r="I68" i="20"/>
  <c r="AO68" i="20" s="1"/>
  <c r="I65" i="20"/>
  <c r="I140" i="20" s="1"/>
  <c r="I64" i="20"/>
  <c r="I123" i="20" s="1"/>
  <c r="I63" i="20"/>
  <c r="I122" i="20" s="1"/>
  <c r="I60" i="20"/>
  <c r="I130" i="20" s="1"/>
  <c r="I59" i="20"/>
  <c r="AO59" i="20" s="1"/>
  <c r="I58" i="20"/>
  <c r="I57" i="20"/>
  <c r="I55" i="20"/>
  <c r="I142" i="20" s="1"/>
  <c r="I53" i="20"/>
  <c r="I146" i="20" s="1"/>
  <c r="I51" i="20"/>
  <c r="I145" i="20" s="1"/>
  <c r="I46" i="20"/>
  <c r="AO46" i="20" s="1"/>
  <c r="I43" i="20"/>
  <c r="AO43" i="20" s="1"/>
  <c r="I42" i="20"/>
  <c r="I121" i="20" s="1"/>
  <c r="I41" i="20"/>
  <c r="I119" i="20" s="1"/>
  <c r="I40" i="20"/>
  <c r="I120" i="20" s="1"/>
  <c r="I37" i="20"/>
  <c r="AO37" i="20" s="1"/>
  <c r="I36" i="20"/>
  <c r="I35" i="20"/>
  <c r="I135" i="20" s="1"/>
  <c r="I34" i="20"/>
  <c r="I134" i="20" s="1"/>
  <c r="I33" i="20"/>
  <c r="I127" i="20" s="1"/>
  <c r="I32" i="20"/>
  <c r="I27" i="20"/>
  <c r="I26" i="20"/>
  <c r="AO26" i="20" s="1"/>
  <c r="I23" i="20"/>
  <c r="AO23" i="20" s="1"/>
  <c r="I22" i="20"/>
  <c r="I21" i="20"/>
  <c r="AO21" i="20" s="1"/>
  <c r="I16" i="20"/>
  <c r="AO16" i="20" s="1"/>
  <c r="I14" i="20"/>
  <c r="I12" i="20"/>
  <c r="I11" i="20"/>
  <c r="AO11" i="20" s="1"/>
  <c r="I10" i="20"/>
  <c r="I103" i="20" s="1"/>
  <c r="I9" i="20"/>
  <c r="AO9" i="20" s="1"/>
  <c r="I6" i="20"/>
  <c r="J112" i="20"/>
  <c r="AP112" i="20" s="1"/>
  <c r="J108" i="20"/>
  <c r="AP108" i="20" s="1"/>
  <c r="J104" i="20"/>
  <c r="J92" i="20"/>
  <c r="AP92" i="20" s="1"/>
  <c r="J91" i="20"/>
  <c r="AP91" i="20" s="1"/>
  <c r="J88" i="20"/>
  <c r="J84" i="20"/>
  <c r="J83" i="20"/>
  <c r="AP83" i="20" s="1"/>
  <c r="J82" i="20"/>
  <c r="AP82" i="20" s="1"/>
  <c r="J79" i="20"/>
  <c r="AP79" i="20" s="1"/>
  <c r="J76" i="20"/>
  <c r="J75" i="20"/>
  <c r="AP75" i="20" s="1"/>
  <c r="J73" i="20"/>
  <c r="J68" i="20"/>
  <c r="AP68" i="20" s="1"/>
  <c r="J65" i="20"/>
  <c r="J140" i="20" s="1"/>
  <c r="J64" i="20"/>
  <c r="J123" i="20" s="1"/>
  <c r="J63" i="20"/>
  <c r="J122" i="20" s="1"/>
  <c r="J60" i="20"/>
  <c r="J130" i="20" s="1"/>
  <c r="J59" i="20"/>
  <c r="AP59" i="20" s="1"/>
  <c r="J58" i="20"/>
  <c r="J57" i="20"/>
  <c r="J55" i="20"/>
  <c r="J142" i="20" s="1"/>
  <c r="J53" i="20"/>
  <c r="J146" i="20" s="1"/>
  <c r="J51" i="20"/>
  <c r="J145" i="20" s="1"/>
  <c r="J46" i="20"/>
  <c r="AP46" i="20" s="1"/>
  <c r="J43" i="20"/>
  <c r="AP43" i="20" s="1"/>
  <c r="J42" i="20"/>
  <c r="J121" i="20" s="1"/>
  <c r="J41" i="20"/>
  <c r="J119" i="20" s="1"/>
  <c r="J40" i="20"/>
  <c r="J120" i="20" s="1"/>
  <c r="J37" i="20"/>
  <c r="AP37" i="20" s="1"/>
  <c r="J36" i="20"/>
  <c r="J35" i="20"/>
  <c r="J135" i="20" s="1"/>
  <c r="J34" i="20"/>
  <c r="J134" i="20" s="1"/>
  <c r="J33" i="20"/>
  <c r="J127" i="20" s="1"/>
  <c r="J32" i="20"/>
  <c r="J27" i="20"/>
  <c r="J26" i="20"/>
  <c r="AP26" i="20" s="1"/>
  <c r="J23" i="20"/>
  <c r="AP23" i="20" s="1"/>
  <c r="J22" i="20"/>
  <c r="J21" i="20"/>
  <c r="AP21" i="20" s="1"/>
  <c r="J16" i="20"/>
  <c r="AP16" i="20" s="1"/>
  <c r="J14" i="20"/>
  <c r="J12" i="20"/>
  <c r="J11" i="20"/>
  <c r="AP11" i="20" s="1"/>
  <c r="J10" i="20"/>
  <c r="J103" i="20" s="1"/>
  <c r="J9" i="20"/>
  <c r="AP9" i="20" s="1"/>
  <c r="J6" i="20"/>
  <c r="J96" i="20" s="1"/>
  <c r="H92" i="20"/>
  <c r="AN92" i="20" s="1"/>
  <c r="H91" i="20"/>
  <c r="AN91" i="20" s="1"/>
  <c r="H88" i="20"/>
  <c r="H84" i="20"/>
  <c r="H83" i="20"/>
  <c r="AN83" i="20" s="1"/>
  <c r="H82" i="20"/>
  <c r="AN82" i="20" s="1"/>
  <c r="H79" i="20"/>
  <c r="AN79" i="20" s="1"/>
  <c r="H76" i="20"/>
  <c r="H75" i="20"/>
  <c r="AN75" i="20" s="1"/>
  <c r="H73" i="20"/>
  <c r="H68" i="20"/>
  <c r="AN68" i="20" s="1"/>
  <c r="H65" i="20"/>
  <c r="H140" i="20" s="1"/>
  <c r="H64" i="20"/>
  <c r="H123" i="20" s="1"/>
  <c r="H63" i="20"/>
  <c r="H122" i="20" s="1"/>
  <c r="H60" i="20"/>
  <c r="H130" i="20" s="1"/>
  <c r="H59" i="20"/>
  <c r="AN59" i="20" s="1"/>
  <c r="H58" i="20"/>
  <c r="H57" i="20"/>
  <c r="H55" i="20"/>
  <c r="H142" i="20" s="1"/>
  <c r="H53" i="20"/>
  <c r="H146" i="20" s="1"/>
  <c r="H51" i="20"/>
  <c r="H145" i="20" s="1"/>
  <c r="H46" i="20"/>
  <c r="AN46" i="20" s="1"/>
  <c r="H43" i="20"/>
  <c r="AN43" i="20" s="1"/>
  <c r="H42" i="20"/>
  <c r="H121" i="20" s="1"/>
  <c r="H41" i="20"/>
  <c r="H119" i="20" s="1"/>
  <c r="H40" i="20"/>
  <c r="AN40" i="20" s="1"/>
  <c r="AN120" i="20" s="1"/>
  <c r="G53" i="23" s="1"/>
  <c r="H37" i="20"/>
  <c r="AN37" i="20" s="1"/>
  <c r="H36" i="20"/>
  <c r="H35" i="20"/>
  <c r="H135" i="20" s="1"/>
  <c r="H34" i="20"/>
  <c r="H134" i="20" s="1"/>
  <c r="H33" i="20"/>
  <c r="AN33" i="20" s="1"/>
  <c r="H32" i="20"/>
  <c r="H126" i="20" s="1"/>
  <c r="H27" i="20"/>
  <c r="H26" i="20"/>
  <c r="AN26" i="20" s="1"/>
  <c r="H23" i="20"/>
  <c r="AN23" i="20" s="1"/>
  <c r="H22" i="20"/>
  <c r="H21" i="20"/>
  <c r="AN21" i="20" s="1"/>
  <c r="H16" i="20"/>
  <c r="AN16" i="20" s="1"/>
  <c r="H14" i="20"/>
  <c r="H12" i="20"/>
  <c r="H11" i="20"/>
  <c r="AN11" i="20" s="1"/>
  <c r="H10" i="20"/>
  <c r="H103" i="20" s="1"/>
  <c r="H9" i="20"/>
  <c r="AN9" i="20" s="1"/>
  <c r="H6" i="20"/>
  <c r="N38" i="21"/>
  <c r="M38" i="21"/>
  <c r="L38" i="21"/>
  <c r="K38" i="21"/>
  <c r="J38" i="21"/>
  <c r="Z28" i="20" s="1"/>
  <c r="I38" i="21"/>
  <c r="Y28" i="20" s="1"/>
  <c r="H38" i="21"/>
  <c r="X28" i="20" s="1"/>
  <c r="U74" i="20" l="1"/>
  <c r="AK87" i="20"/>
  <c r="E74" i="23" s="1"/>
  <c r="V74" i="20"/>
  <c r="AL87" i="20"/>
  <c r="F74" i="23" s="1"/>
  <c r="G54" i="23"/>
  <c r="AP104" i="20"/>
  <c r="J87" i="20"/>
  <c r="J74" i="20" s="1"/>
  <c r="J77" i="20" s="1"/>
  <c r="AO104" i="20"/>
  <c r="I87" i="20"/>
  <c r="I74" i="20" s="1"/>
  <c r="AN104" i="20"/>
  <c r="H87" i="20"/>
  <c r="H74" i="20" s="1"/>
  <c r="H77" i="20" s="1"/>
  <c r="AO35" i="20"/>
  <c r="AO135" i="20" s="1"/>
  <c r="I96" i="20"/>
  <c r="H96" i="20"/>
  <c r="AN127" i="20"/>
  <c r="AP35" i="20"/>
  <c r="AP135" i="20" s="1"/>
  <c r="J111" i="20"/>
  <c r="J113" i="20" s="1"/>
  <c r="J110" i="20" s="1"/>
  <c r="J100" i="20" s="1"/>
  <c r="I111" i="20"/>
  <c r="I113" i="20" s="1"/>
  <c r="I110" i="20" s="1"/>
  <c r="I100" i="20" s="1"/>
  <c r="H111" i="20"/>
  <c r="H113" i="20" s="1"/>
  <c r="H110" i="20" s="1"/>
  <c r="H100" i="20" s="1"/>
  <c r="AN42" i="20"/>
  <c r="AN107" i="20"/>
  <c r="AN6" i="20"/>
  <c r="AN41" i="20"/>
  <c r="AN128" i="20"/>
  <c r="AN147" i="20"/>
  <c r="AN55" i="20"/>
  <c r="AN142" i="20" s="1"/>
  <c r="AN60" i="20"/>
  <c r="AN130" i="20" s="1"/>
  <c r="AN10" i="20"/>
  <c r="AN34" i="20"/>
  <c r="AN134" i="20" s="1"/>
  <c r="AN63" i="20"/>
  <c r="AN122" i="20" s="1"/>
  <c r="G55" i="23" s="1"/>
  <c r="AN53" i="20"/>
  <c r="AN146" i="20" s="1"/>
  <c r="AN64" i="20"/>
  <c r="AN123" i="20" s="1"/>
  <c r="AO53" i="20"/>
  <c r="AO146" i="20" s="1"/>
  <c r="AO107" i="20"/>
  <c r="AO109" i="20" s="1"/>
  <c r="AO106" i="20" s="1"/>
  <c r="AO99" i="20" s="1"/>
  <c r="AO128" i="20"/>
  <c r="AO64" i="20"/>
  <c r="AO123" i="20" s="1"/>
  <c r="AO40" i="20"/>
  <c r="AO120" i="20" s="1"/>
  <c r="AO147" i="20"/>
  <c r="AO6" i="20"/>
  <c r="AO10" i="20"/>
  <c r="AO33" i="20"/>
  <c r="AO127" i="20" s="1"/>
  <c r="AO42" i="20"/>
  <c r="AO121" i="20" s="1"/>
  <c r="AO34" i="20"/>
  <c r="AO134" i="20" s="1"/>
  <c r="AO63" i="20"/>
  <c r="AO122" i="20" s="1"/>
  <c r="AO41" i="20"/>
  <c r="AO55" i="20"/>
  <c r="AO142" i="20" s="1"/>
  <c r="AO60" i="20"/>
  <c r="AO130" i="20" s="1"/>
  <c r="AP10" i="20"/>
  <c r="AP34" i="20"/>
  <c r="AP134" i="20" s="1"/>
  <c r="AP60" i="20"/>
  <c r="AP130" i="20" s="1"/>
  <c r="AP33" i="20"/>
  <c r="AP127" i="20" s="1"/>
  <c r="AP55" i="20"/>
  <c r="AP142" i="20" s="1"/>
  <c r="AP63" i="20"/>
  <c r="AP122" i="20" s="1"/>
  <c r="AP107" i="20"/>
  <c r="AP109" i="20" s="1"/>
  <c r="AP106" i="20" s="1"/>
  <c r="AP99" i="20" s="1"/>
  <c r="AP41" i="20"/>
  <c r="AP147" i="20"/>
  <c r="AP6" i="20"/>
  <c r="AP128" i="20"/>
  <c r="AP42" i="20"/>
  <c r="AP121" i="20" s="1"/>
  <c r="AP40" i="20"/>
  <c r="AP120" i="20" s="1"/>
  <c r="AP53" i="20"/>
  <c r="AP146" i="20" s="1"/>
  <c r="AP64" i="20"/>
  <c r="AP123" i="20" s="1"/>
  <c r="I147" i="20"/>
  <c r="I148" i="20" s="1"/>
  <c r="I61" i="20"/>
  <c r="I38" i="20"/>
  <c r="I107" i="20"/>
  <c r="I109" i="20" s="1"/>
  <c r="I106" i="20" s="1"/>
  <c r="I128" i="20"/>
  <c r="I126" i="20"/>
  <c r="I129" i="20"/>
  <c r="I105" i="20"/>
  <c r="I102" i="20" s="1"/>
  <c r="I44" i="20"/>
  <c r="I141" i="20"/>
  <c r="I143" i="20" s="1"/>
  <c r="I25" i="20"/>
  <c r="I118" i="20"/>
  <c r="I66" i="20"/>
  <c r="J147" i="20"/>
  <c r="J148" i="20" s="1"/>
  <c r="J61" i="20"/>
  <c r="J38" i="20"/>
  <c r="J107" i="20"/>
  <c r="J109" i="20" s="1"/>
  <c r="J106" i="20" s="1"/>
  <c r="J128" i="20"/>
  <c r="J126" i="20"/>
  <c r="J129" i="20"/>
  <c r="J105" i="20"/>
  <c r="J102" i="20" s="1"/>
  <c r="J44" i="20"/>
  <c r="AP44" i="20" s="1"/>
  <c r="J141" i="20"/>
  <c r="J143" i="20" s="1"/>
  <c r="J25" i="20"/>
  <c r="J118" i="20"/>
  <c r="J66" i="20"/>
  <c r="H147" i="20"/>
  <c r="H148" i="20" s="1"/>
  <c r="H44" i="20"/>
  <c r="AN44" i="20" s="1"/>
  <c r="H61" i="20"/>
  <c r="H107" i="20"/>
  <c r="H109" i="20" s="1"/>
  <c r="H106" i="20" s="1"/>
  <c r="H38" i="20"/>
  <c r="H128" i="20"/>
  <c r="H66" i="20"/>
  <c r="H129" i="20"/>
  <c r="H120" i="20"/>
  <c r="H105" i="20"/>
  <c r="H102" i="20" s="1"/>
  <c r="H141" i="20"/>
  <c r="H143" i="20" s="1"/>
  <c r="H25" i="20"/>
  <c r="H118" i="20"/>
  <c r="H127" i="20"/>
  <c r="J26" i="23" l="1"/>
  <c r="I26" i="23"/>
  <c r="H26" i="23"/>
  <c r="U77" i="20"/>
  <c r="AK74" i="20"/>
  <c r="E73" i="23" s="1"/>
  <c r="V77" i="20"/>
  <c r="AL74" i="20"/>
  <c r="F73" i="23" s="1"/>
  <c r="G56" i="23"/>
  <c r="I77" i="20"/>
  <c r="I80" i="20" s="1"/>
  <c r="AN121" i="20"/>
  <c r="AN109" i="20"/>
  <c r="AN106" i="20" s="1"/>
  <c r="AN99" i="20" s="1"/>
  <c r="AN35" i="20"/>
  <c r="AN135" i="20" s="1"/>
  <c r="J149" i="20"/>
  <c r="H34" i="23"/>
  <c r="H22" i="23"/>
  <c r="I31" i="23"/>
  <c r="I40" i="23" s="1"/>
  <c r="I22" i="23"/>
  <c r="J22" i="23"/>
  <c r="H99" i="20"/>
  <c r="AN119" i="20"/>
  <c r="G51" i="23" s="1"/>
  <c r="AN96" i="20"/>
  <c r="H31" i="23"/>
  <c r="H40" i="23" s="1"/>
  <c r="AN103" i="20"/>
  <c r="AN105" i="20" s="1"/>
  <c r="AN102" i="20" s="1"/>
  <c r="H24" i="23"/>
  <c r="AO103" i="20"/>
  <c r="AO105" i="20" s="1"/>
  <c r="AO102" i="20" s="1"/>
  <c r="I24" i="23"/>
  <c r="AO96" i="20"/>
  <c r="I34" i="23"/>
  <c r="I99" i="20"/>
  <c r="AO119" i="20"/>
  <c r="J31" i="23"/>
  <c r="J40" i="23" s="1"/>
  <c r="AP119" i="20"/>
  <c r="AP103" i="20"/>
  <c r="AP105" i="20" s="1"/>
  <c r="AP102" i="20" s="1"/>
  <c r="J24" i="23"/>
  <c r="J99" i="20"/>
  <c r="AP96" i="20"/>
  <c r="J34" i="23"/>
  <c r="AN118" i="20"/>
  <c r="AN133" i="20" s="1"/>
  <c r="AO118" i="20"/>
  <c r="AO133" i="20" s="1"/>
  <c r="H28" i="20"/>
  <c r="AN28" i="20" s="1"/>
  <c r="AN25" i="20"/>
  <c r="H80" i="20"/>
  <c r="I48" i="20"/>
  <c r="AO44" i="20"/>
  <c r="I28" i="20"/>
  <c r="AO28" i="20" s="1"/>
  <c r="AO25" i="20"/>
  <c r="J28" i="20"/>
  <c r="AP28" i="20" s="1"/>
  <c r="AP25" i="20"/>
  <c r="J80" i="20"/>
  <c r="AP118" i="20"/>
  <c r="I70" i="20"/>
  <c r="I149" i="20"/>
  <c r="I131" i="20"/>
  <c r="I124" i="20"/>
  <c r="I133" i="20"/>
  <c r="I136" i="20" s="1"/>
  <c r="J70" i="20"/>
  <c r="J48" i="20"/>
  <c r="J131" i="20"/>
  <c r="J124" i="20"/>
  <c r="J133" i="20"/>
  <c r="J136" i="20" s="1"/>
  <c r="H48" i="20"/>
  <c r="H70" i="20"/>
  <c r="H131" i="20"/>
  <c r="H149" i="20"/>
  <c r="H124" i="20"/>
  <c r="H133" i="20"/>
  <c r="U80" i="20" l="1"/>
  <c r="AK77" i="20"/>
  <c r="V80" i="20"/>
  <c r="AL77" i="20"/>
  <c r="G52" i="23"/>
  <c r="I37" i="23"/>
  <c r="J37" i="23"/>
  <c r="H37" i="23"/>
  <c r="AO136" i="20"/>
  <c r="AN136" i="20"/>
  <c r="H136" i="20"/>
  <c r="J7" i="20"/>
  <c r="J8" i="20" s="1"/>
  <c r="H7" i="20"/>
  <c r="H8" i="20" s="1"/>
  <c r="I7" i="20"/>
  <c r="I8" i="20" s="1"/>
  <c r="H51" i="23"/>
  <c r="H35" i="23"/>
  <c r="H55" i="23"/>
  <c r="H53" i="23"/>
  <c r="I35" i="23"/>
  <c r="I55" i="23"/>
  <c r="I53" i="23"/>
  <c r="I51" i="23"/>
  <c r="J35" i="23"/>
  <c r="AN124" i="20"/>
  <c r="AO124" i="20"/>
  <c r="H85" i="20"/>
  <c r="I85" i="20"/>
  <c r="AP124" i="20"/>
  <c r="AP133" i="20"/>
  <c r="J85" i="20"/>
  <c r="I137" i="20"/>
  <c r="J137" i="20"/>
  <c r="U85" i="20" l="1"/>
  <c r="AK80" i="20"/>
  <c r="V85" i="20"/>
  <c r="AL80" i="20"/>
  <c r="I54" i="23"/>
  <c r="I56" i="23"/>
  <c r="H56" i="23"/>
  <c r="H52" i="23"/>
  <c r="I52" i="23"/>
  <c r="H54" i="23"/>
  <c r="G57" i="23"/>
  <c r="G45" i="23"/>
  <c r="H137" i="20"/>
  <c r="AP136" i="20"/>
  <c r="H13" i="20"/>
  <c r="I13" i="20"/>
  <c r="J13" i="20"/>
  <c r="J15" i="20" s="1"/>
  <c r="H45" i="23"/>
  <c r="I45" i="23"/>
  <c r="H89" i="20"/>
  <c r="I89" i="20"/>
  <c r="J89" i="20"/>
  <c r="F64" i="23" l="1"/>
  <c r="F72" i="23"/>
  <c r="E64" i="23"/>
  <c r="E72" i="23"/>
  <c r="U89" i="20"/>
  <c r="AK85" i="20"/>
  <c r="V89" i="20"/>
  <c r="AL85" i="20"/>
  <c r="I57" i="23"/>
  <c r="H57" i="23"/>
  <c r="I48" i="23"/>
  <c r="H48" i="23"/>
  <c r="G48" i="23"/>
  <c r="I15" i="20"/>
  <c r="I98" i="20" s="1"/>
  <c r="I101" i="20" s="1"/>
  <c r="H15" i="20"/>
  <c r="H17" i="20" s="1"/>
  <c r="H93" i="20"/>
  <c r="I93" i="20"/>
  <c r="J98" i="20"/>
  <c r="J101" i="20" s="1"/>
  <c r="J17" i="20"/>
  <c r="J93" i="20"/>
  <c r="U93" i="20" l="1"/>
  <c r="AK93" i="20" s="1"/>
  <c r="AK89" i="20"/>
  <c r="V93" i="20"/>
  <c r="AL93" i="20" s="1"/>
  <c r="AL89" i="20"/>
  <c r="I17" i="20"/>
  <c r="H98" i="20"/>
  <c r="H101" i="20" s="1"/>
  <c r="H97" i="20" s="1"/>
  <c r="I114" i="20"/>
  <c r="I97" i="20"/>
  <c r="J114" i="20"/>
  <c r="J97" i="20"/>
  <c r="H114" i="20" l="1"/>
  <c r="J14" i="21"/>
  <c r="J15" i="21" s="1"/>
  <c r="J13" i="21"/>
  <c r="J12" i="21"/>
  <c r="J11" i="21"/>
  <c r="J10" i="21"/>
  <c r="I14" i="21"/>
  <c r="I15" i="21" s="1"/>
  <c r="I13" i="21"/>
  <c r="I12" i="21"/>
  <c r="I11" i="21"/>
  <c r="I10" i="21"/>
  <c r="H14" i="21"/>
  <c r="H15" i="21" s="1"/>
  <c r="H13" i="21"/>
  <c r="H12" i="21"/>
  <c r="H11" i="21"/>
  <c r="H10" i="21"/>
  <c r="J70" i="19"/>
  <c r="I70" i="19"/>
  <c r="H70" i="19"/>
  <c r="H16" i="21" l="1"/>
  <c r="H17" i="21"/>
  <c r="J16" i="21"/>
  <c r="J17" i="21" s="1"/>
  <c r="I16" i="21"/>
  <c r="I17" i="21" s="1"/>
  <c r="P112" i="20"/>
  <c r="AV112" i="20" s="1"/>
  <c r="O112" i="20"/>
  <c r="N112" i="20"/>
  <c r="AT112" i="20" s="1"/>
  <c r="M112" i="20"/>
  <c r="AS112" i="20" s="1"/>
  <c r="L112" i="20"/>
  <c r="AR112" i="20" s="1"/>
  <c r="K112" i="20"/>
  <c r="P108" i="20"/>
  <c r="AV108" i="20" s="1"/>
  <c r="O108" i="20"/>
  <c r="N108" i="20"/>
  <c r="AT108" i="20" s="1"/>
  <c r="M108" i="20"/>
  <c r="AS108" i="20" s="1"/>
  <c r="L108" i="20"/>
  <c r="AR108" i="20" s="1"/>
  <c r="K108" i="20"/>
  <c r="P104" i="20"/>
  <c r="O104" i="20"/>
  <c r="O87" i="20" s="1"/>
  <c r="O74" i="20" s="1"/>
  <c r="N104" i="20"/>
  <c r="M104" i="20"/>
  <c r="L104" i="20"/>
  <c r="K104" i="20"/>
  <c r="K87" i="20" s="1"/>
  <c r="K74" i="20" s="1"/>
  <c r="P92" i="20"/>
  <c r="AV92" i="20" s="1"/>
  <c r="O92" i="20"/>
  <c r="AU92" i="20" s="1"/>
  <c r="N92" i="20"/>
  <c r="AT92" i="20" s="1"/>
  <c r="M92" i="20"/>
  <c r="AS92" i="20" s="1"/>
  <c r="L92" i="20"/>
  <c r="AR92" i="20" s="1"/>
  <c r="K92" i="20"/>
  <c r="AQ92" i="20" s="1"/>
  <c r="P91" i="20"/>
  <c r="AV91" i="20" s="1"/>
  <c r="O91" i="20"/>
  <c r="AU91" i="20" s="1"/>
  <c r="N91" i="20"/>
  <c r="AT91" i="20" s="1"/>
  <c r="M91" i="20"/>
  <c r="AS91" i="20" s="1"/>
  <c r="L91" i="20"/>
  <c r="AR91" i="20" s="1"/>
  <c r="K91" i="20"/>
  <c r="AQ91" i="20" s="1"/>
  <c r="P88" i="20"/>
  <c r="AV88" i="20" s="1"/>
  <c r="O88" i="20"/>
  <c r="N88" i="20"/>
  <c r="M88" i="20"/>
  <c r="L88" i="20"/>
  <c r="K88" i="20"/>
  <c r="P84" i="20"/>
  <c r="AV84" i="20" s="1"/>
  <c r="O84" i="20"/>
  <c r="N84" i="20"/>
  <c r="M84" i="20"/>
  <c r="L84" i="20"/>
  <c r="K84" i="20"/>
  <c r="P83" i="20"/>
  <c r="AV83" i="20" s="1"/>
  <c r="O83" i="20"/>
  <c r="AU83" i="20" s="1"/>
  <c r="N83" i="20"/>
  <c r="AT83" i="20" s="1"/>
  <c r="M83" i="20"/>
  <c r="AS83" i="20" s="1"/>
  <c r="L83" i="20"/>
  <c r="AR83" i="20" s="1"/>
  <c r="K83" i="20"/>
  <c r="AQ83" i="20" s="1"/>
  <c r="P82" i="20"/>
  <c r="AV82" i="20" s="1"/>
  <c r="O82" i="20"/>
  <c r="AU82" i="20" s="1"/>
  <c r="N82" i="20"/>
  <c r="AT82" i="20" s="1"/>
  <c r="M82" i="20"/>
  <c r="AS82" i="20" s="1"/>
  <c r="L82" i="20"/>
  <c r="AR82" i="20" s="1"/>
  <c r="K82" i="20"/>
  <c r="AQ82" i="20" s="1"/>
  <c r="P79" i="20"/>
  <c r="AV79" i="20" s="1"/>
  <c r="O79" i="20"/>
  <c r="AU79" i="20" s="1"/>
  <c r="N79" i="20"/>
  <c r="AT79" i="20" s="1"/>
  <c r="M79" i="20"/>
  <c r="AS79" i="20" s="1"/>
  <c r="L79" i="20"/>
  <c r="AR79" i="20" s="1"/>
  <c r="K79" i="20"/>
  <c r="AQ79" i="20" s="1"/>
  <c r="P76" i="20"/>
  <c r="AV76" i="20" s="1"/>
  <c r="O76" i="20"/>
  <c r="N76" i="20"/>
  <c r="M76" i="20"/>
  <c r="L76" i="20"/>
  <c r="K76" i="20"/>
  <c r="P75" i="20"/>
  <c r="AV75" i="20" s="1"/>
  <c r="O75" i="20"/>
  <c r="AU75" i="20" s="1"/>
  <c r="N75" i="20"/>
  <c r="AT75" i="20" s="1"/>
  <c r="M75" i="20"/>
  <c r="AS75" i="20" s="1"/>
  <c r="L75" i="20"/>
  <c r="AR75" i="20" s="1"/>
  <c r="K75" i="20"/>
  <c r="AQ75" i="20" s="1"/>
  <c r="P73" i="20"/>
  <c r="O73" i="20"/>
  <c r="N73" i="20"/>
  <c r="M73" i="20"/>
  <c r="L73" i="20"/>
  <c r="K73" i="20"/>
  <c r="P68" i="20"/>
  <c r="AV68" i="20" s="1"/>
  <c r="O68" i="20"/>
  <c r="AU68" i="20" s="1"/>
  <c r="N68" i="20"/>
  <c r="AT68" i="20" s="1"/>
  <c r="M68" i="20"/>
  <c r="AS68" i="20" s="1"/>
  <c r="L68" i="20"/>
  <c r="AR68" i="20" s="1"/>
  <c r="K68" i="20"/>
  <c r="AQ68" i="20" s="1"/>
  <c r="P65" i="20"/>
  <c r="P140" i="20" s="1"/>
  <c r="O65" i="20"/>
  <c r="N65" i="20"/>
  <c r="N140" i="20" s="1"/>
  <c r="M65" i="20"/>
  <c r="M140" i="20" s="1"/>
  <c r="L65" i="20"/>
  <c r="L140" i="20" s="1"/>
  <c r="K65" i="20"/>
  <c r="K140" i="20" s="1"/>
  <c r="P64" i="20"/>
  <c r="P123" i="20" s="1"/>
  <c r="O64" i="20"/>
  <c r="O123" i="20" s="1"/>
  <c r="N64" i="20"/>
  <c r="N123" i="20" s="1"/>
  <c r="M64" i="20"/>
  <c r="M123" i="20" s="1"/>
  <c r="L64" i="20"/>
  <c r="L123" i="20" s="1"/>
  <c r="K64" i="20"/>
  <c r="P63" i="20"/>
  <c r="P122" i="20" s="1"/>
  <c r="O63" i="20"/>
  <c r="O122" i="20" s="1"/>
  <c r="N63" i="20"/>
  <c r="N122" i="20" s="1"/>
  <c r="M63" i="20"/>
  <c r="AS63" i="20" s="1"/>
  <c r="AS122" i="20" s="1"/>
  <c r="L63" i="20"/>
  <c r="L122" i="20" s="1"/>
  <c r="K63" i="20"/>
  <c r="K122" i="20" s="1"/>
  <c r="P60" i="20"/>
  <c r="P130" i="20" s="1"/>
  <c r="O60" i="20"/>
  <c r="O130" i="20" s="1"/>
  <c r="N60" i="20"/>
  <c r="AT60" i="20" s="1"/>
  <c r="AT130" i="20" s="1"/>
  <c r="M60" i="20"/>
  <c r="L60" i="20"/>
  <c r="L130" i="20" s="1"/>
  <c r="K60" i="20"/>
  <c r="K130" i="20" s="1"/>
  <c r="P59" i="20"/>
  <c r="AV59" i="20" s="1"/>
  <c r="O59" i="20"/>
  <c r="AU59" i="20" s="1"/>
  <c r="N59" i="20"/>
  <c r="AT59" i="20" s="1"/>
  <c r="M59" i="20"/>
  <c r="AS59" i="20" s="1"/>
  <c r="L59" i="20"/>
  <c r="AR59" i="20" s="1"/>
  <c r="K59" i="20"/>
  <c r="AQ59" i="20" s="1"/>
  <c r="P58" i="20"/>
  <c r="AF58" i="20" s="1"/>
  <c r="O58" i="20"/>
  <c r="N58" i="20"/>
  <c r="M58" i="20"/>
  <c r="L58" i="20"/>
  <c r="K58" i="20"/>
  <c r="P57" i="20"/>
  <c r="P141" i="20" s="1"/>
  <c r="O57" i="20"/>
  <c r="O141" i="20" s="1"/>
  <c r="N57" i="20"/>
  <c r="M57" i="20"/>
  <c r="L57" i="20"/>
  <c r="L141" i="20" s="1"/>
  <c r="K57" i="20"/>
  <c r="K141" i="20" s="1"/>
  <c r="P55" i="20"/>
  <c r="P142" i="20" s="1"/>
  <c r="O55" i="20"/>
  <c r="O142" i="20" s="1"/>
  <c r="N55" i="20"/>
  <c r="N142" i="20" s="1"/>
  <c r="M55" i="20"/>
  <c r="AS55" i="20" s="1"/>
  <c r="AS142" i="20" s="1"/>
  <c r="L55" i="20"/>
  <c r="L142" i="20" s="1"/>
  <c r="K55" i="20"/>
  <c r="P53" i="20"/>
  <c r="P146" i="20" s="1"/>
  <c r="O53" i="20"/>
  <c r="N53" i="20"/>
  <c r="N146" i="20" s="1"/>
  <c r="M53" i="20"/>
  <c r="M146" i="20" s="1"/>
  <c r="L53" i="20"/>
  <c r="L146" i="20" s="1"/>
  <c r="K53" i="20"/>
  <c r="P51" i="20"/>
  <c r="P145" i="20" s="1"/>
  <c r="O51" i="20"/>
  <c r="N51" i="20"/>
  <c r="N145" i="20" s="1"/>
  <c r="M51" i="20"/>
  <c r="M145" i="20" s="1"/>
  <c r="L51" i="20"/>
  <c r="L145" i="20" s="1"/>
  <c r="K51" i="20"/>
  <c r="K145" i="20" s="1"/>
  <c r="P46" i="20"/>
  <c r="O46" i="20"/>
  <c r="N46" i="20"/>
  <c r="M46" i="20"/>
  <c r="L46" i="20"/>
  <c r="K46" i="20"/>
  <c r="AQ46" i="20" s="1"/>
  <c r="P43" i="20"/>
  <c r="AV43" i="20" s="1"/>
  <c r="O43" i="20"/>
  <c r="N43" i="20"/>
  <c r="AT43" i="20" s="1"/>
  <c r="M43" i="20"/>
  <c r="AS43" i="20" s="1"/>
  <c r="L43" i="20"/>
  <c r="AR43" i="20" s="1"/>
  <c r="K43" i="20"/>
  <c r="AQ43" i="20" s="1"/>
  <c r="P42" i="20"/>
  <c r="P121" i="20" s="1"/>
  <c r="O42" i="20"/>
  <c r="O121" i="20" s="1"/>
  <c r="N42" i="20"/>
  <c r="N121" i="20" s="1"/>
  <c r="M42" i="20"/>
  <c r="M121" i="20" s="1"/>
  <c r="L42" i="20"/>
  <c r="K42" i="20"/>
  <c r="K121" i="20" s="1"/>
  <c r="P41" i="20"/>
  <c r="O41" i="20"/>
  <c r="O119" i="20" s="1"/>
  <c r="N41" i="20"/>
  <c r="N119" i="20" s="1"/>
  <c r="M41" i="20"/>
  <c r="M119" i="20" s="1"/>
  <c r="L41" i="20"/>
  <c r="K41" i="20"/>
  <c r="AQ41" i="20" s="1"/>
  <c r="P40" i="20"/>
  <c r="O40" i="20"/>
  <c r="O120" i="20" s="1"/>
  <c r="N40" i="20"/>
  <c r="N120" i="20" s="1"/>
  <c r="M40" i="20"/>
  <c r="M120" i="20" s="1"/>
  <c r="L40" i="20"/>
  <c r="K40" i="20"/>
  <c r="K120" i="20" s="1"/>
  <c r="P37" i="20"/>
  <c r="O37" i="20"/>
  <c r="N37" i="20"/>
  <c r="M37" i="20"/>
  <c r="L37" i="20"/>
  <c r="AR37" i="20" s="1"/>
  <c r="K37" i="20"/>
  <c r="P36" i="20"/>
  <c r="O36" i="20"/>
  <c r="N36" i="20"/>
  <c r="M36" i="20"/>
  <c r="L36" i="20"/>
  <c r="K36" i="20"/>
  <c r="P35" i="20"/>
  <c r="P135" i="20" s="1"/>
  <c r="O35" i="20"/>
  <c r="N35" i="20"/>
  <c r="N135" i="20" s="1"/>
  <c r="M35" i="20"/>
  <c r="M135" i="20" s="1"/>
  <c r="L35" i="20"/>
  <c r="L135" i="20" s="1"/>
  <c r="K35" i="20"/>
  <c r="K135" i="20" s="1"/>
  <c r="P34" i="20"/>
  <c r="P134" i="20" s="1"/>
  <c r="O34" i="20"/>
  <c r="O134" i="20" s="1"/>
  <c r="N34" i="20"/>
  <c r="M34" i="20"/>
  <c r="M134" i="20" s="1"/>
  <c r="L34" i="20"/>
  <c r="L134" i="20" s="1"/>
  <c r="K34" i="20"/>
  <c r="P33" i="20"/>
  <c r="P127" i="20" s="1"/>
  <c r="O33" i="20"/>
  <c r="N33" i="20"/>
  <c r="M33" i="20"/>
  <c r="M127" i="20" s="1"/>
  <c r="L33" i="20"/>
  <c r="L127" i="20" s="1"/>
  <c r="K33" i="20"/>
  <c r="K127" i="20" s="1"/>
  <c r="P32" i="20"/>
  <c r="O32" i="20"/>
  <c r="O126" i="20" s="1"/>
  <c r="N32" i="20"/>
  <c r="N126" i="20" s="1"/>
  <c r="M32" i="20"/>
  <c r="L32" i="20"/>
  <c r="K32" i="20"/>
  <c r="K126" i="20" s="1"/>
  <c r="AF28" i="20"/>
  <c r="AD28" i="20"/>
  <c r="AC28" i="20"/>
  <c r="AB28" i="20"/>
  <c r="AA28" i="20"/>
  <c r="AF27" i="20"/>
  <c r="P27" i="20"/>
  <c r="O27" i="20"/>
  <c r="N27" i="20"/>
  <c r="M27" i="20"/>
  <c r="L27" i="20"/>
  <c r="K27" i="20"/>
  <c r="P26" i="20"/>
  <c r="AV26" i="20" s="1"/>
  <c r="O26" i="20"/>
  <c r="AU26" i="20" s="1"/>
  <c r="N26" i="20"/>
  <c r="AT26" i="20" s="1"/>
  <c r="M26" i="20"/>
  <c r="AS26" i="20" s="1"/>
  <c r="L26" i="20"/>
  <c r="AR26" i="20" s="1"/>
  <c r="K26" i="20"/>
  <c r="AQ26" i="20" s="1"/>
  <c r="P23" i="20"/>
  <c r="AV23" i="20" s="1"/>
  <c r="O23" i="20"/>
  <c r="AU23" i="20" s="1"/>
  <c r="N23" i="20"/>
  <c r="AT23" i="20" s="1"/>
  <c r="M23" i="20"/>
  <c r="AS23" i="20" s="1"/>
  <c r="L23" i="20"/>
  <c r="AR23" i="20" s="1"/>
  <c r="K23" i="20"/>
  <c r="AQ23" i="20" s="1"/>
  <c r="P22" i="20"/>
  <c r="O22" i="20"/>
  <c r="N22" i="20"/>
  <c r="M22" i="20"/>
  <c r="L22" i="20"/>
  <c r="K22" i="20"/>
  <c r="P21" i="20"/>
  <c r="P25" i="20" s="1"/>
  <c r="AV25" i="20" s="1"/>
  <c r="O21" i="20"/>
  <c r="O25" i="20" s="1"/>
  <c r="AU25" i="20" s="1"/>
  <c r="N21" i="20"/>
  <c r="M21" i="20"/>
  <c r="L21" i="20"/>
  <c r="AR21" i="20" s="1"/>
  <c r="K21" i="20"/>
  <c r="K25" i="20" s="1"/>
  <c r="AQ25" i="20" s="1"/>
  <c r="P16" i="20"/>
  <c r="AV16" i="20" s="1"/>
  <c r="O16" i="20"/>
  <c r="AU16" i="20" s="1"/>
  <c r="N16" i="20"/>
  <c r="AT16" i="20" s="1"/>
  <c r="M16" i="20"/>
  <c r="AS16" i="20" s="1"/>
  <c r="L16" i="20"/>
  <c r="AR16" i="20" s="1"/>
  <c r="K16" i="20"/>
  <c r="AQ16" i="20" s="1"/>
  <c r="AF14" i="20"/>
  <c r="P14" i="20"/>
  <c r="O14" i="20"/>
  <c r="N14" i="20"/>
  <c r="M14" i="20"/>
  <c r="L14" i="20"/>
  <c r="K14" i="20"/>
  <c r="AF12" i="20"/>
  <c r="AF74" i="20" s="1"/>
  <c r="P12" i="20"/>
  <c r="P111" i="20" s="1"/>
  <c r="O12" i="20"/>
  <c r="N12" i="20"/>
  <c r="M12" i="20"/>
  <c r="L12" i="20"/>
  <c r="K12" i="20"/>
  <c r="P11" i="20"/>
  <c r="AV11" i="20" s="1"/>
  <c r="O11" i="20"/>
  <c r="AU11" i="20" s="1"/>
  <c r="N11" i="20"/>
  <c r="AT11" i="20" s="1"/>
  <c r="M11" i="20"/>
  <c r="AS11" i="20" s="1"/>
  <c r="L11" i="20"/>
  <c r="AR11" i="20" s="1"/>
  <c r="K11" i="20"/>
  <c r="AQ11" i="20" s="1"/>
  <c r="P10" i="20"/>
  <c r="P103" i="20" s="1"/>
  <c r="O10" i="20"/>
  <c r="O103" i="20" s="1"/>
  <c r="N10" i="20"/>
  <c r="N103" i="20" s="1"/>
  <c r="M10" i="20"/>
  <c r="M103" i="20" s="1"/>
  <c r="L10" i="20"/>
  <c r="L103" i="20" s="1"/>
  <c r="K10" i="20"/>
  <c r="K103" i="20" s="1"/>
  <c r="P9" i="20"/>
  <c r="O9" i="20"/>
  <c r="N9" i="20"/>
  <c r="M9" i="20"/>
  <c r="L9" i="20"/>
  <c r="AR9" i="20" s="1"/>
  <c r="K9" i="20"/>
  <c r="P6" i="20"/>
  <c r="O6" i="20"/>
  <c r="AU6" i="20" s="1"/>
  <c r="N6" i="20"/>
  <c r="M6" i="20"/>
  <c r="L6" i="20"/>
  <c r="AR6" i="20" s="1"/>
  <c r="K6" i="20"/>
  <c r="AQ6" i="20" s="1"/>
  <c r="AF44" i="20"/>
  <c r="AE44" i="20"/>
  <c r="AD44" i="20"/>
  <c r="AC44" i="20"/>
  <c r="AB44" i="20"/>
  <c r="AA44" i="20"/>
  <c r="L26" i="23" l="1"/>
  <c r="AF22" i="20"/>
  <c r="AF7" i="20" s="1"/>
  <c r="AF8" i="20" s="1"/>
  <c r="AF13" i="20" s="1"/>
  <c r="AF15" i="20" s="1"/>
  <c r="AF17" i="20" s="1"/>
  <c r="AV104" i="20"/>
  <c r="P87" i="20"/>
  <c r="P74" i="20" s="1"/>
  <c r="AV74" i="20" s="1"/>
  <c r="AR104" i="20"/>
  <c r="L87" i="20"/>
  <c r="L74" i="20" s="1"/>
  <c r="AS104" i="20"/>
  <c r="M87" i="20"/>
  <c r="M74" i="20" s="1"/>
  <c r="AT104" i="20"/>
  <c r="N87" i="20"/>
  <c r="N74" i="20" s="1"/>
  <c r="N77" i="20" s="1"/>
  <c r="N80" i="20" s="1"/>
  <c r="O111" i="20"/>
  <c r="O113" i="20" s="1"/>
  <c r="O110" i="20" s="1"/>
  <c r="O100" i="20" s="1"/>
  <c r="N111" i="20"/>
  <c r="N113" i="20" s="1"/>
  <c r="N110" i="20" s="1"/>
  <c r="N100" i="20" s="1"/>
  <c r="M111" i="20"/>
  <c r="M113" i="20" s="1"/>
  <c r="M110" i="20" s="1"/>
  <c r="M100" i="20" s="1"/>
  <c r="L111" i="20"/>
  <c r="L113" i="20" s="1"/>
  <c r="L110" i="20" s="1"/>
  <c r="L100" i="20" s="1"/>
  <c r="K111" i="20"/>
  <c r="K113" i="20" s="1"/>
  <c r="K110" i="20" s="1"/>
  <c r="K100" i="20" s="1"/>
  <c r="L105" i="20"/>
  <c r="L102" i="20" s="1"/>
  <c r="P105" i="20"/>
  <c r="P102" i="20" s="1"/>
  <c r="P113" i="20"/>
  <c r="P110" i="20" s="1"/>
  <c r="P100" i="20" s="1"/>
  <c r="AV27" i="20"/>
  <c r="AV14" i="20"/>
  <c r="N107" i="20"/>
  <c r="N109" i="20" s="1"/>
  <c r="N106" i="20" s="1"/>
  <c r="AU96" i="20"/>
  <c r="O22" i="23"/>
  <c r="K34" i="23"/>
  <c r="K35" i="23"/>
  <c r="O35" i="23"/>
  <c r="AQ119" i="20"/>
  <c r="L31" i="23"/>
  <c r="L40" i="23" s="1"/>
  <c r="AQ96" i="20"/>
  <c r="K22" i="23"/>
  <c r="O34" i="23"/>
  <c r="AR96" i="20"/>
  <c r="L22" i="23"/>
  <c r="L34" i="23"/>
  <c r="AV21" i="20"/>
  <c r="K128" i="20"/>
  <c r="O128" i="20"/>
  <c r="L25" i="20"/>
  <c r="AR25" i="20" s="1"/>
  <c r="P28" i="20"/>
  <c r="AV28" i="20" s="1"/>
  <c r="M25" i="20"/>
  <c r="AS25" i="20" s="1"/>
  <c r="N25" i="20"/>
  <c r="AT25" i="20" s="1"/>
  <c r="K28" i="20"/>
  <c r="AQ28" i="20" s="1"/>
  <c r="O28" i="20"/>
  <c r="O7" i="20" s="1"/>
  <c r="AU40" i="20"/>
  <c r="AU120" i="20" s="1"/>
  <c r="AQ63" i="20"/>
  <c r="AQ122" i="20" s="1"/>
  <c r="K119" i="20"/>
  <c r="K66" i="20"/>
  <c r="N118" i="20"/>
  <c r="N124" i="20" s="1"/>
  <c r="AQ37" i="20"/>
  <c r="AQ128" i="20" s="1"/>
  <c r="P118" i="20"/>
  <c r="P133" i="20" s="1"/>
  <c r="P136" i="20" s="1"/>
  <c r="K107" i="20"/>
  <c r="K109" i="20" s="1"/>
  <c r="K106" i="20" s="1"/>
  <c r="O107" i="20"/>
  <c r="O109" i="20" s="1"/>
  <c r="O106" i="20" s="1"/>
  <c r="O44" i="20"/>
  <c r="AU44" i="20" s="1"/>
  <c r="AQ147" i="20"/>
  <c r="O147" i="20"/>
  <c r="M142" i="20"/>
  <c r="AR107" i="20"/>
  <c r="AR109" i="20" s="1"/>
  <c r="AR106" i="20" s="1"/>
  <c r="AR99" i="20" s="1"/>
  <c r="AR118" i="20"/>
  <c r="AR133" i="20" s="1"/>
  <c r="L107" i="20"/>
  <c r="L109" i="20" s="1"/>
  <c r="L106" i="20" s="1"/>
  <c r="P107" i="20"/>
  <c r="P109" i="20" s="1"/>
  <c r="P106" i="20" s="1"/>
  <c r="P99" i="20" s="1"/>
  <c r="AS33" i="20"/>
  <c r="AS127" i="20" s="1"/>
  <c r="AV34" i="20"/>
  <c r="AV134" i="20" s="1"/>
  <c r="AV53" i="20"/>
  <c r="AV146" i="20" s="1"/>
  <c r="K77" i="20"/>
  <c r="K80" i="20" s="1"/>
  <c r="K85" i="20" s="1"/>
  <c r="N96" i="20"/>
  <c r="M107" i="20"/>
  <c r="M109" i="20" s="1"/>
  <c r="M106" i="20" s="1"/>
  <c r="AQ9" i="20"/>
  <c r="K26" i="23" s="1"/>
  <c r="L128" i="20"/>
  <c r="P128" i="20"/>
  <c r="AQ42" i="20"/>
  <c r="AQ121" i="20" s="1"/>
  <c r="N147" i="20"/>
  <c r="N148" i="20" s="1"/>
  <c r="AU63" i="20"/>
  <c r="AU122" i="20" s="1"/>
  <c r="AQ118" i="20"/>
  <c r="AQ133" i="20" s="1"/>
  <c r="AR34" i="20"/>
  <c r="AR134" i="20" s="1"/>
  <c r="AR128" i="20"/>
  <c r="AS40" i="20"/>
  <c r="AS120" i="20" s="1"/>
  <c r="L147" i="20"/>
  <c r="L148" i="20" s="1"/>
  <c r="P147" i="20"/>
  <c r="P148" i="20" s="1"/>
  <c r="AR53" i="20"/>
  <c r="AR146" i="20" s="1"/>
  <c r="M66" i="20"/>
  <c r="O145" i="20"/>
  <c r="AU10" i="20"/>
  <c r="AU9" i="20"/>
  <c r="O26" i="23" s="1"/>
  <c r="AQ10" i="20"/>
  <c r="AU37" i="20"/>
  <c r="AU128" i="20" s="1"/>
  <c r="AT41" i="20"/>
  <c r="AT42" i="20"/>
  <c r="AT121" i="20" s="1"/>
  <c r="AR46" i="20"/>
  <c r="AR147" i="20" s="1"/>
  <c r="AQ60" i="20"/>
  <c r="AQ130" i="20" s="1"/>
  <c r="K61" i="20"/>
  <c r="L143" i="20"/>
  <c r="P143" i="20"/>
  <c r="AV6" i="20"/>
  <c r="AV96" i="20" s="1"/>
  <c r="AV9" i="20"/>
  <c r="AV107" i="20" s="1"/>
  <c r="AV109" i="20" s="1"/>
  <c r="AV106" i="20" s="1"/>
  <c r="AV99" i="20" s="1"/>
  <c r="AR10" i="20"/>
  <c r="AR33" i="20"/>
  <c r="AR127" i="20" s="1"/>
  <c r="AV37" i="20"/>
  <c r="AV128" i="20" s="1"/>
  <c r="AQ40" i="20"/>
  <c r="AQ120" i="20" s="1"/>
  <c r="AU42" i="20"/>
  <c r="AU121" i="20" s="1"/>
  <c r="AU46" i="20"/>
  <c r="AU147" i="20" s="1"/>
  <c r="AV55" i="20"/>
  <c r="AV142" i="20" s="1"/>
  <c r="N61" i="20"/>
  <c r="M129" i="20"/>
  <c r="AR60" i="20"/>
  <c r="AR130" i="20" s="1"/>
  <c r="AT63" i="20"/>
  <c r="AT122" i="20" s="1"/>
  <c r="AS64" i="20"/>
  <c r="AS123" i="20" s="1"/>
  <c r="O140" i="20"/>
  <c r="O143" i="20" s="1"/>
  <c r="AS21" i="20"/>
  <c r="AV46" i="20"/>
  <c r="AV147" i="20" s="1"/>
  <c r="AU60" i="20"/>
  <c r="AU130" i="20" s="1"/>
  <c r="AT64" i="20"/>
  <c r="AT123" i="20" s="1"/>
  <c r="AV10" i="20"/>
  <c r="AV103" i="20" s="1"/>
  <c r="AT21" i="20"/>
  <c r="AV33" i="20"/>
  <c r="AV127" i="20" s="1"/>
  <c r="AS34" i="20"/>
  <c r="AS134" i="20" s="1"/>
  <c r="AT40" i="20"/>
  <c r="AT120" i="20" s="1"/>
  <c r="AS41" i="20"/>
  <c r="AS53" i="20"/>
  <c r="AS146" i="20" s="1"/>
  <c r="AR55" i="20"/>
  <c r="AR142" i="20" s="1"/>
  <c r="AV60" i="20"/>
  <c r="AV130" i="20" s="1"/>
  <c r="N105" i="20"/>
  <c r="N102" i="20" s="1"/>
  <c r="M122" i="20"/>
  <c r="N130" i="20"/>
  <c r="N141" i="20"/>
  <c r="N143" i="20" s="1"/>
  <c r="N128" i="20"/>
  <c r="AT37" i="20"/>
  <c r="AT128" i="20" s="1"/>
  <c r="P119" i="20"/>
  <c r="AV41" i="20"/>
  <c r="AV119" i="20" s="1"/>
  <c r="K118" i="20"/>
  <c r="K133" i="20" s="1"/>
  <c r="K96" i="20"/>
  <c r="O118" i="20"/>
  <c r="O124" i="20" s="1"/>
  <c r="O96" i="20"/>
  <c r="AS6" i="20"/>
  <c r="AS9" i="20"/>
  <c r="AS10" i="20"/>
  <c r="AQ21" i="20"/>
  <c r="AU21" i="20"/>
  <c r="M126" i="20"/>
  <c r="M38" i="20"/>
  <c r="N134" i="20"/>
  <c r="AT34" i="20"/>
  <c r="AT134" i="20" s="1"/>
  <c r="L120" i="20"/>
  <c r="L44" i="20"/>
  <c r="AR44" i="20" s="1"/>
  <c r="AR40" i="20"/>
  <c r="AR120" i="20" s="1"/>
  <c r="P120" i="20"/>
  <c r="P44" i="20"/>
  <c r="AV44" i="20" s="1"/>
  <c r="AV40" i="20"/>
  <c r="AV120" i="20" s="1"/>
  <c r="AU43" i="20"/>
  <c r="K142" i="20"/>
  <c r="K143" i="20" s="1"/>
  <c r="AQ55" i="20"/>
  <c r="AQ142" i="20" s="1"/>
  <c r="AU55" i="20"/>
  <c r="AU142" i="20" s="1"/>
  <c r="M141" i="20"/>
  <c r="M61" i="20"/>
  <c r="O129" i="20"/>
  <c r="M130" i="20"/>
  <c r="AS60" i="20"/>
  <c r="AS130" i="20" s="1"/>
  <c r="L118" i="20"/>
  <c r="L133" i="20" s="1"/>
  <c r="L136" i="20" s="1"/>
  <c r="L96" i="20"/>
  <c r="AT6" i="20"/>
  <c r="AT9" i="20"/>
  <c r="AT10" i="20"/>
  <c r="AV12" i="20"/>
  <c r="AV111" i="20" s="1"/>
  <c r="AV113" i="20" s="1"/>
  <c r="AV110" i="20" s="1"/>
  <c r="AV100" i="20" s="1"/>
  <c r="AQ33" i="20"/>
  <c r="AQ127" i="20" s="1"/>
  <c r="K134" i="20"/>
  <c r="AQ34" i="20"/>
  <c r="AQ134" i="20" s="1"/>
  <c r="AU34" i="20"/>
  <c r="AU134" i="20" s="1"/>
  <c r="M128" i="20"/>
  <c r="AS37" i="20"/>
  <c r="AS128" i="20" s="1"/>
  <c r="K38" i="20"/>
  <c r="AU41" i="20"/>
  <c r="AS42" i="20"/>
  <c r="AS121" i="20" s="1"/>
  <c r="M44" i="20"/>
  <c r="AS44" i="20" s="1"/>
  <c r="O77" i="20"/>
  <c r="M96" i="20"/>
  <c r="M118" i="20"/>
  <c r="M133" i="20" s="1"/>
  <c r="M136" i="20" s="1"/>
  <c r="N127" i="20"/>
  <c r="AT33" i="20"/>
  <c r="AT127" i="20" s="1"/>
  <c r="N38" i="20"/>
  <c r="L119" i="20"/>
  <c r="AR41" i="20"/>
  <c r="M147" i="20"/>
  <c r="M148" i="20" s="1"/>
  <c r="AS46" i="20"/>
  <c r="AS147" i="20" s="1"/>
  <c r="AF73" i="20"/>
  <c r="AF77" i="20" s="1"/>
  <c r="AF80" i="20" s="1"/>
  <c r="AF85" i="20" s="1"/>
  <c r="L126" i="20"/>
  <c r="L38" i="20"/>
  <c r="P126" i="20"/>
  <c r="P38" i="20"/>
  <c r="O127" i="20"/>
  <c r="AU33" i="20"/>
  <c r="AU127" i="20" s="1"/>
  <c r="O135" i="20"/>
  <c r="O38" i="20"/>
  <c r="L121" i="20"/>
  <c r="AR42" i="20"/>
  <c r="AR121" i="20" s="1"/>
  <c r="AQ53" i="20"/>
  <c r="AQ146" i="20" s="1"/>
  <c r="K146" i="20"/>
  <c r="O146" i="20"/>
  <c r="AU53" i="20"/>
  <c r="AU146" i="20" s="1"/>
  <c r="K123" i="20"/>
  <c r="AQ64" i="20"/>
  <c r="AQ123" i="20" s="1"/>
  <c r="AU64" i="20"/>
  <c r="AU123" i="20" s="1"/>
  <c r="P96" i="20"/>
  <c r="K105" i="20"/>
  <c r="K102" i="20" s="1"/>
  <c r="O105" i="20"/>
  <c r="O102" i="20" s="1"/>
  <c r="K44" i="20"/>
  <c r="AQ44" i="20" s="1"/>
  <c r="K147" i="20"/>
  <c r="K129" i="20"/>
  <c r="O66" i="20"/>
  <c r="O61" i="20"/>
  <c r="M105" i="20"/>
  <c r="M102" i="20" s="1"/>
  <c r="AV42" i="20"/>
  <c r="AV121" i="20" s="1"/>
  <c r="N44" i="20"/>
  <c r="AT44" i="20" s="1"/>
  <c r="AT46" i="20"/>
  <c r="AT147" i="20" s="1"/>
  <c r="AT53" i="20"/>
  <c r="AT146" i="20" s="1"/>
  <c r="AT55" i="20"/>
  <c r="AT142" i="20" s="1"/>
  <c r="N129" i="20"/>
  <c r="L61" i="20"/>
  <c r="P61" i="20"/>
  <c r="AR63" i="20"/>
  <c r="AR122" i="20" s="1"/>
  <c r="AV63" i="20"/>
  <c r="AV122" i="20" s="1"/>
  <c r="AR64" i="20"/>
  <c r="AR123" i="20" s="1"/>
  <c r="AV64" i="20"/>
  <c r="AV123" i="20" s="1"/>
  <c r="N66" i="20"/>
  <c r="L129" i="20"/>
  <c r="P129" i="20"/>
  <c r="L66" i="20"/>
  <c r="P66" i="20"/>
  <c r="AQ104" i="20"/>
  <c r="AU104" i="20"/>
  <c r="AQ108" i="20"/>
  <c r="AU108" i="20"/>
  <c r="AQ112" i="20"/>
  <c r="AU112" i="20"/>
  <c r="M26" i="23" l="1"/>
  <c r="N26" i="23"/>
  <c r="AV22" i="20"/>
  <c r="AV87" i="20"/>
  <c r="AV105" i="20"/>
  <c r="AV102" i="20" s="1"/>
  <c r="M77" i="20"/>
  <c r="M80" i="20" s="1"/>
  <c r="M85" i="20" s="1"/>
  <c r="M89" i="20" s="1"/>
  <c r="P77" i="20"/>
  <c r="P80" i="20" s="1"/>
  <c r="L77" i="20"/>
  <c r="L80" i="20" s="1"/>
  <c r="J55" i="23"/>
  <c r="J56" i="23" s="1"/>
  <c r="O31" i="23"/>
  <c r="O40" i="23" s="1"/>
  <c r="K31" i="23"/>
  <c r="K40" i="23" s="1"/>
  <c r="K37" i="23"/>
  <c r="J53" i="23"/>
  <c r="J54" i="23" s="1"/>
  <c r="J51" i="23"/>
  <c r="J52" i="23" s="1"/>
  <c r="K7" i="20"/>
  <c r="K8" i="20" s="1"/>
  <c r="P7" i="20"/>
  <c r="AV7" i="20" s="1"/>
  <c r="AV73" i="20"/>
  <c r="N34" i="23"/>
  <c r="O53" i="23"/>
  <c r="M31" i="23"/>
  <c r="M40" i="23" s="1"/>
  <c r="K55" i="23"/>
  <c r="O55" i="23"/>
  <c r="K53" i="23"/>
  <c r="AT107" i="20"/>
  <c r="AT109" i="20" s="1"/>
  <c r="AT106" i="20" s="1"/>
  <c r="AT99" i="20" s="1"/>
  <c r="AR103" i="20"/>
  <c r="AR105" i="20" s="1"/>
  <c r="AR102" i="20" s="1"/>
  <c r="L24" i="23"/>
  <c r="O99" i="20"/>
  <c r="AU119" i="20"/>
  <c r="AS103" i="20"/>
  <c r="AS105" i="20" s="1"/>
  <c r="AS102" i="20" s="1"/>
  <c r="M24" i="23"/>
  <c r="AS96" i="20"/>
  <c r="M22" i="23"/>
  <c r="AQ103" i="20"/>
  <c r="AQ105" i="20" s="1"/>
  <c r="AQ102" i="20" s="1"/>
  <c r="K24" i="23"/>
  <c r="AQ107" i="20"/>
  <c r="AQ109" i="20" s="1"/>
  <c r="AQ106" i="20" s="1"/>
  <c r="AQ99" i="20" s="1"/>
  <c r="L99" i="20"/>
  <c r="K99" i="20"/>
  <c r="M55" i="23"/>
  <c r="M35" i="23"/>
  <c r="M53" i="23"/>
  <c r="AS107" i="20"/>
  <c r="AS109" i="20" s="1"/>
  <c r="AS106" i="20" s="1"/>
  <c r="AS99" i="20" s="1"/>
  <c r="N31" i="23"/>
  <c r="N40" i="23" s="1"/>
  <c r="AU107" i="20"/>
  <c r="AU109" i="20" s="1"/>
  <c r="AU106" i="20" s="1"/>
  <c r="AU99" i="20" s="1"/>
  <c r="M99" i="20"/>
  <c r="M34" i="23"/>
  <c r="AS119" i="20"/>
  <c r="N99" i="20"/>
  <c r="AR119" i="20"/>
  <c r="AT103" i="20"/>
  <c r="AT105" i="20" s="1"/>
  <c r="AT102" i="20" s="1"/>
  <c r="N24" i="23"/>
  <c r="AT96" i="20"/>
  <c r="N22" i="23"/>
  <c r="AT119" i="20"/>
  <c r="AU103" i="20"/>
  <c r="AU105" i="20" s="1"/>
  <c r="AU102" i="20" s="1"/>
  <c r="O24" i="23"/>
  <c r="N55" i="23"/>
  <c r="N35" i="23"/>
  <c r="N53" i="23"/>
  <c r="L53" i="23"/>
  <c r="L55" i="23"/>
  <c r="L35" i="23"/>
  <c r="K131" i="20"/>
  <c r="L28" i="20"/>
  <c r="AR28" i="20" s="1"/>
  <c r="M28" i="20"/>
  <c r="AS28" i="20" s="1"/>
  <c r="N28" i="20"/>
  <c r="AT28" i="20" s="1"/>
  <c r="K148" i="20"/>
  <c r="K149" i="20" s="1"/>
  <c r="K70" i="20"/>
  <c r="N133" i="20"/>
  <c r="N136" i="20" s="1"/>
  <c r="M143" i="20"/>
  <c r="AV118" i="20"/>
  <c r="AV133" i="20" s="1"/>
  <c r="M70" i="20"/>
  <c r="P149" i="20"/>
  <c r="N70" i="20"/>
  <c r="P124" i="20"/>
  <c r="AQ124" i="20"/>
  <c r="O148" i="20"/>
  <c r="O149" i="20" s="1"/>
  <c r="K136" i="20"/>
  <c r="O131" i="20"/>
  <c r="L124" i="20"/>
  <c r="N149" i="20"/>
  <c r="P70" i="20"/>
  <c r="N131" i="20"/>
  <c r="L149" i="20"/>
  <c r="L70" i="20"/>
  <c r="M124" i="20"/>
  <c r="K124" i="20"/>
  <c r="O70" i="20"/>
  <c r="O48" i="20"/>
  <c r="P48" i="20"/>
  <c r="N48" i="20"/>
  <c r="L48" i="20"/>
  <c r="O8" i="20"/>
  <c r="L131" i="20"/>
  <c r="AF89" i="20"/>
  <c r="AF93" i="20" s="1"/>
  <c r="AT118" i="20"/>
  <c r="M48" i="20"/>
  <c r="N85" i="20"/>
  <c r="P131" i="20"/>
  <c r="K89" i="20"/>
  <c r="O80" i="20"/>
  <c r="K48" i="20"/>
  <c r="O133" i="20"/>
  <c r="O136" i="20" s="1"/>
  <c r="M131" i="20"/>
  <c r="AS118" i="20"/>
  <c r="AU118" i="20"/>
  <c r="AV77" i="20" l="1"/>
  <c r="J57" i="23"/>
  <c r="N37" i="23"/>
  <c r="M37" i="23"/>
  <c r="L37" i="23"/>
  <c r="AR124" i="20"/>
  <c r="O51" i="23"/>
  <c r="P8" i="20"/>
  <c r="AV8" i="20" s="1"/>
  <c r="M149" i="20"/>
  <c r="J45" i="23"/>
  <c r="J48" i="23" s="1"/>
  <c r="M7" i="20"/>
  <c r="N7" i="20"/>
  <c r="L7" i="20"/>
  <c r="L51" i="23"/>
  <c r="K51" i="23"/>
  <c r="N51" i="23"/>
  <c r="AU124" i="20"/>
  <c r="M51" i="23"/>
  <c r="M137" i="20"/>
  <c r="AV124" i="20"/>
  <c r="O137" i="20"/>
  <c r="K137" i="20"/>
  <c r="P137" i="20"/>
  <c r="L137" i="20"/>
  <c r="N137" i="20"/>
  <c r="AU133" i="20"/>
  <c r="K93" i="20"/>
  <c r="K13" i="20"/>
  <c r="O85" i="20"/>
  <c r="O13" i="20"/>
  <c r="M93" i="20"/>
  <c r="N89" i="20"/>
  <c r="AT124" i="20"/>
  <c r="AT133" i="20"/>
  <c r="L85" i="20"/>
  <c r="AS124" i="20"/>
  <c r="AS133" i="20"/>
  <c r="AV80" i="20"/>
  <c r="P85" i="20"/>
  <c r="O38" i="21"/>
  <c r="AE28" i="20" s="1"/>
  <c r="AU28" i="20" s="1"/>
  <c r="P70" i="19"/>
  <c r="AT35" i="20"/>
  <c r="AT135" i="20" s="1"/>
  <c r="AS35" i="20"/>
  <c r="AS135" i="20" s="1"/>
  <c r="P14" i="21"/>
  <c r="P15" i="21" s="1"/>
  <c r="O14" i="21"/>
  <c r="O15" i="21" s="1"/>
  <c r="N14" i="21"/>
  <c r="N15" i="21" s="1"/>
  <c r="M14" i="21"/>
  <c r="M15" i="21" s="1"/>
  <c r="L14" i="21"/>
  <c r="L15" i="21" s="1"/>
  <c r="K14" i="21"/>
  <c r="K15" i="21" s="1"/>
  <c r="P13" i="21"/>
  <c r="O13" i="21"/>
  <c r="N13" i="21"/>
  <c r="M13" i="21"/>
  <c r="L13" i="21"/>
  <c r="K13" i="21"/>
  <c r="P12" i="21"/>
  <c r="O12" i="21"/>
  <c r="N12" i="21"/>
  <c r="M12" i="21"/>
  <c r="L12" i="21"/>
  <c r="K12" i="21"/>
  <c r="P11" i="21"/>
  <c r="O11" i="21"/>
  <c r="N11" i="21"/>
  <c r="M11" i="21"/>
  <c r="L11" i="21"/>
  <c r="K11" i="21"/>
  <c r="P10" i="21"/>
  <c r="O10" i="21"/>
  <c r="N10" i="21"/>
  <c r="M10" i="21"/>
  <c r="L10" i="21"/>
  <c r="K10" i="21"/>
  <c r="N16" i="21" l="1"/>
  <c r="N17" i="21" s="1"/>
  <c r="O16" i="21"/>
  <c r="O17" i="21" s="1"/>
  <c r="P16" i="21"/>
  <c r="P17" i="21" s="1"/>
  <c r="L16" i="21"/>
  <c r="L17" i="21" s="1"/>
  <c r="M16" i="21"/>
  <c r="M17" i="21" s="1"/>
  <c r="K16" i="21"/>
  <c r="K17" i="21" s="1"/>
  <c r="O37" i="23"/>
  <c r="K45" i="23"/>
  <c r="P13" i="20"/>
  <c r="P15" i="20" s="1"/>
  <c r="AS136" i="20"/>
  <c r="AR35" i="20"/>
  <c r="AR135" i="20" s="1"/>
  <c r="AR136" i="20" s="1"/>
  <c r="AT136" i="20"/>
  <c r="L8" i="20"/>
  <c r="N8" i="20"/>
  <c r="M8" i="20"/>
  <c r="M45" i="23"/>
  <c r="O45" i="23"/>
  <c r="L45" i="23"/>
  <c r="N45" i="23"/>
  <c r="N93" i="20"/>
  <c r="O15" i="20"/>
  <c r="P89" i="20"/>
  <c r="AV85" i="20"/>
  <c r="K15" i="20"/>
  <c r="L89" i="20"/>
  <c r="O89" i="20"/>
  <c r="AQ35" i="20"/>
  <c r="AQ135" i="20" s="1"/>
  <c r="AQ136" i="20" s="1"/>
  <c r="AU35" i="20"/>
  <c r="AU135" i="20" s="1"/>
  <c r="AU136" i="20" s="1"/>
  <c r="AV35" i="20"/>
  <c r="AV135" i="20" s="1"/>
  <c r="AV136" i="20" s="1"/>
  <c r="AV13" i="20" l="1"/>
  <c r="N13" i="20"/>
  <c r="M13" i="20"/>
  <c r="L13" i="20"/>
  <c r="L93" i="20"/>
  <c r="O98" i="20"/>
  <c r="O101" i="20" s="1"/>
  <c r="O17" i="20"/>
  <c r="P98" i="20"/>
  <c r="P101" i="20" s="1"/>
  <c r="AV15" i="20"/>
  <c r="AV98" i="20" s="1"/>
  <c r="AV101" i="20" s="1"/>
  <c r="P17" i="20"/>
  <c r="AV17" i="20" s="1"/>
  <c r="K98" i="20"/>
  <c r="K101" i="20" s="1"/>
  <c r="K17" i="20"/>
  <c r="O93" i="20"/>
  <c r="P93" i="20"/>
  <c r="AV93" i="20" s="1"/>
  <c r="AV89" i="20"/>
  <c r="AF36" i="20"/>
  <c r="AV51" i="20"/>
  <c r="AV36" i="20" l="1"/>
  <c r="AV58" i="20"/>
  <c r="AV145" i="20"/>
  <c r="AV148" i="20" s="1"/>
  <c r="M15" i="20"/>
  <c r="L15" i="20"/>
  <c r="N15" i="20"/>
  <c r="AV97" i="20"/>
  <c r="AV114" i="20"/>
  <c r="O114" i="20"/>
  <c r="O97" i="20"/>
  <c r="P114" i="20"/>
  <c r="P97" i="20"/>
  <c r="K97" i="20"/>
  <c r="K114" i="20"/>
  <c r="AV129" i="20" l="1"/>
  <c r="L17" i="20"/>
  <c r="L98" i="20"/>
  <c r="L101" i="20" s="1"/>
  <c r="N17" i="20"/>
  <c r="N98" i="20"/>
  <c r="N101" i="20" s="1"/>
  <c r="M98" i="20"/>
  <c r="M101" i="20" s="1"/>
  <c r="M17" i="20"/>
  <c r="M114" i="20" l="1"/>
  <c r="M97" i="20"/>
  <c r="L97" i="20"/>
  <c r="L114" i="20"/>
  <c r="N97" i="20"/>
  <c r="N114" i="20"/>
  <c r="O70" i="19" l="1"/>
  <c r="N70" i="19"/>
  <c r="M70" i="19"/>
  <c r="L70" i="19"/>
  <c r="K70" i="19"/>
  <c r="M56" i="23" l="1"/>
  <c r="K56" i="23" l="1"/>
  <c r="N56" i="23"/>
  <c r="N54" i="23"/>
  <c r="L54" i="23"/>
  <c r="L56" i="23"/>
  <c r="O54" i="23"/>
  <c r="O56" i="23"/>
  <c r="M54" i="23"/>
  <c r="K54" i="23"/>
  <c r="N52" i="23" l="1"/>
  <c r="N57" i="23" s="1"/>
  <c r="M52" i="23"/>
  <c r="M57" i="23" s="1"/>
  <c r="L52" i="23"/>
  <c r="L57" i="23" s="1"/>
  <c r="O52" i="23"/>
  <c r="O57" i="23" s="1"/>
  <c r="K52" i="23"/>
  <c r="K57" i="23" s="1"/>
  <c r="K48" i="23"/>
  <c r="L48" i="23" l="1"/>
  <c r="N48" i="23"/>
  <c r="O48" i="23"/>
  <c r="M48" i="23"/>
  <c r="G24" i="21" l="1"/>
  <c r="W84" i="20" s="1"/>
  <c r="AM84" i="20" s="1"/>
  <c r="X57" i="20"/>
  <c r="X65" i="20"/>
  <c r="X66" i="20" l="1"/>
  <c r="AN66" i="20" s="1"/>
  <c r="AN65" i="20"/>
  <c r="AN140" i="20" s="1"/>
  <c r="AN57" i="20"/>
  <c r="AN141" i="20" s="1"/>
  <c r="AN143" i="20" l="1"/>
  <c r="G62" i="23"/>
  <c r="G63" i="23"/>
  <c r="G61" i="23"/>
  <c r="G40" i="21"/>
  <c r="W12" i="20" s="1"/>
  <c r="W73" i="20" l="1"/>
  <c r="AM12" i="20"/>
  <c r="AM87" i="20"/>
  <c r="G74" i="23" s="1"/>
  <c r="W76" i="20"/>
  <c r="G39" i="21"/>
  <c r="G32" i="21"/>
  <c r="W32" i="20" s="1"/>
  <c r="H24" i="21" l="1"/>
  <c r="X84" i="20" s="1"/>
  <c r="AN84" i="20" s="1"/>
  <c r="Y57" i="20"/>
  <c r="Y65" i="20"/>
  <c r="AA65" i="20"/>
  <c r="Z57" i="20"/>
  <c r="Z65" i="20"/>
  <c r="AB65" i="20"/>
  <c r="AC65" i="20"/>
  <c r="W74" i="20"/>
  <c r="AM74" i="20" s="1"/>
  <c r="G73" i="23" s="1"/>
  <c r="W27" i="20"/>
  <c r="G41" i="21"/>
  <c r="G42" i="21" s="1"/>
  <c r="G36" i="21" s="1"/>
  <c r="AM32" i="20"/>
  <c r="AM126" i="20" s="1"/>
  <c r="F47" i="23" s="1"/>
  <c r="W88" i="20"/>
  <c r="AM88" i="20" s="1"/>
  <c r="AM76" i="20"/>
  <c r="AM111" i="20"/>
  <c r="AM113" i="20" s="1"/>
  <c r="AM110" i="20" s="1"/>
  <c r="AM100" i="20" s="1"/>
  <c r="G27" i="23"/>
  <c r="AM73" i="20"/>
  <c r="J24" i="21"/>
  <c r="Z84" i="20" s="1"/>
  <c r="AP84" i="20" s="1"/>
  <c r="I24" i="21"/>
  <c r="AC57" i="20"/>
  <c r="L24" i="21"/>
  <c r="AB84" i="20" s="1"/>
  <c r="AR84" i="20" s="1"/>
  <c r="AB57" i="20"/>
  <c r="K24" i="21"/>
  <c r="AA84" i="20" s="1"/>
  <c r="AQ84" i="20" s="1"/>
  <c r="AA57" i="20"/>
  <c r="M24" i="21" l="1"/>
  <c r="AC84" i="20" s="1"/>
  <c r="AS84" i="20" s="1"/>
  <c r="AD57" i="20"/>
  <c r="Z66" i="20"/>
  <c r="AP66" i="20" s="1"/>
  <c r="AP65" i="20"/>
  <c r="AP140" i="20" s="1"/>
  <c r="AA66" i="20"/>
  <c r="AQ66" i="20" s="1"/>
  <c r="AQ65" i="20"/>
  <c r="AQ140" i="20" s="1"/>
  <c r="Y66" i="20"/>
  <c r="AO66" i="20" s="1"/>
  <c r="AO65" i="20"/>
  <c r="AO140" i="20" s="1"/>
  <c r="AB66" i="20"/>
  <c r="AR66" i="20" s="1"/>
  <c r="AR65" i="20"/>
  <c r="AR140" i="20" s="1"/>
  <c r="AD65" i="20"/>
  <c r="AC66" i="20"/>
  <c r="AS66" i="20" s="1"/>
  <c r="AS65" i="20"/>
  <c r="AS140" i="20" s="1"/>
  <c r="W51" i="20"/>
  <c r="AM51" i="20" s="1"/>
  <c r="F50" i="23"/>
  <c r="W77" i="20"/>
  <c r="W80" i="20" s="1"/>
  <c r="G35" i="21"/>
  <c r="W14" i="20"/>
  <c r="AM14" i="20" s="1"/>
  <c r="W22" i="20"/>
  <c r="AM27" i="20"/>
  <c r="G36" i="23" s="1"/>
  <c r="I40" i="21"/>
  <c r="Y12" i="20" s="1"/>
  <c r="Y74" i="20" s="1"/>
  <c r="AO74" i="20" s="1"/>
  <c r="Y84" i="20"/>
  <c r="AO84" i="20" s="1"/>
  <c r="X76" i="20"/>
  <c r="H40" i="21"/>
  <c r="X12" i="20" s="1"/>
  <c r="AP57" i="20"/>
  <c r="AP141" i="20" s="1"/>
  <c r="AO57" i="20"/>
  <c r="AO141" i="20" s="1"/>
  <c r="AM77" i="20" l="1"/>
  <c r="AP143" i="20"/>
  <c r="AO143" i="20"/>
  <c r="AD66" i="20"/>
  <c r="AT66" i="20" s="1"/>
  <c r="M61" i="23" s="1"/>
  <c r="AT65" i="20"/>
  <c r="AT140" i="20" s="1"/>
  <c r="N24" i="21"/>
  <c r="AD84" i="20" s="1"/>
  <c r="AT84" i="20" s="1"/>
  <c r="AE57" i="20"/>
  <c r="J62" i="23"/>
  <c r="J61" i="23"/>
  <c r="J63" i="23"/>
  <c r="AF65" i="20"/>
  <c r="I62" i="23"/>
  <c r="I63" i="23"/>
  <c r="I61" i="23"/>
  <c r="H63" i="23"/>
  <c r="H62" i="23"/>
  <c r="H61" i="23"/>
  <c r="K63" i="23"/>
  <c r="K62" i="23"/>
  <c r="K61" i="23"/>
  <c r="AE65" i="20"/>
  <c r="L62" i="23"/>
  <c r="L61" i="23"/>
  <c r="L63" i="23"/>
  <c r="AM145" i="20"/>
  <c r="AM148" i="20" s="1"/>
  <c r="W58" i="20"/>
  <c r="W61" i="20" s="1"/>
  <c r="G28" i="23"/>
  <c r="Y76" i="20"/>
  <c r="Y88" i="20" s="1"/>
  <c r="AO88" i="20" s="1"/>
  <c r="W7" i="20"/>
  <c r="AM22" i="20"/>
  <c r="W85" i="20"/>
  <c r="AM80" i="20"/>
  <c r="AN87" i="20"/>
  <c r="H74" i="23" s="1"/>
  <c r="X88" i="20"/>
  <c r="AN88" i="20" s="1"/>
  <c r="AN76" i="20"/>
  <c r="K40" i="21"/>
  <c r="AA12" i="20" s="1"/>
  <c r="AA76" i="20"/>
  <c r="J40" i="21"/>
  <c r="Z12" i="20" s="1"/>
  <c r="Z74" i="20" s="1"/>
  <c r="AP74" i="20" s="1"/>
  <c r="Z76" i="20"/>
  <c r="L40" i="21"/>
  <c r="AB12" i="20" s="1"/>
  <c r="AB74" i="20" s="1"/>
  <c r="AR74" i="20" s="1"/>
  <c r="AB76" i="20"/>
  <c r="AO12" i="20"/>
  <c r="AO87" i="20"/>
  <c r="I74" i="23" s="1"/>
  <c r="Y73" i="20"/>
  <c r="AQ57" i="20"/>
  <c r="AQ141" i="20" s="1"/>
  <c r="AQ143" i="20" s="1"/>
  <c r="AS57" i="20"/>
  <c r="AS141" i="20" s="1"/>
  <c r="AS143" i="20" s="1"/>
  <c r="X73" i="20"/>
  <c r="AN12" i="20"/>
  <c r="O24" i="21"/>
  <c r="AE84" i="20" s="1"/>
  <c r="AU84" i="20" s="1"/>
  <c r="AR57" i="20"/>
  <c r="AR141" i="20" s="1"/>
  <c r="AR143" i="20" s="1"/>
  <c r="P32" i="21"/>
  <c r="AF32" i="20" s="1"/>
  <c r="AF57" i="20"/>
  <c r="H39" i="21"/>
  <c r="H32" i="21"/>
  <c r="X32" i="20" s="1"/>
  <c r="G64" i="23" l="1"/>
  <c r="G72" i="23"/>
  <c r="I73" i="23"/>
  <c r="M63" i="23"/>
  <c r="M62" i="23"/>
  <c r="AF66" i="20"/>
  <c r="AV66" i="20" s="1"/>
  <c r="AV65" i="20"/>
  <c r="AV140" i="20" s="1"/>
  <c r="AE66" i="20"/>
  <c r="AU66" i="20" s="1"/>
  <c r="N62" i="23" s="1"/>
  <c r="AU65" i="20"/>
  <c r="AU140" i="20" s="1"/>
  <c r="I39" i="21"/>
  <c r="Y27" i="20" s="1"/>
  <c r="Y22" i="20" s="1"/>
  <c r="AO22" i="20" s="1"/>
  <c r="F3" i="23"/>
  <c r="F69" i="23"/>
  <c r="AM149" i="20"/>
  <c r="F70" i="23" s="1"/>
  <c r="AM58" i="20"/>
  <c r="W36" i="20"/>
  <c r="AM36" i="20" s="1"/>
  <c r="I32" i="21"/>
  <c r="Y32" i="20" s="1"/>
  <c r="AO32" i="20" s="1"/>
  <c r="AO126" i="20" s="1"/>
  <c r="AO76" i="20"/>
  <c r="W89" i="20"/>
  <c r="AM85" i="20"/>
  <c r="W70" i="20"/>
  <c r="AM70" i="20" s="1"/>
  <c r="AM61" i="20"/>
  <c r="G32" i="23"/>
  <c r="W8" i="20"/>
  <c r="AM7" i="20"/>
  <c r="X74" i="20"/>
  <c r="AN74" i="20" s="1"/>
  <c r="H73" i="23" s="1"/>
  <c r="AA88" i="20"/>
  <c r="AQ88" i="20" s="1"/>
  <c r="AQ76" i="20"/>
  <c r="AA74" i="20"/>
  <c r="AQ74" i="20" s="1"/>
  <c r="AB88" i="20"/>
  <c r="AR88" i="20" s="1"/>
  <c r="AR76" i="20"/>
  <c r="Z88" i="20"/>
  <c r="AP88" i="20" s="1"/>
  <c r="AP76" i="20"/>
  <c r="AN32" i="20"/>
  <c r="AN126" i="20" s="1"/>
  <c r="G47" i="23" s="1"/>
  <c r="G50" i="23" s="1"/>
  <c r="AV32" i="20"/>
  <c r="AV126" i="20" s="1"/>
  <c r="AV131" i="20" s="1"/>
  <c r="AV137" i="20" s="1"/>
  <c r="AF38" i="20"/>
  <c r="AN73" i="20"/>
  <c r="L39" i="21"/>
  <c r="L32" i="21"/>
  <c r="AB32" i="20" s="1"/>
  <c r="X27" i="20"/>
  <c r="X22" i="20" s="1"/>
  <c r="H41" i="21"/>
  <c r="H42" i="21" s="1"/>
  <c r="H36" i="21" s="1"/>
  <c r="X51" i="20" s="1"/>
  <c r="M40" i="21"/>
  <c r="AC12" i="20" s="1"/>
  <c r="AC74" i="20" s="1"/>
  <c r="AS74" i="20" s="1"/>
  <c r="AC76" i="20"/>
  <c r="I27" i="23"/>
  <c r="AO111" i="20"/>
  <c r="AO113" i="20" s="1"/>
  <c r="AO110" i="20" s="1"/>
  <c r="AO100" i="20" s="1"/>
  <c r="AR12" i="20"/>
  <c r="AB73" i="20"/>
  <c r="AR87" i="20"/>
  <c r="L74" i="23" s="1"/>
  <c r="AT57" i="20"/>
  <c r="AT141" i="20" s="1"/>
  <c r="AT143" i="20" s="1"/>
  <c r="J39" i="21"/>
  <c r="J32" i="21"/>
  <c r="Z32" i="20" s="1"/>
  <c r="K39" i="21"/>
  <c r="K32" i="21"/>
  <c r="AA32" i="20" s="1"/>
  <c r="H27" i="23"/>
  <c r="AN111" i="20"/>
  <c r="AN113" i="20" s="1"/>
  <c r="AN110" i="20" s="1"/>
  <c r="AO73" i="20"/>
  <c r="Y77" i="20"/>
  <c r="AP87" i="20"/>
  <c r="J74" i="23" s="1"/>
  <c r="AP12" i="20"/>
  <c r="Z73" i="20"/>
  <c r="AQ12" i="20"/>
  <c r="AA73" i="20"/>
  <c r="L73" i="23" l="1"/>
  <c r="J73" i="23"/>
  <c r="N63" i="23"/>
  <c r="N61" i="23"/>
  <c r="O61" i="23"/>
  <c r="O62" i="23"/>
  <c r="O63" i="23"/>
  <c r="I41" i="21"/>
  <c r="I42" i="21" s="1"/>
  <c r="I36" i="21" s="1"/>
  <c r="Y51" i="20" s="1"/>
  <c r="AO51" i="20" s="1"/>
  <c r="F78" i="23"/>
  <c r="F80" i="23" s="1"/>
  <c r="W38" i="20"/>
  <c r="W48" i="20" s="1"/>
  <c r="AM48" i="20" s="1"/>
  <c r="AM129" i="20"/>
  <c r="AM131" i="20" s="1"/>
  <c r="G23" i="23"/>
  <c r="G25" i="23" s="1"/>
  <c r="AQ87" i="20"/>
  <c r="K74" i="23" s="1"/>
  <c r="F68" i="23"/>
  <c r="W13" i="20"/>
  <c r="AM8" i="20"/>
  <c r="W93" i="20"/>
  <c r="AM93" i="20" s="1"/>
  <c r="AM89" i="20"/>
  <c r="X77" i="20"/>
  <c r="AN77" i="20" s="1"/>
  <c r="I32" i="23"/>
  <c r="AC88" i="20"/>
  <c r="AS88" i="20" s="1"/>
  <c r="AS76" i="20"/>
  <c r="AN100" i="20"/>
  <c r="AN51" i="20"/>
  <c r="AU57" i="20"/>
  <c r="AU141" i="20" s="1"/>
  <c r="AU143" i="20" s="1"/>
  <c r="AO27" i="20"/>
  <c r="Y7" i="20"/>
  <c r="L27" i="23"/>
  <c r="AR111" i="20"/>
  <c r="AR113" i="20" s="1"/>
  <c r="AR110" i="20" s="1"/>
  <c r="AR100" i="20" s="1"/>
  <c r="K27" i="23"/>
  <c r="AQ111" i="20"/>
  <c r="AQ113" i="20" s="1"/>
  <c r="AQ110" i="20" s="1"/>
  <c r="AQ100" i="20" s="1"/>
  <c r="K41" i="21"/>
  <c r="AA27" i="20"/>
  <c r="AA22" i="20" s="1"/>
  <c r="AQ22" i="20" s="1"/>
  <c r="AN27" i="20"/>
  <c r="AR32" i="20"/>
  <c r="AR126" i="20" s="1"/>
  <c r="AP73" i="20"/>
  <c r="Z77" i="20"/>
  <c r="AO77" i="20"/>
  <c r="Y80" i="20"/>
  <c r="N40" i="21"/>
  <c r="AD12" i="20" s="1"/>
  <c r="AD74" i="20" s="1"/>
  <c r="AT74" i="20" s="1"/>
  <c r="AD76" i="20"/>
  <c r="AP32" i="20"/>
  <c r="AP126" i="20" s="1"/>
  <c r="AR73" i="20"/>
  <c r="AB77" i="20"/>
  <c r="M39" i="21"/>
  <c r="M32" i="21"/>
  <c r="AC32" i="20" s="1"/>
  <c r="AB27" i="20"/>
  <c r="AB22" i="20" s="1"/>
  <c r="AR22" i="20" s="1"/>
  <c r="L41" i="21"/>
  <c r="AV38" i="20"/>
  <c r="AF48" i="20"/>
  <c r="AV48" i="20" s="1"/>
  <c r="O40" i="21"/>
  <c r="AE12" i="20" s="1"/>
  <c r="AE76" i="20"/>
  <c r="J27" i="23"/>
  <c r="AP111" i="20"/>
  <c r="AP113" i="20" s="1"/>
  <c r="AP110" i="20" s="1"/>
  <c r="AP100" i="20" s="1"/>
  <c r="J41" i="21"/>
  <c r="J42" i="21" s="1"/>
  <c r="J36" i="21" s="1"/>
  <c r="Z51" i="20" s="1"/>
  <c r="Z27" i="20"/>
  <c r="Z22" i="20" s="1"/>
  <c r="AP22" i="20" s="1"/>
  <c r="AC73" i="20"/>
  <c r="AS12" i="20"/>
  <c r="AS87" i="20"/>
  <c r="M74" i="23" s="1"/>
  <c r="AV57" i="20"/>
  <c r="AV141" i="20" s="1"/>
  <c r="AV143" i="20" s="1"/>
  <c r="AV149" i="20" s="1"/>
  <c r="AF61" i="20"/>
  <c r="AQ73" i="20"/>
  <c r="AA77" i="20"/>
  <c r="AQ32" i="20"/>
  <c r="AQ126" i="20" s="1"/>
  <c r="Y14" i="20"/>
  <c r="AO14" i="20" s="1"/>
  <c r="I35" i="21"/>
  <c r="Y58" i="20" s="1"/>
  <c r="H35" i="21"/>
  <c r="X58" i="20" s="1"/>
  <c r="X14" i="20"/>
  <c r="AN14" i="20" s="1"/>
  <c r="H47" i="23"/>
  <c r="H50" i="23" s="1"/>
  <c r="M73" i="23" l="1"/>
  <c r="K73" i="23"/>
  <c r="F16" i="23"/>
  <c r="AM38" i="20"/>
  <c r="F46" i="23"/>
  <c r="F49" i="23" s="1"/>
  <c r="AM137" i="20"/>
  <c r="X80" i="20"/>
  <c r="AN80" i="20" s="1"/>
  <c r="H72" i="23" s="1"/>
  <c r="G41" i="23"/>
  <c r="G29" i="23"/>
  <c r="F10" i="23"/>
  <c r="F8" i="23"/>
  <c r="W15" i="20"/>
  <c r="AM13" i="20"/>
  <c r="AE88" i="20"/>
  <c r="AU88" i="20" s="1"/>
  <c r="AU76" i="20"/>
  <c r="AE74" i="20"/>
  <c r="AU74" i="20" s="1"/>
  <c r="K32" i="23"/>
  <c r="J32" i="23"/>
  <c r="AD88" i="20"/>
  <c r="AT88" i="20" s="1"/>
  <c r="AT76" i="20"/>
  <c r="L32" i="23"/>
  <c r="H28" i="23"/>
  <c r="I47" i="23"/>
  <c r="I50" i="23" s="1"/>
  <c r="H36" i="23"/>
  <c r="I28" i="23"/>
  <c r="I36" i="23"/>
  <c r="AP51" i="20"/>
  <c r="Y36" i="20"/>
  <c r="AQ77" i="20"/>
  <c r="AA80" i="20"/>
  <c r="AS73" i="20"/>
  <c r="AC77" i="20"/>
  <c r="AR27" i="20"/>
  <c r="AB7" i="20"/>
  <c r="AT12" i="20"/>
  <c r="AD73" i="20"/>
  <c r="AT87" i="20"/>
  <c r="N74" i="23" s="1"/>
  <c r="K35" i="21"/>
  <c r="AA58" i="20" s="1"/>
  <c r="AA14" i="20"/>
  <c r="AQ14" i="20" s="1"/>
  <c r="AO145" i="20"/>
  <c r="AS32" i="20"/>
  <c r="AS126" i="20" s="1"/>
  <c r="J47" i="23"/>
  <c r="J50" i="23" s="1"/>
  <c r="Y85" i="20"/>
  <c r="AO80" i="20"/>
  <c r="I72" i="23" s="1"/>
  <c r="K47" i="23"/>
  <c r="K50" i="23" s="1"/>
  <c r="AV61" i="20"/>
  <c r="AF70" i="20"/>
  <c r="AV70" i="20" s="1"/>
  <c r="AP27" i="20"/>
  <c r="Z7" i="20"/>
  <c r="O39" i="21"/>
  <c r="O32" i="21"/>
  <c r="AE32" i="20" s="1"/>
  <c r="AB14" i="20"/>
  <c r="AR14" i="20" s="1"/>
  <c r="L35" i="21"/>
  <c r="AB58" i="20" s="1"/>
  <c r="M41" i="21"/>
  <c r="AC27" i="20"/>
  <c r="AC22" i="20" s="1"/>
  <c r="AS22" i="20" s="1"/>
  <c r="AQ27" i="20"/>
  <c r="AA7" i="20"/>
  <c r="AN145" i="20"/>
  <c r="X36" i="20"/>
  <c r="M27" i="23"/>
  <c r="AS111" i="20"/>
  <c r="AS113" i="20" s="1"/>
  <c r="AS110" i="20" s="1"/>
  <c r="AS100" i="20" s="1"/>
  <c r="J35" i="21"/>
  <c r="Z58" i="20" s="1"/>
  <c r="Z14" i="20"/>
  <c r="AP14" i="20" s="1"/>
  <c r="AU12" i="20"/>
  <c r="AE73" i="20"/>
  <c r="L42" i="21"/>
  <c r="L36" i="21" s="1"/>
  <c r="AB51" i="20" s="1"/>
  <c r="AR77" i="20"/>
  <c r="AB80" i="20"/>
  <c r="N39" i="21"/>
  <c r="N32" i="21"/>
  <c r="AD32" i="20" s="1"/>
  <c r="AP77" i="20"/>
  <c r="Z80" i="20"/>
  <c r="K42" i="21"/>
  <c r="K36" i="21" s="1"/>
  <c r="AA51" i="20" s="1"/>
  <c r="Y8" i="20"/>
  <c r="AO7" i="20"/>
  <c r="N73" i="23" l="1"/>
  <c r="F17" i="23"/>
  <c r="F9" i="23"/>
  <c r="X85" i="20"/>
  <c r="AN85" i="20" s="1"/>
  <c r="AU87" i="20"/>
  <c r="O74" i="23" s="1"/>
  <c r="W17" i="20"/>
  <c r="AM17" i="20" s="1"/>
  <c r="AM15" i="20"/>
  <c r="AO148" i="20"/>
  <c r="AN148" i="20"/>
  <c r="M32" i="23"/>
  <c r="K28" i="23"/>
  <c r="J28" i="23"/>
  <c r="K36" i="23"/>
  <c r="L28" i="23"/>
  <c r="J36" i="23"/>
  <c r="I64" i="23"/>
  <c r="L36" i="23"/>
  <c r="H64" i="23"/>
  <c r="I23" i="23"/>
  <c r="AQ51" i="20"/>
  <c r="O27" i="23"/>
  <c r="AU111" i="20"/>
  <c r="AU113" i="20" s="1"/>
  <c r="AU110" i="20" s="1"/>
  <c r="AU100" i="20" s="1"/>
  <c r="M35" i="21"/>
  <c r="AC58" i="20" s="1"/>
  <c r="AC14" i="20"/>
  <c r="AS14" i="20" s="1"/>
  <c r="AE27" i="20"/>
  <c r="AE22" i="20" s="1"/>
  <c r="AU22" i="20" s="1"/>
  <c r="O41" i="21"/>
  <c r="N27" i="23"/>
  <c r="AT111" i="20"/>
  <c r="AT113" i="20" s="1"/>
  <c r="AT110" i="20" s="1"/>
  <c r="AT100" i="20" s="1"/>
  <c r="AO36" i="20"/>
  <c r="Y38" i="20"/>
  <c r="Y13" i="20"/>
  <c r="AO8" i="20"/>
  <c r="AT32" i="20"/>
  <c r="AT126" i="20" s="1"/>
  <c r="AR51" i="20"/>
  <c r="AN58" i="20"/>
  <c r="X61" i="20"/>
  <c r="L47" i="23"/>
  <c r="L50" i="23" s="1"/>
  <c r="AB36" i="20"/>
  <c r="AP7" i="20"/>
  <c r="Z8" i="20"/>
  <c r="Y89" i="20"/>
  <c r="AO85" i="20"/>
  <c r="AA36" i="20"/>
  <c r="AB8" i="20"/>
  <c r="AR7" i="20"/>
  <c r="AQ80" i="20"/>
  <c r="K72" i="23" s="1"/>
  <c r="AA85" i="20"/>
  <c r="N41" i="21"/>
  <c r="N42" i="21" s="1"/>
  <c r="N36" i="21" s="1"/>
  <c r="AD51" i="20" s="1"/>
  <c r="AD27" i="20"/>
  <c r="AD22" i="20" s="1"/>
  <c r="AT22" i="20" s="1"/>
  <c r="Z36" i="20"/>
  <c r="AN36" i="20"/>
  <c r="X38" i="20"/>
  <c r="AQ7" i="20"/>
  <c r="AA8" i="20"/>
  <c r="AS27" i="20"/>
  <c r="AC7" i="20"/>
  <c r="AP145" i="20"/>
  <c r="AP148" i="20" s="1"/>
  <c r="AP80" i="20"/>
  <c r="J72" i="23" s="1"/>
  <c r="Z85" i="20"/>
  <c r="AB85" i="20"/>
  <c r="AR80" i="20"/>
  <c r="L72" i="23" s="1"/>
  <c r="AU73" i="20"/>
  <c r="AE77" i="20"/>
  <c r="M42" i="21"/>
  <c r="M36" i="21" s="1"/>
  <c r="AC51" i="20" s="1"/>
  <c r="AU32" i="20"/>
  <c r="AU126" i="20" s="1"/>
  <c r="AT73" i="20"/>
  <c r="AD77" i="20"/>
  <c r="AS77" i="20"/>
  <c r="AC80" i="20"/>
  <c r="AO58" i="20"/>
  <c r="Y61" i="20"/>
  <c r="O73" i="23" l="1"/>
  <c r="X89" i="20"/>
  <c r="F11" i="23"/>
  <c r="AN149" i="20"/>
  <c r="G70" i="23" s="1"/>
  <c r="AO149" i="20"/>
  <c r="G71" i="23"/>
  <c r="AM98" i="20"/>
  <c r="G69" i="23"/>
  <c r="H69" i="23"/>
  <c r="I25" i="23"/>
  <c r="I29" i="23" s="1"/>
  <c r="O32" i="23"/>
  <c r="N32" i="23"/>
  <c r="M36" i="23"/>
  <c r="L64" i="23"/>
  <c r="I69" i="23"/>
  <c r="K64" i="23"/>
  <c r="K23" i="23"/>
  <c r="K25" i="23" s="1"/>
  <c r="K41" i="23" s="1"/>
  <c r="L23" i="23"/>
  <c r="L25" i="23" s="1"/>
  <c r="L29" i="23" s="1"/>
  <c r="M47" i="23"/>
  <c r="M50" i="23" s="1"/>
  <c r="J64" i="23"/>
  <c r="M28" i="23"/>
  <c r="J23" i="23"/>
  <c r="J25" i="23" s="1"/>
  <c r="J29" i="23" s="1"/>
  <c r="AS80" i="20"/>
  <c r="M72" i="23" s="1"/>
  <c r="AC85" i="20"/>
  <c r="AO61" i="20"/>
  <c r="Y70" i="20"/>
  <c r="AO70" i="20" s="1"/>
  <c r="AD80" i="20"/>
  <c r="AT77" i="20"/>
  <c r="AN89" i="20"/>
  <c r="X93" i="20"/>
  <c r="AN93" i="20" s="1"/>
  <c r="AS51" i="20"/>
  <c r="AR85" i="20"/>
  <c r="AB89" i="20"/>
  <c r="AT51" i="20"/>
  <c r="AR58" i="20"/>
  <c r="AB61" i="20"/>
  <c r="AN129" i="20"/>
  <c r="AN131" i="20" s="1"/>
  <c r="AO129" i="20"/>
  <c r="AO131" i="20" s="1"/>
  <c r="AU77" i="20"/>
  <c r="AE80" i="20"/>
  <c r="AP85" i="20"/>
  <c r="Z89" i="20"/>
  <c r="AA13" i="20"/>
  <c r="AQ8" i="20"/>
  <c r="AP58" i="20"/>
  <c r="Z61" i="20"/>
  <c r="AD14" i="20"/>
  <c r="AT14" i="20" s="1"/>
  <c r="N35" i="21"/>
  <c r="AD58" i="20" s="1"/>
  <c r="AB13" i="20"/>
  <c r="AR8" i="20"/>
  <c r="Y93" i="20"/>
  <c r="AO93" i="20" s="1"/>
  <c r="AO89" i="20"/>
  <c r="O35" i="21"/>
  <c r="AE58" i="20" s="1"/>
  <c r="AE14" i="20"/>
  <c r="AU14" i="20" s="1"/>
  <c r="AC36" i="20"/>
  <c r="O47" i="23"/>
  <c r="O50" i="23" s="1"/>
  <c r="AP36" i="20"/>
  <c r="Z38" i="20"/>
  <c r="AQ85" i="20"/>
  <c r="AA89" i="20"/>
  <c r="AQ36" i="20"/>
  <c r="AA38" i="20"/>
  <c r="Z13" i="20"/>
  <c r="AP8" i="20"/>
  <c r="AR145" i="20"/>
  <c r="AR148" i="20" s="1"/>
  <c r="Y15" i="20"/>
  <c r="AO13" i="20"/>
  <c r="AU27" i="20"/>
  <c r="AE7" i="20"/>
  <c r="AP149" i="20"/>
  <c r="AS7" i="20"/>
  <c r="AC8" i="20"/>
  <c r="AN38" i="20"/>
  <c r="X48" i="20"/>
  <c r="AN48" i="20" s="1"/>
  <c r="AT27" i="20"/>
  <c r="AD7" i="20"/>
  <c r="AQ58" i="20"/>
  <c r="AA61" i="20"/>
  <c r="AN61" i="20"/>
  <c r="G68" i="23" s="1"/>
  <c r="X70" i="20"/>
  <c r="AN70" i="20" s="1"/>
  <c r="N47" i="23"/>
  <c r="N50" i="23" s="1"/>
  <c r="AO38" i="20"/>
  <c r="Y48" i="20"/>
  <c r="AO48" i="20" s="1"/>
  <c r="O42" i="21"/>
  <c r="O36" i="21" s="1"/>
  <c r="AE51" i="20" s="1"/>
  <c r="AQ145" i="20"/>
  <c r="AQ148" i="20" s="1"/>
  <c r="H70" i="23" l="1"/>
  <c r="AM101" i="20"/>
  <c r="G15" i="23" s="1"/>
  <c r="I41" i="23"/>
  <c r="G10" i="23"/>
  <c r="G8" i="23"/>
  <c r="G46" i="23"/>
  <c r="G16" i="23"/>
  <c r="K29" i="23"/>
  <c r="L41" i="23"/>
  <c r="I70" i="23"/>
  <c r="M64" i="23"/>
  <c r="M23" i="23"/>
  <c r="M25" i="23" s="1"/>
  <c r="M41" i="23" s="1"/>
  <c r="N36" i="23"/>
  <c r="O36" i="23"/>
  <c r="O28" i="23"/>
  <c r="N28" i="23"/>
  <c r="J41" i="23"/>
  <c r="H68" i="23"/>
  <c r="AQ129" i="20"/>
  <c r="AQ131" i="20" s="1"/>
  <c r="K69" i="23"/>
  <c r="AQ149" i="20"/>
  <c r="AS58" i="20"/>
  <c r="AC61" i="20"/>
  <c r="AR36" i="20"/>
  <c r="AR129" i="20" s="1"/>
  <c r="AR131" i="20" s="1"/>
  <c r="AB38" i="20"/>
  <c r="AR13" i="20"/>
  <c r="AB15" i="20"/>
  <c r="AP129" i="20"/>
  <c r="AP131" i="20" s="1"/>
  <c r="H16" i="23"/>
  <c r="AN137" i="20"/>
  <c r="H46" i="23"/>
  <c r="AD8" i="20"/>
  <c r="AT7" i="20"/>
  <c r="AC13" i="20"/>
  <c r="AS8" i="20"/>
  <c r="J69" i="23"/>
  <c r="AA93" i="20"/>
  <c r="AQ93" i="20" s="1"/>
  <c r="AQ89" i="20"/>
  <c r="AD36" i="20"/>
  <c r="AE85" i="20"/>
  <c r="AU80" i="20"/>
  <c r="O72" i="23" s="1"/>
  <c r="AR61" i="20"/>
  <c r="AB70" i="20"/>
  <c r="AR70" i="20" s="1"/>
  <c r="AT145" i="20"/>
  <c r="AT148" i="20" s="1"/>
  <c r="AU51" i="20"/>
  <c r="Y17" i="20"/>
  <c r="AO17" i="20" s="1"/>
  <c r="AO15" i="20"/>
  <c r="AP13" i="20"/>
  <c r="Z15" i="20"/>
  <c r="AQ13" i="20"/>
  <c r="AA15" i="20"/>
  <c r="AS145" i="20"/>
  <c r="AS148" i="20" s="1"/>
  <c r="AS85" i="20"/>
  <c r="AC89" i="20"/>
  <c r="AQ61" i="20"/>
  <c r="AA70" i="20"/>
  <c r="AQ70" i="20" s="1"/>
  <c r="H8" i="23"/>
  <c r="H10" i="23"/>
  <c r="AE8" i="20"/>
  <c r="AU7" i="20"/>
  <c r="AR149" i="20"/>
  <c r="AQ38" i="20"/>
  <c r="AA48" i="20"/>
  <c r="AQ48" i="20" s="1"/>
  <c r="AP38" i="20"/>
  <c r="Z48" i="20"/>
  <c r="AP48" i="20" s="1"/>
  <c r="AE36" i="20"/>
  <c r="AP61" i="20"/>
  <c r="Z70" i="20"/>
  <c r="AP70" i="20" s="1"/>
  <c r="AP89" i="20"/>
  <c r="Z93" i="20"/>
  <c r="AP93" i="20" s="1"/>
  <c r="AO137" i="20"/>
  <c r="AR89" i="20"/>
  <c r="AB93" i="20"/>
  <c r="AR93" i="20" s="1"/>
  <c r="AD85" i="20"/>
  <c r="AT80" i="20"/>
  <c r="N72" i="23" s="1"/>
  <c r="AM97" i="20" l="1"/>
  <c r="AM114" i="20"/>
  <c r="G79" i="23" s="1"/>
  <c r="H49" i="23"/>
  <c r="G49" i="23"/>
  <c r="M29" i="23"/>
  <c r="O23" i="23"/>
  <c r="O25" i="23" s="1"/>
  <c r="O41" i="23" s="1"/>
  <c r="L69" i="23"/>
  <c r="N64" i="23"/>
  <c r="O64" i="23"/>
  <c r="N23" i="23"/>
  <c r="N25" i="23" s="1"/>
  <c r="N41" i="23" s="1"/>
  <c r="AQ137" i="20"/>
  <c r="I16" i="23"/>
  <c r="I46" i="23"/>
  <c r="I10" i="23"/>
  <c r="J68" i="23"/>
  <c r="K70" i="23"/>
  <c r="I68" i="23"/>
  <c r="AU36" i="20"/>
  <c r="AE38" i="20"/>
  <c r="AT85" i="20"/>
  <c r="AD89" i="20"/>
  <c r="AU8" i="20"/>
  <c r="AE13" i="20"/>
  <c r="AC93" i="20"/>
  <c r="AS93" i="20" s="1"/>
  <c r="AS89" i="20"/>
  <c r="AR137" i="20"/>
  <c r="AU145" i="20"/>
  <c r="AU148" i="20" s="1"/>
  <c r="AT149" i="20"/>
  <c r="AE89" i="20"/>
  <c r="AU85" i="20"/>
  <c r="AS36" i="20"/>
  <c r="AS129" i="20" s="1"/>
  <c r="AS131" i="20" s="1"/>
  <c r="AC38" i="20"/>
  <c r="AP137" i="20"/>
  <c r="J16" i="23"/>
  <c r="J46" i="23"/>
  <c r="J49" i="23" s="1"/>
  <c r="K46" i="23"/>
  <c r="K49" i="23" s="1"/>
  <c r="AA17" i="20"/>
  <c r="AQ17" i="20" s="1"/>
  <c r="AQ15" i="20"/>
  <c r="AO98" i="20"/>
  <c r="I71" i="23"/>
  <c r="AT8" i="20"/>
  <c r="AD13" i="20"/>
  <c r="AB17" i="20"/>
  <c r="AR17" i="20" s="1"/>
  <c r="AR15" i="20"/>
  <c r="AS61" i="20"/>
  <c r="AC70" i="20"/>
  <c r="AS70" i="20" s="1"/>
  <c r="AU58" i="20"/>
  <c r="AE61" i="20"/>
  <c r="AT58" i="20"/>
  <c r="AD61" i="20"/>
  <c r="J8" i="23"/>
  <c r="J10" i="23"/>
  <c r="K68" i="23"/>
  <c r="I8" i="23"/>
  <c r="AS149" i="20"/>
  <c r="M69" i="23"/>
  <c r="Z17" i="20"/>
  <c r="AP17" i="20" s="1"/>
  <c r="AP15" i="20"/>
  <c r="J70" i="23"/>
  <c r="AS13" i="20"/>
  <c r="AC15" i="20"/>
  <c r="AR38" i="20"/>
  <c r="AB48" i="20"/>
  <c r="AR48" i="20" s="1"/>
  <c r="K16" i="23"/>
  <c r="G7" i="23" l="1"/>
  <c r="G3" i="23"/>
  <c r="G78" i="23" s="1"/>
  <c r="I49" i="23"/>
  <c r="O29" i="23"/>
  <c r="N29" i="23"/>
  <c r="L68" i="23"/>
  <c r="M70" i="23"/>
  <c r="AU129" i="20"/>
  <c r="AU131" i="20" s="1"/>
  <c r="L70" i="23"/>
  <c r="AT36" i="20"/>
  <c r="AT129" i="20" s="1"/>
  <c r="AT131" i="20" s="1"/>
  <c r="AD38" i="20"/>
  <c r="K71" i="23"/>
  <c r="AQ98" i="20"/>
  <c r="AU13" i="20"/>
  <c r="AE15" i="20"/>
  <c r="AT13" i="20"/>
  <c r="AD15" i="20"/>
  <c r="K8" i="23"/>
  <c r="AU89" i="20"/>
  <c r="AE93" i="20"/>
  <c r="AU93" i="20" s="1"/>
  <c r="L46" i="23"/>
  <c r="L49" i="23" s="1"/>
  <c r="AS15" i="20"/>
  <c r="AC17" i="20"/>
  <c r="AS17" i="20" s="1"/>
  <c r="AP98" i="20"/>
  <c r="J71" i="23"/>
  <c r="AS137" i="20"/>
  <c r="AU61" i="20"/>
  <c r="AE70" i="20"/>
  <c r="AU70" i="20" s="1"/>
  <c r="AS38" i="20"/>
  <c r="AC48" i="20"/>
  <c r="AS48" i="20" s="1"/>
  <c r="AU149" i="20"/>
  <c r="O69" i="23"/>
  <c r="AT89" i="20"/>
  <c r="AD93" i="20"/>
  <c r="AT93" i="20" s="1"/>
  <c r="AU38" i="20"/>
  <c r="AE48" i="20"/>
  <c r="AU48" i="20" s="1"/>
  <c r="AT61" i="20"/>
  <c r="AD70" i="20"/>
  <c r="AT70" i="20" s="1"/>
  <c r="L71" i="23"/>
  <c r="AR98" i="20"/>
  <c r="AO101" i="20"/>
  <c r="I15" i="23" s="1"/>
  <c r="K10" i="23"/>
  <c r="N69" i="23"/>
  <c r="L16" i="23"/>
  <c r="G80" i="23" l="1"/>
  <c r="G17" i="23"/>
  <c r="G9" i="23"/>
  <c r="G11" i="23" s="1"/>
  <c r="M16" i="23"/>
  <c r="O70" i="23"/>
  <c r="O68" i="23"/>
  <c r="O16" i="23"/>
  <c r="AU137" i="20"/>
  <c r="O46" i="23"/>
  <c r="O49" i="23" s="1"/>
  <c r="N68" i="23"/>
  <c r="L8" i="23"/>
  <c r="O10" i="23"/>
  <c r="O8" i="23"/>
  <c r="AO97" i="20"/>
  <c r="AO114" i="20"/>
  <c r="I79" i="23" s="1"/>
  <c r="AR101" i="20"/>
  <c r="L15" i="23" s="1"/>
  <c r="AQ101" i="20"/>
  <c r="K15" i="23" s="1"/>
  <c r="AP101" i="20"/>
  <c r="J15" i="23" s="1"/>
  <c r="N70" i="23"/>
  <c r="AD17" i="20"/>
  <c r="AT17" i="20" s="1"/>
  <c r="AT15" i="20"/>
  <c r="AT137" i="20"/>
  <c r="N16" i="23"/>
  <c r="N46" i="23"/>
  <c r="N49" i="23" s="1"/>
  <c r="M68" i="23"/>
  <c r="M46" i="23"/>
  <c r="M49" i="23" s="1"/>
  <c r="M71" i="23"/>
  <c r="AS98" i="20"/>
  <c r="AE17" i="20"/>
  <c r="AU17" i="20" s="1"/>
  <c r="AU15" i="20"/>
  <c r="AT38" i="20"/>
  <c r="AD48" i="20"/>
  <c r="AT48" i="20" s="1"/>
  <c r="L10" i="23"/>
  <c r="O71" i="23" l="1"/>
  <c r="AU98" i="20"/>
  <c r="N10" i="23"/>
  <c r="N8" i="23"/>
  <c r="AS101" i="20"/>
  <c r="M15" i="23" s="1"/>
  <c r="N71" i="23"/>
  <c r="AT98" i="20"/>
  <c r="AP97" i="20"/>
  <c r="AP114" i="20"/>
  <c r="J79" i="23" s="1"/>
  <c r="M10" i="23"/>
  <c r="M8" i="23"/>
  <c r="AR97" i="20"/>
  <c r="AR114" i="20"/>
  <c r="L79" i="23" s="1"/>
  <c r="AQ97" i="20"/>
  <c r="AQ114" i="20"/>
  <c r="K79" i="23" s="1"/>
  <c r="I7" i="23"/>
  <c r="I3" i="23"/>
  <c r="I78" i="23" l="1"/>
  <c r="AS97" i="20"/>
  <c r="AS114" i="20"/>
  <c r="M79" i="23" s="1"/>
  <c r="I9" i="23"/>
  <c r="I11" i="23" s="1"/>
  <c r="J7" i="23"/>
  <c r="J3" i="23"/>
  <c r="J78" i="23" s="1"/>
  <c r="J80" i="23" s="1"/>
  <c r="L7" i="23"/>
  <c r="L3" i="23"/>
  <c r="L78" i="23" s="1"/>
  <c r="L80" i="23" s="1"/>
  <c r="AU101" i="20"/>
  <c r="O15" i="23" s="1"/>
  <c r="I17" i="23"/>
  <c r="K3" i="23"/>
  <c r="K78" i="23" s="1"/>
  <c r="K80" i="23" s="1"/>
  <c r="K7" i="23"/>
  <c r="AT101" i="20"/>
  <c r="N15" i="23" s="1"/>
  <c r="I80" i="23" l="1"/>
  <c r="AT97" i="20"/>
  <c r="AT114" i="20"/>
  <c r="N79" i="23" s="1"/>
  <c r="J9" i="23"/>
  <c r="J11" i="23" s="1"/>
  <c r="K9" i="23"/>
  <c r="K11" i="23" s="1"/>
  <c r="J17" i="23"/>
  <c r="L17" i="23"/>
  <c r="K17" i="23"/>
  <c r="AU97" i="20"/>
  <c r="AU114" i="20"/>
  <c r="O79" i="23" s="1"/>
  <c r="L9" i="23"/>
  <c r="L11" i="23" s="1"/>
  <c r="M7" i="23"/>
  <c r="M3" i="23"/>
  <c r="M78" i="23" s="1"/>
  <c r="M80" i="23" s="1"/>
  <c r="O3" i="23" l="1"/>
  <c r="O78" i="23" s="1"/>
  <c r="O80" i="23" s="1"/>
  <c r="O7" i="23"/>
  <c r="N7" i="23"/>
  <c r="N3" i="23"/>
  <c r="N78" i="23" s="1"/>
  <c r="N80" i="23" s="1"/>
  <c r="M17" i="23"/>
  <c r="M9" i="23"/>
  <c r="M11" i="23" s="1"/>
  <c r="N9" i="23" l="1"/>
  <c r="N11" i="23" s="1"/>
  <c r="O17" i="23"/>
  <c r="N17" i="23"/>
  <c r="O9" i="23"/>
  <c r="O11" i="23" s="1"/>
  <c r="AN22" i="20" l="1"/>
  <c r="X7" i="20"/>
  <c r="AN7" i="20" s="1"/>
  <c r="H23" i="23" s="1"/>
  <c r="H25" i="23" l="1"/>
  <c r="H32" i="23"/>
  <c r="X8" i="20"/>
  <c r="H41" i="23" l="1"/>
  <c r="H29" i="23"/>
  <c r="AN8" i="20"/>
  <c r="X13" i="20"/>
  <c r="AN13" i="20" l="1"/>
  <c r="X15" i="20"/>
  <c r="AN15" i="20" l="1"/>
  <c r="X17" i="20"/>
  <c r="AN17" i="20" s="1"/>
  <c r="H71" i="23" l="1"/>
  <c r="AN98" i="20"/>
  <c r="AN101" i="20" l="1"/>
  <c r="H15" i="23" s="1"/>
  <c r="AN114" i="20" l="1"/>
  <c r="H79" i="23" s="1"/>
  <c r="AN97" i="20"/>
  <c r="H3" i="23" l="1"/>
  <c r="H78" i="23" s="1"/>
  <c r="H7" i="23"/>
  <c r="H80" i="23" l="1"/>
  <c r="H9" i="23"/>
  <c r="H11" i="23" s="1"/>
  <c r="H17"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tc={2DA0E370-E844-4045-A79D-19784A738E31}</author>
  </authors>
  <commentList>
    <comment ref="A87" authorId="0" shapeId="0" xr:uid="{2DA0E370-E844-4045-A79D-19784A738E31}">
      <text>
        <t>[Threaded comment]
Your version of Excel allows you to read this threaded comment; however, any edits to it will get removed if the file is opened in a newer version of Excel. Learn more: https://go.microsoft.com/fwlink/?linkid=870924
Comment:
    This is Interest Paid*(1-tax rate), i.e. interest paid after tax</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tc={7812ECB4-EB8B-4C86-A9A2-6A53D5BDC42C}</author>
    <author>tc={D7FD9994-A1F4-4881-9850-0B9E417BBBBF}</author>
  </authors>
  <commentList>
    <comment ref="A73" authorId="0" shapeId="0" xr:uid="{7812ECB4-EB8B-4C86-A9A2-6A53D5BDC42C}">
      <text>
        <t xml:space="preserve">[Threaded comment]
Your version of Excel allows you to read this threaded comment; however, any edits to it will get removed if the file is opened in a newer version of Excel. Learn more: https://go.microsoft.com/fwlink/?linkid=870924
Comment:
    Note that in "Adjusted Statements",
"Tax paid" is tax paid plus tax shield for interest paid and "Interest paid" is interest paid after tax.
</t>
      </text>
    </comment>
    <comment ref="A74" authorId="1" shapeId="0" xr:uid="{D7FD9994-A1F4-4881-9850-0B9E417BBBBF}">
      <text>
        <t>[Threaded comment]
Your version of Excel allows you to read this threaded comment; however, any edits to it will get removed if the file is opened in a newer version of Excel. Learn more: https://go.microsoft.com/fwlink/?linkid=870924
Comment:
    Note that in "Adjusted Statements", "Interest Paid" is Interest Paid*(1-tax rate), i.e. interest paid after tax</t>
      </text>
    </comment>
  </commentList>
</comments>
</file>

<file path=xl/sharedStrings.xml><?xml version="1.0" encoding="utf-8"?>
<sst xmlns="http://schemas.openxmlformats.org/spreadsheetml/2006/main" count="528" uniqueCount="327">
  <si>
    <t>Inventories</t>
  </si>
  <si>
    <t>Cost of sales</t>
  </si>
  <si>
    <t>Tax Expense</t>
  </si>
  <si>
    <t>Other Current Assets</t>
  </si>
  <si>
    <t>Other Current Liabilities</t>
  </si>
  <si>
    <t>Total Assets</t>
  </si>
  <si>
    <t>Total Liabilities and Shareholders' Equity</t>
  </si>
  <si>
    <t>Net (Investments in) or Liquidation of Operating Working Capital</t>
  </si>
  <si>
    <t>Net Debt (Repayment) or Issuance</t>
  </si>
  <si>
    <t>Dividend (Payments)</t>
  </si>
  <si>
    <t>Deferred tax liabilities</t>
  </si>
  <si>
    <t>Operating profit</t>
  </si>
  <si>
    <t>Taxes Paid</t>
  </si>
  <si>
    <t>Trade Receivables</t>
  </si>
  <si>
    <t>Non-Current Tangible Assets</t>
  </si>
  <si>
    <t>Non-Current Intangible Assets</t>
  </si>
  <si>
    <t>Current Debt</t>
  </si>
  <si>
    <t>Trade Payables</t>
  </si>
  <si>
    <t>Non-Current Debt</t>
  </si>
  <si>
    <t>Other Non-Current Liabilities (non interest bearing)</t>
  </si>
  <si>
    <t>Preference Shares</t>
  </si>
  <si>
    <t>Non-Current Operating Accruals</t>
  </si>
  <si>
    <t>Net Share (Repurchase) or Issuance</t>
  </si>
  <si>
    <t>Ordinary Shareholders' Equity</t>
  </si>
  <si>
    <t>Assets Held For Sale</t>
  </si>
  <si>
    <t>Liabilities Held For Sale</t>
  </si>
  <si>
    <t>Other Non-Operating Investments</t>
  </si>
  <si>
    <t>Derivatives - Asset</t>
  </si>
  <si>
    <t>Derivatives - Liability</t>
  </si>
  <si>
    <t>Profit Before Interest and Tax</t>
  </si>
  <si>
    <t>Interest Paid</t>
  </si>
  <si>
    <t>Dividends received</t>
  </si>
  <si>
    <t>Interest Expense</t>
  </si>
  <si>
    <t>Interest Income</t>
  </si>
  <si>
    <t>Minority Equity Investments</t>
  </si>
  <si>
    <t>Interest Received</t>
  </si>
  <si>
    <t>INCOME STATEMENT</t>
  </si>
  <si>
    <t>Standard accounts</t>
  </si>
  <si>
    <t>PRO FORMA ITEMS</t>
  </si>
  <si>
    <t>BALANCE SHEET - ASSETS</t>
  </si>
  <si>
    <t>BALANCE SHEET - EQUITY &amp; LIABILITIES</t>
  </si>
  <si>
    <t>CASH FLOW STATEMENT</t>
  </si>
  <si>
    <t>Free Cash Flow</t>
  </si>
  <si>
    <t>Net Cash Flow</t>
  </si>
  <si>
    <t>Non-Operating Losses (Gains)</t>
  </si>
  <si>
    <t>Adj 2010</t>
  </si>
  <si>
    <t>Adj 2009</t>
  </si>
  <si>
    <t>Adj 2008</t>
  </si>
  <si>
    <t>Adj 2007</t>
  </si>
  <si>
    <t>Adj 2006</t>
  </si>
  <si>
    <t>Operating expenses</t>
  </si>
  <si>
    <t>Net interest expense (income)</t>
  </si>
  <si>
    <t>Interest income</t>
  </si>
  <si>
    <t>Interest expense</t>
  </si>
  <si>
    <t>Profit before taxes</t>
  </si>
  <si>
    <t>Tax expense</t>
  </si>
  <si>
    <t>Profit after taxes</t>
  </si>
  <si>
    <t>Net profit</t>
  </si>
  <si>
    <t>OPERATING EXPENSES</t>
  </si>
  <si>
    <t>Classification by function:</t>
  </si>
  <si>
    <t>Classification by nature:</t>
  </si>
  <si>
    <t>BALANCE SHEET</t>
  </si>
  <si>
    <t>ASSETS</t>
  </si>
  <si>
    <t>Total Non-Current Assets</t>
  </si>
  <si>
    <t>Total Current Assets</t>
  </si>
  <si>
    <t>LIABILITIES AND SHAREHOLDERS' EQUITY</t>
  </si>
  <si>
    <t>Non-Current Liabilities</t>
  </si>
  <si>
    <t>Current Liabilities</t>
  </si>
  <si>
    <t>Operating Cash Flow before Working Capital Investments</t>
  </si>
  <si>
    <t>Operating Cash Flow before Investment in Non-Current Assets</t>
  </si>
  <si>
    <t>Free Cash Flow Available to Debt and Equity</t>
  </si>
  <si>
    <t>Free Cash Flow Available to Equity</t>
  </si>
  <si>
    <t>Net share (Repurchase) or Issuance</t>
  </si>
  <si>
    <t>Net Increase (Decrease) in Cash Balance</t>
  </si>
  <si>
    <t>CONDENSED STATEMENTS OF EARNINGS</t>
  </si>
  <si>
    <t xml:space="preserve"> = Net operating profit after tax</t>
  </si>
  <si>
    <t>CONDENSED BALANCE SHEETS</t>
  </si>
  <si>
    <t>+ Inventories</t>
  </si>
  <si>
    <t>+ Other current assets</t>
  </si>
  <si>
    <t>– Trade payables</t>
  </si>
  <si>
    <t>– Other current liabilities</t>
  </si>
  <si>
    <t>Non-current tangible assets</t>
  </si>
  <si>
    <t>+ Non-current intangible assets</t>
  </si>
  <si>
    <t>– Other non-current liabilities (non-interest-bearing)</t>
  </si>
  <si>
    <t>Minority equity investments</t>
  </si>
  <si>
    <t>+ Other Non-Operating investments</t>
  </si>
  <si>
    <t>Current debt</t>
  </si>
  <si>
    <t>+ Non-current debt</t>
  </si>
  <si>
    <t>Ordinary shareholders' equity</t>
  </si>
  <si>
    <t>+ Minority interests</t>
  </si>
  <si>
    <t>Minimum operating lease payments</t>
  </si>
  <si>
    <t>Within one year</t>
  </si>
  <si>
    <t>In two to five years</t>
  </si>
  <si>
    <t>Over five years</t>
  </si>
  <si>
    <t>Interest rate</t>
  </si>
  <si>
    <t>Actual lease payment</t>
  </si>
  <si>
    <t>Tax rate</t>
  </si>
  <si>
    <t>Depreciation expense</t>
  </si>
  <si>
    <t>Adjustments:</t>
  </si>
  <si>
    <t>Non-current debt</t>
  </si>
  <si>
    <t>Deferred tax liability</t>
  </si>
  <si>
    <t>Equity</t>
  </si>
  <si>
    <t>Cost of sales/SG&amp;A (Lease expense)</t>
  </si>
  <si>
    <t>Ratio</t>
  </si>
  <si>
    <t>Return on equity</t>
  </si>
  <si>
    <t>Net profit margin (ROS)</t>
  </si>
  <si>
    <t>× Asset turnover</t>
  </si>
  <si>
    <t xml:space="preserve"> = Return on assets (ROA)</t>
  </si>
  <si>
    <t>× Financial leverage</t>
  </si>
  <si>
    <t xml:space="preserve"> = Return on equity (ROE)</t>
  </si>
  <si>
    <t>Line items as a percent of sales</t>
  </si>
  <si>
    <t>Personnel expense</t>
  </si>
  <si>
    <t>Depreciation and amortization</t>
  </si>
  <si>
    <t>Gross profit margin</t>
  </si>
  <si>
    <t>EBITDA margin</t>
  </si>
  <si>
    <t>Operating working capital turnover</t>
  </si>
  <si>
    <t>Net non-current asset turnover</t>
  </si>
  <si>
    <t>PP&amp;E turnover</t>
  </si>
  <si>
    <t>Trade receivables turnover</t>
  </si>
  <si>
    <t>Days’ receivables</t>
  </si>
  <si>
    <t>Inventories turnover</t>
  </si>
  <si>
    <t>Days’ inventories</t>
  </si>
  <si>
    <t>Trade payables turnover</t>
  </si>
  <si>
    <t>Days’ payables</t>
  </si>
  <si>
    <t>Current ratio</t>
  </si>
  <si>
    <t>Quick ratio</t>
  </si>
  <si>
    <t>Cash ratio</t>
  </si>
  <si>
    <t>Operating cash flow ratio</t>
  </si>
  <si>
    <t>Liabilities-to-equity</t>
  </si>
  <si>
    <t>Interest coverage (earnings based)</t>
  </si>
  <si>
    <t>Interest coverage (cash flow based)</t>
  </si>
  <si>
    <t>ROE</t>
  </si>
  <si>
    <t>Dividend payout ratio</t>
  </si>
  <si>
    <t>Sustainable growth rate</t>
  </si>
  <si>
    <t>- Net assets held for sale</t>
  </si>
  <si>
    <t>Assumptions:</t>
  </si>
  <si>
    <t>Operating cash percentage</t>
  </si>
  <si>
    <t>Adj 2011</t>
  </si>
  <si>
    <t>+ Interest expense after tax</t>
  </si>
  <si>
    <t xml:space="preserve"> = Interest expense</t>
  </si>
  <si>
    <t>Operating cash</t>
  </si>
  <si>
    <t>+ Trade receivables</t>
  </si>
  <si>
    <t>Excess cash</t>
  </si>
  <si>
    <t>Net operating expense</t>
  </si>
  <si>
    <t>Net operating profit before tax</t>
  </si>
  <si>
    <t>Operating expense line items as a percent of sales (by function)</t>
  </si>
  <si>
    <t>Operating expense line items as a percent of sales (by nature)</t>
  </si>
  <si>
    <t>Cost of materials</t>
  </si>
  <si>
    <t>x (1 – Tax rate)</t>
  </si>
  <si>
    <t>+ Preference shares</t>
  </si>
  <si>
    <t>Adj 2014</t>
  </si>
  <si>
    <t>Adj 2013</t>
  </si>
  <si>
    <t>Adj 2012</t>
  </si>
  <si>
    <t>Income Statement in millions (IFRS)</t>
  </si>
  <si>
    <t>Pro Forma IS Items in millions (IFRS)</t>
  </si>
  <si>
    <t>Balance Sheet in millions (IFRS)</t>
  </si>
  <si>
    <t>Cash flow statement in millions (IFRS)</t>
  </si>
  <si>
    <t>Cost of goods sold</t>
  </si>
  <si>
    <t>Gross profit</t>
  </si>
  <si>
    <t>Selling expenses</t>
  </si>
  <si>
    <t>Administrative expenses</t>
  </si>
  <si>
    <t>Profit after financial items</t>
  </si>
  <si>
    <t>Tax</t>
  </si>
  <si>
    <t>Profit for the year</t>
  </si>
  <si>
    <t>Salaries, other remuneration and payroll overheads</t>
  </si>
  <si>
    <t>Depreciation - within cost of goods sold</t>
  </si>
  <si>
    <t xml:space="preserve">Depreciation - within selling expenses </t>
  </si>
  <si>
    <t>Depreciation - within administrative expenses</t>
  </si>
  <si>
    <t>Cost of goods sold excluding depreciation</t>
  </si>
  <si>
    <t>Brands</t>
  </si>
  <si>
    <t>Customer relations</t>
  </si>
  <si>
    <t>Goodwill</t>
  </si>
  <si>
    <t>Buildings and land</t>
  </si>
  <si>
    <t>Equipment, tools, fixtures and fittings</t>
  </si>
  <si>
    <t>Long-term receivables</t>
  </si>
  <si>
    <t>Deferred tax receivables</t>
  </si>
  <si>
    <t>Total fixed assets</t>
  </si>
  <si>
    <t>Stock-in-trade</t>
  </si>
  <si>
    <t>Accounts receivable</t>
  </si>
  <si>
    <t>Other receivables</t>
  </si>
  <si>
    <t>Forward contracts</t>
  </si>
  <si>
    <t>Prepaid expenses</t>
  </si>
  <si>
    <t>Short-term investments</t>
  </si>
  <si>
    <t>Total current assets</t>
  </si>
  <si>
    <t>Total assets</t>
  </si>
  <si>
    <t>Share capital</t>
  </si>
  <si>
    <t>Reserves</t>
  </si>
  <si>
    <t>Retained earnings</t>
  </si>
  <si>
    <t>Provisions for pensions</t>
  </si>
  <si>
    <t>Other provisions</t>
  </si>
  <si>
    <t>Accounts payable</t>
  </si>
  <si>
    <t>Tax liabilities</t>
  </si>
  <si>
    <t>Other liabilities</t>
  </si>
  <si>
    <t>Total current liabilities</t>
  </si>
  <si>
    <t>Total liabilities and shareholders' equity</t>
  </si>
  <si>
    <t>Operating activities</t>
  </si>
  <si>
    <t>Interest paid</t>
  </si>
  <si>
    <t>Interest received</t>
  </si>
  <si>
    <t>Adjustment for:</t>
  </si>
  <si>
    <t>Depreciation</t>
  </si>
  <si>
    <t>Tax paid</t>
  </si>
  <si>
    <t>Changes in current receivables</t>
  </si>
  <si>
    <t>Changes in stock-in-trade</t>
  </si>
  <si>
    <t>Changes in current liabilities</t>
  </si>
  <si>
    <t>Cash flow from current operations</t>
  </si>
  <si>
    <t>Investment in other intangible assets</t>
  </si>
  <si>
    <t>Other investments</t>
  </si>
  <si>
    <t>Cash flow from investing activities</t>
  </si>
  <si>
    <t>Dividend</t>
  </si>
  <si>
    <t>Cash flows from financing activities</t>
  </si>
  <si>
    <t>Exchange rate effect</t>
  </si>
  <si>
    <t>Cash flow for the year</t>
  </si>
  <si>
    <t>Debt-to-equity</t>
  </si>
  <si>
    <t>Cash conversion cycle</t>
  </si>
  <si>
    <t>Interest on the provision for pensions</t>
  </si>
  <si>
    <t>Adj 2015</t>
  </si>
  <si>
    <t>Liabilities to credit institutions</t>
  </si>
  <si>
    <t>Interest-bearing liabilities</t>
  </si>
  <si>
    <t>Short-term loans</t>
  </si>
  <si>
    <t>Adj 2016</t>
  </si>
  <si>
    <t>Other interest-bearing liabilities</t>
  </si>
  <si>
    <t>Other</t>
  </si>
  <si>
    <t>Adj 2017</t>
  </si>
  <si>
    <t>Leasehold and similar rights</t>
  </si>
  <si>
    <t>Capitalised development expenditure</t>
  </si>
  <si>
    <t>Tax receivables</t>
  </si>
  <si>
    <t>Investment in leasehold and similar rights</t>
  </si>
  <si>
    <t>Investment in buildings and land</t>
  </si>
  <si>
    <t>Cash and cash equivalents at beginning of year</t>
  </si>
  <si>
    <t>Cash and cash equivalents at end of year</t>
  </si>
  <si>
    <t>Cash and cash equivalents</t>
  </si>
  <si>
    <t>Revenue</t>
  </si>
  <si>
    <t>Cost of Sales (by function)</t>
  </si>
  <si>
    <t>SG&amp;A (by function)</t>
  </si>
  <si>
    <t>Cost of Materials (by nature)</t>
  </si>
  <si>
    <t>Personnel Expenses (by nature)</t>
  </si>
  <si>
    <t>Depreciation and Amortization (by nature)</t>
  </si>
  <si>
    <t>Net Non-Recurring Income or Expense</t>
  </si>
  <si>
    <t>Profit/Loss to Non-Controlling Interest</t>
  </si>
  <si>
    <t>Profit/Loss of Discontinued Operations</t>
  </si>
  <si>
    <t>Profit/Loss to Ordinary Shareholders</t>
  </si>
  <si>
    <t>Cash and Cash Equivalents</t>
  </si>
  <si>
    <t>Deferred Tax Asset</t>
  </si>
  <si>
    <t>Deferred Tax Liability</t>
  </si>
  <si>
    <t>Non-Controlling Interest in Equity</t>
  </si>
  <si>
    <t>Net (Investments in) or Liquidation of Non-Current Operating or Investment Assets</t>
  </si>
  <si>
    <t>Net non-recurring income or expense</t>
  </si>
  <si>
    <t>Profit/loss to non-controlling interest</t>
  </si>
  <si>
    <t>Profit/loss to ordinary shareholders</t>
  </si>
  <si>
    <t>Profit or loss</t>
  </si>
  <si>
    <t>Net operating profit after tax</t>
  </si>
  <si>
    <t>of which: Net non-recurring expense after tax</t>
  </si>
  <si>
    <t xml:space="preserve"> = Net non-recurring expense (income)</t>
  </si>
  <si>
    <t xml:space="preserve"> = Net non-recurring expense after tax</t>
  </si>
  <si>
    <t>+ Net investment profit after tax</t>
  </si>
  <si>
    <t xml:space="preserve"> = Investment and interest income</t>
  </si>
  <si>
    <t xml:space="preserve"> = Net investment profit after tax</t>
  </si>
  <si>
    <t>– Interest expense after tax</t>
  </si>
  <si>
    <t xml:space="preserve"> = Interest expense after tax</t>
  </si>
  <si>
    <t xml:space="preserve"> = Profit or loss</t>
  </si>
  <si>
    <t>Ending operating working capital</t>
  </si>
  <si>
    <t xml:space="preserve"> = Ending operating working capital</t>
  </si>
  <si>
    <t>+ Ending net non-current operating assets</t>
  </si>
  <si>
    <t>– Deferred tax liability (net of asset)</t>
  </si>
  <si>
    <t>+ Derivatives (asset net of liability)</t>
  </si>
  <si>
    <t xml:space="preserve"> = Ending net non-current operating assets</t>
  </si>
  <si>
    <t>+ Ending non-operating investments</t>
  </si>
  <si>
    <t xml:space="preserve"> = Ending non-operating investments</t>
  </si>
  <si>
    <t xml:space="preserve"> = Total business assets</t>
  </si>
  <si>
    <t xml:space="preserve"> = Ending debt</t>
  </si>
  <si>
    <t>Ending debt</t>
  </si>
  <si>
    <t>+ Ending group equity</t>
  </si>
  <si>
    <t>= Ending group equity</t>
  </si>
  <si>
    <t xml:space="preserve"> = Total invested capital</t>
  </si>
  <si>
    <t xml:space="preserve"> = Return on Net Operating Assets</t>
  </si>
  <si>
    <t>Net Operating Profit Margin</t>
  </si>
  <si>
    <t>× Net Operating Asset Turnover</t>
  </si>
  <si>
    <t>Non-operating investment income</t>
  </si>
  <si>
    <t>Selling, general, and administrative expense</t>
  </si>
  <si>
    <t>Operating working capital/Revenue</t>
  </si>
  <si>
    <t>PP&amp;E/Revenue</t>
  </si>
  <si>
    <t>Debt-to-invested capital</t>
  </si>
  <si>
    <t>Other operating income/expense</t>
  </si>
  <si>
    <t>Adj 2018</t>
  </si>
  <si>
    <t>Adj 2019</t>
  </si>
  <si>
    <t>Net sales</t>
  </si>
  <si>
    <t>Interest income (incl finance lease)</t>
  </si>
  <si>
    <t>Interest expense and similar items (incl finance lease)</t>
  </si>
  <si>
    <t>Right-of-use assets</t>
  </si>
  <si>
    <t>Participations in associated companies</t>
  </si>
  <si>
    <t>Accrued expenses and prepaid income</t>
  </si>
  <si>
    <t>Investment in fixed assets</t>
  </si>
  <si>
    <t>Long-term loans</t>
  </si>
  <si>
    <t>Amortisation lease</t>
  </si>
  <si>
    <t>Other Operating Income, Net of Other Operating Expense (by function)</t>
  </si>
  <si>
    <t>Other Operating Income, Net of Other Operating Expense (by nature)</t>
  </si>
  <si>
    <t>Investment Income</t>
  </si>
  <si>
    <t>Adj 2020</t>
  </si>
  <si>
    <t>Other shares and participating rights</t>
  </si>
  <si>
    <t>Total non-current liabilities</t>
  </si>
  <si>
    <t>– Investment profit after tax</t>
  </si>
  <si>
    <t>DuPont decomposition of ROE</t>
  </si>
  <si>
    <t>Decomposing RNOA</t>
  </si>
  <si>
    <t>Common-sized income statement</t>
  </si>
  <si>
    <t>Other key profitability ratios</t>
  </si>
  <si>
    <t>Asset management ratios</t>
  </si>
  <si>
    <t>Liquidity ratios</t>
  </si>
  <si>
    <t>Solvency ratios</t>
  </si>
  <si>
    <t>Notes</t>
  </si>
  <si>
    <t>AA Corporate bond yield (BOFA ML Corporate Bond Index)</t>
  </si>
  <si>
    <t>Actual lease payment in 2007 (8,467) is higher than minimum operating lease payments within one year in 2006 (6,169)  listed in the previous year, because the firm signed up new leasese in 2007 and paid some of the new leaseses</t>
  </si>
  <si>
    <t>The allocation of minimum operating leases payments over five years is based on assumptions.</t>
  </si>
  <si>
    <t>This is the present value of minimum operating lease payments from Year 2 onwards. This number times  (1+interest rate) will be the carrying value of current finance lease obligations at the end of the following year.</t>
  </si>
  <si>
    <t>Minimum lease payment next year - Finance lease obligation * (1+interest rate)</t>
  </si>
  <si>
    <t>PV of New lease commitments in 2007=[ Total finance lease obligation in 2007 - Carrying value of 2006 finance lease obligation (i.e. 23,866) times (1+interest rate)) ]+Payment of new leases during the year (i.e. 8,467-6,169)</t>
  </si>
  <si>
    <t>Interest expense=Carrying value of Finance Lease Obligation * Interest rate</t>
  </si>
  <si>
    <t>Lease repayment=Actual lease payment - Interest expense; this number is higher than current portion of finance lease obligation in the previous year, because the firm paid new leases signed in current year</t>
  </si>
  <si>
    <t>The difference between total lease repayment and current portfion of finance lease obligation of the previous year</t>
  </si>
  <si>
    <t>For simplicity, we assume depreciation expense=lease repayment. In this way, the adjustments would have 0 impact on pre-tax profit and shareholder's equity.</t>
  </si>
  <si>
    <t>Total present value/Total finance lease obligation</t>
  </si>
  <si>
    <t>Present value Yr 2 onwards</t>
  </si>
  <si>
    <t>Current portion of finance lease obligation</t>
  </si>
  <si>
    <t>PV of New lease commitments</t>
  </si>
  <si>
    <t>Total lease repayment</t>
  </si>
  <si>
    <t>Lease repayment of new lease</t>
  </si>
  <si>
    <t>Taxes paid</t>
  </si>
  <si>
    <t>Net non-current operating assets/Revenue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</si>
</sst>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_);\(#,##0.0\)"/>
    <numFmt numFmtId="166" formatCode="0.0%"/>
    <numFmt numFmtId="167" formatCode="0.0"/>
    <numFmt numFmtId="168" formatCode="0.000%"/>
  </numFmts>
  <fonts count="13" x14ac:knownFonts="1">
    <font>
      <sz val="10"/>
      <name val="Arial"/>
    </font>
    <font>
      <sz val="11"/>
      <color theme="1"/>
      <name val="Calibri"/>
      <family val="2"/>
      <scheme val="minor"/>
    </font>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b/>
      <i/>
      <sz val="11"/>
      <name val="Calibri"/>
      <family val="2"/>
      <scheme val="minor"/>
    </font>
    <font>
      <i/>
      <sz val="11"/>
      <name val="Calibri"/>
      <family val="2"/>
      <scheme val="minor"/>
    </font>
    <font>
      <sz val="10"/>
      <name val="Arial"/>
      <family val="2"/>
    </font>
    <font>
      <sz val="11"/>
      <color rgb="FFFF0000"/>
      <name val="Calibri"/>
      <family val="2"/>
      <scheme val="minor"/>
    </font>
    <font>
      <b/>
      <sz val="10"/>
      <name val="Arial"/>
      <family val="2"/>
    </font>
    <font>
      <sz val="10"/>
      <color rgb="FFFF0000"/>
      <name val="Arial"/>
      <family val="2"/>
    </font>
    <font>
      <b/>
      <sz val="11"/>
      <color rgb="FFFF0000"/>
      <name val="Calibri"/>
      <family val="2"/>
      <scheme val="minor"/>
    </font>
  </fonts>
  <fills count="3">
    <fill>
      <patternFill patternType="none"/>
    </fill>
    <fill>
      <patternFill patternType="gray125"/>
    </fill>
    <fill>
      <patternFill patternType="solid">
        <fgColor rgb="FFFFFF00"/>
        <bgColor indexed="64"/>
      </patternFill>
    </fill>
  </fills>
  <borders count="8">
    <border>
      <left/>
      <right/>
      <top/>
      <bottom/>
      <diagonal/>
    </border>
    <border>
      <left/>
      <right/>
      <top/>
      <bottom style="thin">
        <color indexed="64"/>
      </bottom>
      <diagonal/>
    </border>
    <border>
      <left/>
      <right/>
      <top style="thin">
        <color indexed="64"/>
      </top>
      <bottom/>
      <diagonal/>
    </border>
    <border>
      <left/>
      <right/>
      <top/>
      <bottom style="thick">
        <color indexed="64"/>
      </bottom>
      <diagonal/>
    </border>
    <border>
      <left/>
      <right/>
      <top style="thick">
        <color indexed="64"/>
      </top>
      <bottom style="thick">
        <color indexed="64"/>
      </bottom>
      <diagonal/>
    </border>
    <border>
      <left/>
      <right/>
      <top/>
      <bottom style="double">
        <color indexed="64"/>
      </bottom>
      <diagonal/>
    </border>
    <border>
      <left/>
      <right/>
      <top style="thick">
        <color indexed="64"/>
      </top>
      <bottom/>
      <diagonal/>
    </border>
    <border>
      <left/>
      <right/>
      <top style="thin">
        <color indexed="64"/>
      </top>
      <bottom style="double">
        <color indexed="64"/>
      </bottom>
      <diagonal/>
    </border>
  </borders>
  <cellStyleXfs count="3">
    <xf numFmtId="0" fontId="0" fillId="0" borderId="0"/>
    <xf numFmtId="9" fontId="8" fillId="0" borderId="0" applyFont="0" applyFill="0" applyBorder="0" applyAlignment="0" applyProtection="0"/>
    <xf numFmtId="0" fontId="8" fillId="0" borderId="0"/>
  </cellStyleXfs>
  <cellXfs count="86">
    <xf numFmtId="0" fontId="0" fillId="0" borderId="0" xfId="0"/>
    <xf numFmtId="0" fontId="3" fillId="0" borderId="0" xfId="0" applyFont="1"/>
    <xf numFmtId="165" fontId="3" fillId="0" borderId="0" xfId="0" applyNumberFormat="1" applyFont="1"/>
    <xf numFmtId="0" fontId="4" fillId="0" borderId="0" xfId="0" applyFont="1" applyAlignment="1">
      <alignment horizontal="center"/>
    </xf>
    <xf numFmtId="0" fontId="5" fillId="0" borderId="0" xfId="0" applyFont="1"/>
    <xf numFmtId="165" fontId="5" fillId="0" borderId="0" xfId="0" applyNumberFormat="1" applyFont="1" applyAlignment="1">
      <alignment horizontal="right"/>
    </xf>
    <xf numFmtId="0" fontId="5" fillId="0" borderId="0" xfId="0" applyFont="1" applyAlignment="1">
      <alignment vertical="justify"/>
    </xf>
    <xf numFmtId="165" fontId="5" fillId="0" borderId="0" xfId="0" applyNumberFormat="1" applyFont="1"/>
    <xf numFmtId="165" fontId="5" fillId="0" borderId="1" xfId="0" applyNumberFormat="1" applyFont="1" applyBorder="1"/>
    <xf numFmtId="0" fontId="6" fillId="0" borderId="0" xfId="0" applyFont="1" applyAlignment="1">
      <alignment vertical="justify"/>
    </xf>
    <xf numFmtId="0" fontId="4" fillId="0" borderId="0" xfId="0" applyFont="1"/>
    <xf numFmtId="0" fontId="4" fillId="0" borderId="0" xfId="0" applyFont="1" applyAlignment="1">
      <alignment horizontal="right"/>
    </xf>
    <xf numFmtId="164" fontId="5" fillId="0" borderId="0" xfId="0" applyNumberFormat="1" applyFont="1" applyAlignment="1">
      <alignment horizontal="right"/>
    </xf>
    <xf numFmtId="164" fontId="5" fillId="0" borderId="1" xfId="0" applyNumberFormat="1" applyFont="1" applyBorder="1" applyAlignment="1">
      <alignment horizontal="right"/>
    </xf>
    <xf numFmtId="0" fontId="4" fillId="0" borderId="0" xfId="0" applyFont="1" applyAlignment="1">
      <alignment vertical="justify"/>
    </xf>
    <xf numFmtId="164" fontId="4" fillId="0" borderId="0" xfId="0" applyNumberFormat="1" applyFont="1" applyAlignment="1">
      <alignment horizontal="right"/>
    </xf>
    <xf numFmtId="0" fontId="7" fillId="0" borderId="0" xfId="0" applyFont="1"/>
    <xf numFmtId="164" fontId="4" fillId="0" borderId="1" xfId="0" applyNumberFormat="1" applyFont="1" applyBorder="1" applyAlignment="1">
      <alignment horizontal="right"/>
    </xf>
    <xf numFmtId="164" fontId="5" fillId="0" borderId="0" xfId="0" applyNumberFormat="1" applyFont="1"/>
    <xf numFmtId="0" fontId="7" fillId="0" borderId="0" xfId="0" applyFont="1" applyAlignment="1">
      <alignment vertical="justify"/>
    </xf>
    <xf numFmtId="0" fontId="5" fillId="0" borderId="3" xfId="0" applyFont="1" applyBorder="1"/>
    <xf numFmtId="0" fontId="4" fillId="0" borderId="0" xfId="0" applyFont="1" applyAlignment="1">
      <alignment horizontal="center" vertical="justify"/>
    </xf>
    <xf numFmtId="164" fontId="3" fillId="0" borderId="0" xfId="0" applyNumberFormat="1" applyFont="1"/>
    <xf numFmtId="0" fontId="3" fillId="0" borderId="3" xfId="0" applyFont="1" applyBorder="1"/>
    <xf numFmtId="164" fontId="5" fillId="0" borderId="3" xfId="0" applyNumberFormat="1" applyFont="1" applyBorder="1"/>
    <xf numFmtId="0" fontId="5" fillId="0" borderId="4" xfId="0" applyFont="1" applyBorder="1"/>
    <xf numFmtId="0" fontId="5" fillId="0" borderId="0" xfId="0" applyFont="1" applyAlignment="1">
      <alignment horizontal="left" vertical="justify" indent="3"/>
    </xf>
    <xf numFmtId="164" fontId="5" fillId="0" borderId="3" xfId="0" applyNumberFormat="1" applyFont="1" applyBorder="1" applyAlignment="1">
      <alignment horizontal="right"/>
    </xf>
    <xf numFmtId="0" fontId="5" fillId="0" borderId="5" xfId="0" applyFont="1" applyBorder="1"/>
    <xf numFmtId="164" fontId="3" fillId="0" borderId="3" xfId="0" applyNumberFormat="1" applyFont="1" applyBorder="1"/>
    <xf numFmtId="0" fontId="4" fillId="0" borderId="3" xfId="0" applyFont="1" applyBorder="1" applyAlignment="1">
      <alignment vertical="justify"/>
    </xf>
    <xf numFmtId="10" fontId="5" fillId="0" borderId="0" xfId="0" applyNumberFormat="1" applyFont="1"/>
    <xf numFmtId="0" fontId="7" fillId="0" borderId="1" xfId="0" applyFont="1" applyBorder="1" applyAlignment="1">
      <alignment vertical="justify"/>
    </xf>
    <xf numFmtId="0" fontId="7" fillId="0" borderId="1" xfId="0" applyFont="1" applyBorder="1" applyAlignment="1">
      <alignment horizontal="center" vertical="justify"/>
    </xf>
    <xf numFmtId="166" fontId="5" fillId="0" borderId="0" xfId="0" applyNumberFormat="1" applyFont="1" applyAlignment="1">
      <alignment horizontal="center"/>
    </xf>
    <xf numFmtId="2" fontId="5" fillId="0" borderId="1" xfId="0" applyNumberFormat="1" applyFont="1" applyBorder="1" applyAlignment="1">
      <alignment horizontal="center"/>
    </xf>
    <xf numFmtId="2" fontId="5" fillId="0" borderId="0" xfId="0" applyNumberFormat="1" applyFont="1" applyAlignment="1">
      <alignment horizontal="center"/>
    </xf>
    <xf numFmtId="167" fontId="5" fillId="0" borderId="0" xfId="0" applyNumberFormat="1" applyFont="1" applyAlignment="1">
      <alignment horizontal="center"/>
    </xf>
    <xf numFmtId="166" fontId="5" fillId="0" borderId="1" xfId="0" applyNumberFormat="1" applyFont="1" applyBorder="1" applyAlignment="1">
      <alignment horizontal="center"/>
    </xf>
    <xf numFmtId="164" fontId="0" fillId="0" borderId="0" xfId="0" applyNumberFormat="1"/>
    <xf numFmtId="166" fontId="5" fillId="0" borderId="0" xfId="0" applyNumberFormat="1" applyFont="1"/>
    <xf numFmtId="10" fontId="5" fillId="0" borderId="0" xfId="1" applyNumberFormat="1" applyFont="1"/>
    <xf numFmtId="164" fontId="4" fillId="0" borderId="2" xfId="0" applyNumberFormat="1" applyFont="1" applyBorder="1" applyAlignment="1">
      <alignment horizontal="right"/>
    </xf>
    <xf numFmtId="10" fontId="5" fillId="0" borderId="0" xfId="0" applyNumberFormat="1" applyFont="1" applyAlignment="1">
      <alignment horizontal="center"/>
    </xf>
    <xf numFmtId="168" fontId="5" fillId="0" borderId="5" xfId="1" applyNumberFormat="1" applyFont="1" applyBorder="1"/>
    <xf numFmtId="166" fontId="5" fillId="0" borderId="0" xfId="1" applyNumberFormat="1" applyFont="1" applyAlignment="1">
      <alignment horizontal="center"/>
    </xf>
    <xf numFmtId="166" fontId="5" fillId="0" borderId="0" xfId="1" applyNumberFormat="1" applyFont="1"/>
    <xf numFmtId="3" fontId="7" fillId="0" borderId="0" xfId="0" applyNumberFormat="1" applyFont="1" applyAlignment="1">
      <alignment horizontal="left"/>
    </xf>
    <xf numFmtId="0" fontId="5" fillId="0" borderId="0" xfId="0" applyFont="1" applyAlignment="1">
      <alignment horizontal="left"/>
    </xf>
    <xf numFmtId="0" fontId="1" fillId="0" borderId="3" xfId="0" applyFont="1" applyBorder="1" applyAlignment="1">
      <alignment horizontal="left" wrapText="1" indent="3"/>
    </xf>
    <xf numFmtId="10" fontId="5" fillId="0" borderId="1" xfId="0" applyNumberFormat="1" applyFont="1" applyBorder="1" applyAlignment="1">
      <alignment horizontal="center"/>
    </xf>
    <xf numFmtId="0" fontId="8" fillId="0" borderId="0" xfId="0" applyFont="1"/>
    <xf numFmtId="0" fontId="10" fillId="0" borderId="0" xfId="0" applyFont="1"/>
    <xf numFmtId="0" fontId="11" fillId="0" borderId="0" xfId="0" applyFont="1"/>
    <xf numFmtId="164" fontId="8" fillId="0" borderId="0" xfId="0" applyNumberFormat="1" applyFont="1"/>
    <xf numFmtId="0" fontId="9" fillId="0" borderId="0" xfId="0" applyFont="1"/>
    <xf numFmtId="164" fontId="12" fillId="0" borderId="0" xfId="0" applyNumberFormat="1" applyFont="1" applyAlignment="1">
      <alignment horizontal="right"/>
    </xf>
    <xf numFmtId="167" fontId="5" fillId="0" borderId="0" xfId="0" applyNumberFormat="1" applyFont="1"/>
    <xf numFmtId="164" fontId="9" fillId="0" borderId="0" xfId="0" applyNumberFormat="1" applyFont="1"/>
    <xf numFmtId="166" fontId="5" fillId="0" borderId="0" xfId="1" applyNumberFormat="1" applyFont="1" applyFill="1" applyAlignment="1">
      <alignment horizontal="center"/>
    </xf>
    <xf numFmtId="2" fontId="5" fillId="0" borderId="0" xfId="0" applyNumberFormat="1" applyFont="1" applyAlignment="1">
      <alignment horizontal="center" wrapText="1"/>
    </xf>
    <xf numFmtId="0" fontId="3" fillId="2" borderId="6" xfId="0" applyFont="1" applyFill="1" applyBorder="1"/>
    <xf numFmtId="0" fontId="4" fillId="2" borderId="6" xfId="0" applyFont="1" applyFill="1" applyBorder="1" applyAlignment="1">
      <alignment horizontal="center" vertical="justify"/>
    </xf>
    <xf numFmtId="0" fontId="5" fillId="2" borderId="0" xfId="0" applyFont="1" applyFill="1"/>
    <xf numFmtId="0" fontId="4" fillId="2" borderId="0" xfId="0" applyFont="1" applyFill="1" applyAlignment="1">
      <alignment vertical="justify"/>
    </xf>
    <xf numFmtId="164" fontId="3" fillId="2" borderId="0" xfId="0" applyNumberFormat="1" applyFont="1" applyFill="1"/>
    <xf numFmtId="0" fontId="5" fillId="2" borderId="0" xfId="0" applyFont="1" applyFill="1" applyAlignment="1">
      <alignment horizontal="left" vertical="justify" indent="3"/>
    </xf>
    <xf numFmtId="164" fontId="5" fillId="2" borderId="0" xfId="0" applyNumberFormat="1" applyFont="1" applyFill="1"/>
    <xf numFmtId="0" fontId="5" fillId="2" borderId="0" xfId="0" quotePrefix="1" applyFont="1" applyFill="1" applyAlignment="1">
      <alignment horizontal="left" vertical="justify" indent="3"/>
    </xf>
    <xf numFmtId="164" fontId="5" fillId="2" borderId="1" xfId="0" applyNumberFormat="1" applyFont="1" applyFill="1" applyBorder="1" applyAlignment="1">
      <alignment horizontal="right"/>
    </xf>
    <xf numFmtId="0" fontId="4" fillId="2" borderId="0" xfId="0" applyFont="1" applyFill="1" applyAlignment="1">
      <alignment horizontal="left" vertical="justify" indent="3"/>
    </xf>
    <xf numFmtId="164" fontId="4" fillId="2" borderId="1" xfId="0" applyNumberFormat="1" applyFont="1" applyFill="1" applyBorder="1" applyAlignment="1">
      <alignment horizontal="right"/>
    </xf>
    <xf numFmtId="166" fontId="5" fillId="2" borderId="1" xfId="0" applyNumberFormat="1" applyFont="1" applyFill="1" applyBorder="1" applyAlignment="1">
      <alignment horizontal="right"/>
    </xf>
    <xf numFmtId="0" fontId="4" fillId="2" borderId="0" xfId="0" applyFont="1" applyFill="1" applyAlignment="1">
      <alignment horizontal="left" vertical="justify"/>
    </xf>
    <xf numFmtId="0" fontId="4" fillId="2" borderId="3" xfId="0" applyFont="1" applyFill="1" applyBorder="1" applyAlignment="1">
      <alignment vertical="justify"/>
    </xf>
    <xf numFmtId="164" fontId="3" fillId="2" borderId="3" xfId="0" applyNumberFormat="1" applyFont="1" applyFill="1" applyBorder="1"/>
    <xf numFmtId="0" fontId="5" fillId="2" borderId="0" xfId="0" applyFont="1" applyFill="1" applyAlignment="1">
      <alignment vertical="justify"/>
    </xf>
    <xf numFmtId="0" fontId="4" fillId="2" borderId="0" xfId="0" quotePrefix="1" applyFont="1" applyFill="1" applyAlignment="1">
      <alignment vertical="justify"/>
    </xf>
    <xf numFmtId="166" fontId="5" fillId="2" borderId="0" xfId="1" applyNumberFormat="1" applyFont="1" applyFill="1"/>
    <xf numFmtId="164" fontId="5" fillId="2" borderId="0" xfId="0" applyNumberFormat="1" applyFont="1" applyFill="1" applyAlignment="1">
      <alignment horizontal="right"/>
    </xf>
    <xf numFmtId="164" fontId="3" fillId="2" borderId="2" xfId="0" applyNumberFormat="1" applyFont="1" applyFill="1" applyBorder="1"/>
    <xf numFmtId="164" fontId="2" fillId="2" borderId="0" xfId="0" applyNumberFormat="1" applyFont="1" applyFill="1"/>
    <xf numFmtId="164" fontId="3" fillId="2" borderId="7" xfId="0" applyNumberFormat="1" applyFont="1" applyFill="1" applyBorder="1"/>
    <xf numFmtId="166" fontId="3" fillId="2" borderId="0" xfId="1" applyNumberFormat="1" applyFont="1" applyFill="1"/>
    <xf numFmtId="164" fontId="5" fillId="2" borderId="1" xfId="0" applyNumberFormat="1" applyFont="1" applyFill="1" applyBorder="1"/>
    <xf numFmtId="0" fontId="4" fillId="2" borderId="0" xfId="0" quotePrefix="1" applyFont="1" applyFill="1" applyAlignment="1">
      <alignment horizontal="left" vertical="justify" indent="3"/>
    </xf>
  </cellXfs>
  <cellStyles count="3">
    <cellStyle name="%" xfId="2" xr:uid="{77A2844F-69E6-46BA-AAFC-5BC1B92D63FD}"/>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80</xdr:row>
      <xdr:rowOff>0</xdr:rowOff>
    </xdr:from>
    <xdr:to>
      <xdr:col>2</xdr:col>
      <xdr:colOff>11430</xdr:colOff>
      <xdr:row>80</xdr:row>
      <xdr:rowOff>11430</xdr:rowOff>
    </xdr:to>
    <xdr:pic>
      <xdr:nvPicPr>
        <xdr:cNvPr id="8274" name="Picture 1" descr="ecblank">
          <a:extLst>
            <a:ext uri="{FF2B5EF4-FFF2-40B4-BE49-F238E27FC236}">
              <a16:creationId xmlns:a16="http://schemas.microsoft.com/office/drawing/2014/main" id="{00000000-0008-0000-0000-0000522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14625" y="1538287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80</xdr:row>
      <xdr:rowOff>0</xdr:rowOff>
    </xdr:from>
    <xdr:to>
      <xdr:col>2</xdr:col>
      <xdr:colOff>26670</xdr:colOff>
      <xdr:row>80</xdr:row>
      <xdr:rowOff>11430</xdr:rowOff>
    </xdr:to>
    <xdr:pic>
      <xdr:nvPicPr>
        <xdr:cNvPr id="8275" name="Picture 2" descr="ecblank">
          <a:extLst>
            <a:ext uri="{FF2B5EF4-FFF2-40B4-BE49-F238E27FC236}">
              <a16:creationId xmlns:a16="http://schemas.microsoft.com/office/drawing/2014/main" id="{00000000-0008-0000-0000-0000532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33675" y="1538287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80</xdr:row>
      <xdr:rowOff>0</xdr:rowOff>
    </xdr:from>
    <xdr:to>
      <xdr:col>2</xdr:col>
      <xdr:colOff>49530</xdr:colOff>
      <xdr:row>80</xdr:row>
      <xdr:rowOff>11430</xdr:rowOff>
    </xdr:to>
    <xdr:pic>
      <xdr:nvPicPr>
        <xdr:cNvPr id="8276" name="Picture 3" descr="ecblank">
          <a:extLst>
            <a:ext uri="{FF2B5EF4-FFF2-40B4-BE49-F238E27FC236}">
              <a16:creationId xmlns:a16="http://schemas.microsoft.com/office/drawing/2014/main" id="{00000000-0008-0000-0000-0000542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52725" y="15382875"/>
          <a:ext cx="952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Xi.Li" id="{E33BEA26-2AAF-4166-A35D-9A8F82395CA8}" userId="S::Xi.Li@lse.ac.uk::a3747cc5-a2cc-4037-bdd0-2714a7016462"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87" dT="2021-01-26T23:02:57.64" personId="{E33BEA26-2AAF-4166-A35D-9A8F82395CA8}" id="{2DA0E370-E844-4045-A79D-19784A738E31}">
    <text>This is Interest Paid*(1-tax rate), i.e. interest paid after tax</text>
  </threadedComment>
</ThreadedComments>
</file>

<file path=xl/threadedComments/threadedComment2.xml><?xml version="1.0" encoding="utf-8"?>
<ThreadedComments xmlns="http://schemas.microsoft.com/office/spreadsheetml/2018/threadedcomments" xmlns:x="http://schemas.openxmlformats.org/spreadsheetml/2006/main">
  <threadedComment ref="A73" dT="2024-02-09T12:15:41.06" personId="{E33BEA26-2AAF-4166-A35D-9A8F82395CA8}" id="{7812ECB4-EB8B-4C86-A9A2-6A53D5BDC42C}">
    <text xml:space="preserve">Note that in "Adjusted Statements",
"Tax paid" is tax paid plus tax shield for interest paid and "Interest paid" is interest paid after tax.
</text>
  </threadedComment>
  <threadedComment ref="A74" dT="2024-02-09T12:16:26.65" personId="{E33BEA26-2AAF-4166-A35D-9A8F82395CA8}" id="{D7FD9994-A1F4-4881-9850-0B9E417BBBBF}">
    <text>Note that in "Adjusted Statements", "Interest Paid" is Interest Paid*(1-tax rate), i.e. interest paid after tax</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39"/>
  <sheetViews>
    <sheetView topLeftCell="A89" workbookViewId="0">
      <selection activeCell="C7" sqref="C7"/>
    </sheetView>
  </sheetViews>
  <sheetFormatPr defaultColWidth="9.140625" defaultRowHeight="15" x14ac:dyDescent="0.25"/>
  <cols>
    <col min="1" max="1" width="37.140625" style="4" customWidth="1"/>
    <col min="2" max="2" width="3.5703125" style="4" customWidth="1"/>
    <col min="3" max="3" width="48" style="4" customWidth="1"/>
    <col min="4" max="10" width="10.7109375" style="4" bestFit="1" customWidth="1"/>
    <col min="11" max="12" width="10.7109375" style="4" customWidth="1"/>
    <col min="13" max="16" width="10.7109375" style="4" bestFit="1" customWidth="1"/>
    <col min="17" max="18" width="10.140625" style="4" bestFit="1" customWidth="1"/>
    <col min="19" max="16384" width="9.140625" style="4"/>
  </cols>
  <sheetData>
    <row r="1" spans="1:18" x14ac:dyDescent="0.25">
      <c r="A1" s="9" t="s">
        <v>37</v>
      </c>
      <c r="B1" s="9"/>
      <c r="C1" s="10" t="s">
        <v>153</v>
      </c>
      <c r="D1" s="11">
        <v>2020</v>
      </c>
      <c r="E1" s="11">
        <v>2019</v>
      </c>
      <c r="F1" s="11">
        <v>2018</v>
      </c>
      <c r="G1" s="11">
        <v>2017</v>
      </c>
      <c r="H1" s="11">
        <v>2016</v>
      </c>
      <c r="I1" s="11">
        <v>2015</v>
      </c>
      <c r="J1" s="11">
        <v>2014</v>
      </c>
      <c r="K1" s="11">
        <v>2013</v>
      </c>
      <c r="L1" s="11">
        <v>2012</v>
      </c>
      <c r="M1" s="11">
        <v>2011</v>
      </c>
      <c r="N1" s="11">
        <v>2010</v>
      </c>
      <c r="O1" s="11">
        <v>2009</v>
      </c>
      <c r="P1" s="11">
        <v>2008</v>
      </c>
      <c r="Q1" s="11">
        <v>2007</v>
      </c>
      <c r="R1" s="11">
        <v>2006</v>
      </c>
    </row>
    <row r="2" spans="1:18" x14ac:dyDescent="0.25">
      <c r="A2" s="6"/>
      <c r="C2" s="10"/>
      <c r="D2" s="11"/>
      <c r="E2" s="11"/>
      <c r="F2" s="11"/>
      <c r="G2" s="11"/>
      <c r="H2" s="11"/>
      <c r="I2" s="11"/>
      <c r="J2" s="11"/>
      <c r="K2" s="11"/>
      <c r="L2" s="11"/>
      <c r="M2" s="11"/>
      <c r="N2" s="11"/>
      <c r="O2" s="11"/>
      <c r="P2" s="11"/>
      <c r="Q2" s="11"/>
      <c r="R2" s="11"/>
    </row>
    <row r="3" spans="1:18" x14ac:dyDescent="0.25">
      <c r="A3" s="6" t="s">
        <v>231</v>
      </c>
      <c r="C3" s="6" t="s">
        <v>285</v>
      </c>
      <c r="D3" s="12">
        <v>187031</v>
      </c>
      <c r="E3" s="12">
        <v>232755</v>
      </c>
      <c r="F3" s="12">
        <v>210400</v>
      </c>
      <c r="G3" s="12">
        <v>200004</v>
      </c>
      <c r="H3" s="12">
        <v>192267</v>
      </c>
      <c r="I3" s="12">
        <v>180861</v>
      </c>
      <c r="J3" s="12">
        <v>151419</v>
      </c>
      <c r="K3" s="12">
        <v>128562</v>
      </c>
      <c r="L3" s="12">
        <v>120799</v>
      </c>
      <c r="M3" s="12">
        <v>109999</v>
      </c>
      <c r="N3" s="12">
        <v>108483</v>
      </c>
      <c r="O3" s="12">
        <v>101393</v>
      </c>
      <c r="P3" s="12">
        <v>88532</v>
      </c>
      <c r="Q3" s="12">
        <v>78346</v>
      </c>
      <c r="R3" s="12">
        <v>68400</v>
      </c>
    </row>
    <row r="4" spans="1:18" x14ac:dyDescent="0.25">
      <c r="A4" s="6" t="s">
        <v>232</v>
      </c>
      <c r="C4" s="6" t="s">
        <v>157</v>
      </c>
      <c r="D4" s="13">
        <v>-93487</v>
      </c>
      <c r="E4" s="13">
        <v>-110302</v>
      </c>
      <c r="F4" s="13">
        <v>-99513</v>
      </c>
      <c r="G4" s="13">
        <v>-91914</v>
      </c>
      <c r="H4" s="13">
        <v>-86090</v>
      </c>
      <c r="I4" s="13">
        <v>-77694</v>
      </c>
      <c r="J4" s="13">
        <v>-62367</v>
      </c>
      <c r="K4" s="13">
        <v>-52529</v>
      </c>
      <c r="L4" s="13">
        <v>-48928</v>
      </c>
      <c r="M4" s="13">
        <v>-43852</v>
      </c>
      <c r="N4" s="13">
        <v>-40214</v>
      </c>
      <c r="O4" s="13">
        <v>-38919</v>
      </c>
      <c r="P4" s="13">
        <v>-34064</v>
      </c>
      <c r="Q4" s="13">
        <v>-30499</v>
      </c>
      <c r="R4" s="13">
        <v>-27736</v>
      </c>
    </row>
    <row r="5" spans="1:18" x14ac:dyDescent="0.25">
      <c r="A5" s="6"/>
      <c r="C5" s="14" t="s">
        <v>158</v>
      </c>
      <c r="D5" s="15">
        <f t="shared" ref="D5:L5" si="0">D3+D4</f>
        <v>93544</v>
      </c>
      <c r="E5" s="15">
        <f t="shared" si="0"/>
        <v>122453</v>
      </c>
      <c r="F5" s="15">
        <f t="shared" si="0"/>
        <v>110887</v>
      </c>
      <c r="G5" s="15">
        <f t="shared" si="0"/>
        <v>108090</v>
      </c>
      <c r="H5" s="15">
        <f t="shared" si="0"/>
        <v>106177</v>
      </c>
      <c r="I5" s="15">
        <f t="shared" si="0"/>
        <v>103167</v>
      </c>
      <c r="J5" s="15">
        <f t="shared" si="0"/>
        <v>89052</v>
      </c>
      <c r="K5" s="15">
        <f t="shared" si="0"/>
        <v>76033</v>
      </c>
      <c r="L5" s="15">
        <f t="shared" si="0"/>
        <v>71871</v>
      </c>
      <c r="M5" s="15">
        <f t="shared" ref="M5:R5" si="1">M3+M4</f>
        <v>66147</v>
      </c>
      <c r="N5" s="15">
        <f t="shared" si="1"/>
        <v>68269</v>
      </c>
      <c r="O5" s="15">
        <f t="shared" si="1"/>
        <v>62474</v>
      </c>
      <c r="P5" s="15">
        <f t="shared" si="1"/>
        <v>54468</v>
      </c>
      <c r="Q5" s="15">
        <f t="shared" si="1"/>
        <v>47847</v>
      </c>
      <c r="R5" s="15">
        <f t="shared" si="1"/>
        <v>40664</v>
      </c>
    </row>
    <row r="6" spans="1:18" x14ac:dyDescent="0.25">
      <c r="A6" s="6"/>
      <c r="C6" s="6"/>
      <c r="D6" s="12"/>
      <c r="E6" s="12"/>
      <c r="F6" s="12"/>
      <c r="G6" s="12"/>
      <c r="H6" s="12"/>
      <c r="I6" s="12"/>
      <c r="J6" s="12"/>
      <c r="K6" s="12"/>
      <c r="L6" s="12"/>
      <c r="M6" s="12"/>
      <c r="N6" s="12"/>
      <c r="O6" s="12"/>
      <c r="P6" s="12"/>
      <c r="Q6" s="12"/>
      <c r="R6" s="12"/>
    </row>
    <row r="7" spans="1:18" x14ac:dyDescent="0.25">
      <c r="A7" s="6" t="s">
        <v>233</v>
      </c>
      <c r="C7" s="6" t="s">
        <v>159</v>
      </c>
      <c r="D7" s="12">
        <v>-81425</v>
      </c>
      <c r="E7" s="12">
        <v>-96279</v>
      </c>
      <c r="F7" s="12">
        <v>-87512</v>
      </c>
      <c r="G7" s="12">
        <v>-80427</v>
      </c>
      <c r="H7" s="12">
        <v>-75729</v>
      </c>
      <c r="I7" s="12">
        <v>-70292</v>
      </c>
      <c r="J7" s="12">
        <v>-58525</v>
      </c>
      <c r="K7" s="12">
        <v>-49878</v>
      </c>
      <c r="L7" s="12">
        <v>-46608</v>
      </c>
      <c r="M7" s="12">
        <v>-42517</v>
      </c>
      <c r="N7" s="12">
        <v>-40751</v>
      </c>
      <c r="O7" s="12">
        <v>-38224</v>
      </c>
      <c r="P7" s="12">
        <v>-32185</v>
      </c>
      <c r="Q7" s="12">
        <v>-27687</v>
      </c>
      <c r="R7" s="12">
        <v>-23971</v>
      </c>
    </row>
    <row r="8" spans="1:18" x14ac:dyDescent="0.25">
      <c r="A8" s="6" t="s">
        <v>233</v>
      </c>
      <c r="C8" s="6" t="s">
        <v>160</v>
      </c>
      <c r="D8" s="12">
        <f>-9020-D9</f>
        <v>-9013</v>
      </c>
      <c r="E8" s="12">
        <f>-8828-E9</f>
        <v>-8812</v>
      </c>
      <c r="F8" s="12">
        <f>-7882-F9</f>
        <v>-7868</v>
      </c>
      <c r="G8" s="12">
        <f>-7094-G9</f>
        <v>-7081</v>
      </c>
      <c r="H8" s="12">
        <f>-6625-H9</f>
        <v>-6607</v>
      </c>
      <c r="I8" s="12">
        <f>-5933-I9</f>
        <v>-5912</v>
      </c>
      <c r="J8" s="12">
        <f>-4944-J9</f>
        <v>-4918</v>
      </c>
      <c r="K8" s="12">
        <f>-3987-K9</f>
        <v>-3965</v>
      </c>
      <c r="L8" s="12">
        <f>-3509-L9</f>
        <v>-3484</v>
      </c>
      <c r="M8" s="12">
        <f>-3251-M9</f>
        <v>-3222</v>
      </c>
      <c r="N8" s="12">
        <f>-2859-N9</f>
        <v>-2847</v>
      </c>
      <c r="O8" s="12">
        <f>-2606-O9</f>
        <v>-2595</v>
      </c>
      <c r="P8" s="12">
        <f>-2145-P9</f>
        <v>-2135</v>
      </c>
      <c r="Q8" s="12">
        <f>-1778-Q9</f>
        <v>-1770</v>
      </c>
      <c r="R8" s="12">
        <f>-1395-R9</f>
        <v>-1386</v>
      </c>
    </row>
    <row r="9" spans="1:18" x14ac:dyDescent="0.25">
      <c r="A9" s="6" t="s">
        <v>32</v>
      </c>
      <c r="C9" s="6" t="s">
        <v>214</v>
      </c>
      <c r="D9" s="13">
        <v>-7</v>
      </c>
      <c r="E9" s="13">
        <v>-16</v>
      </c>
      <c r="F9" s="13">
        <v>-14</v>
      </c>
      <c r="G9" s="13">
        <v>-13</v>
      </c>
      <c r="H9" s="13">
        <v>-18</v>
      </c>
      <c r="I9" s="13">
        <v>-21</v>
      </c>
      <c r="J9" s="13">
        <v>-26</v>
      </c>
      <c r="K9" s="13">
        <v>-22</v>
      </c>
      <c r="L9" s="13">
        <v>-25</v>
      </c>
      <c r="M9" s="13">
        <v>-29</v>
      </c>
      <c r="N9" s="13">
        <v>-12</v>
      </c>
      <c r="O9" s="13">
        <v>-11</v>
      </c>
      <c r="P9" s="13">
        <v>-10</v>
      </c>
      <c r="Q9" s="13">
        <v>-8</v>
      </c>
      <c r="R9" s="13">
        <v>-9</v>
      </c>
    </row>
    <row r="10" spans="1:18" x14ac:dyDescent="0.25">
      <c r="A10" s="6"/>
      <c r="C10" s="14" t="s">
        <v>11</v>
      </c>
      <c r="D10" s="15">
        <f t="shared" ref="D10:L10" si="2">SUM(D5:D9)</f>
        <v>3099</v>
      </c>
      <c r="E10" s="15">
        <f t="shared" si="2"/>
        <v>17346</v>
      </c>
      <c r="F10" s="15">
        <f t="shared" si="2"/>
        <v>15493</v>
      </c>
      <c r="G10" s="15">
        <f t="shared" si="2"/>
        <v>20569</v>
      </c>
      <c r="H10" s="15">
        <f t="shared" si="2"/>
        <v>23823</v>
      </c>
      <c r="I10" s="15">
        <f t="shared" si="2"/>
        <v>26942</v>
      </c>
      <c r="J10" s="15">
        <f t="shared" si="2"/>
        <v>25583</v>
      </c>
      <c r="K10" s="15">
        <f t="shared" si="2"/>
        <v>22168</v>
      </c>
      <c r="L10" s="15">
        <f t="shared" si="2"/>
        <v>21754</v>
      </c>
      <c r="M10" s="15">
        <f t="shared" ref="M10:R10" si="3">SUM(M5:M9)</f>
        <v>20379</v>
      </c>
      <c r="N10" s="15">
        <f t="shared" si="3"/>
        <v>24659</v>
      </c>
      <c r="O10" s="15">
        <f t="shared" si="3"/>
        <v>21644</v>
      </c>
      <c r="P10" s="15">
        <f t="shared" si="3"/>
        <v>20138</v>
      </c>
      <c r="Q10" s="15">
        <f t="shared" si="3"/>
        <v>18382</v>
      </c>
      <c r="R10" s="15">
        <f t="shared" si="3"/>
        <v>15298</v>
      </c>
    </row>
    <row r="11" spans="1:18" x14ac:dyDescent="0.25">
      <c r="A11" s="6" t="s">
        <v>33</v>
      </c>
      <c r="C11" s="6" t="s">
        <v>286</v>
      </c>
      <c r="D11" s="12">
        <v>252</v>
      </c>
      <c r="E11" s="12">
        <v>376</v>
      </c>
      <c r="F11" s="12">
        <v>292</v>
      </c>
      <c r="G11" s="12">
        <v>281</v>
      </c>
      <c r="H11" s="12">
        <v>224</v>
      </c>
      <c r="I11" s="12">
        <v>310</v>
      </c>
      <c r="J11" s="12">
        <v>328</v>
      </c>
      <c r="K11" s="12">
        <v>367</v>
      </c>
      <c r="L11" s="12">
        <v>536</v>
      </c>
      <c r="M11" s="12">
        <v>568</v>
      </c>
      <c r="N11" s="12">
        <v>356</v>
      </c>
      <c r="O11" s="12">
        <v>467</v>
      </c>
      <c r="P11" s="12">
        <v>1060</v>
      </c>
      <c r="Q11" s="12">
        <v>793</v>
      </c>
      <c r="R11" s="12">
        <v>515</v>
      </c>
    </row>
    <row r="12" spans="1:18" ht="30" x14ac:dyDescent="0.25">
      <c r="A12" s="6" t="s">
        <v>32</v>
      </c>
      <c r="C12" s="6" t="s">
        <v>287</v>
      </c>
      <c r="D12" s="13">
        <v>-1299</v>
      </c>
      <c r="E12" s="13">
        <v>-331</v>
      </c>
      <c r="F12" s="13">
        <v>-146</v>
      </c>
      <c r="G12" s="13">
        <v>-41</v>
      </c>
      <c r="H12" s="13">
        <v>-8</v>
      </c>
      <c r="I12" s="13">
        <v>-10</v>
      </c>
      <c r="J12" s="13">
        <v>-16</v>
      </c>
      <c r="K12" s="13">
        <v>-9</v>
      </c>
      <c r="L12" s="13">
        <v>-5</v>
      </c>
      <c r="M12" s="13">
        <v>-5</v>
      </c>
      <c r="N12" s="13">
        <v>-7</v>
      </c>
      <c r="O12" s="13">
        <v>-8</v>
      </c>
      <c r="P12" s="13">
        <v>-8</v>
      </c>
      <c r="Q12" s="13">
        <v>-5</v>
      </c>
      <c r="R12" s="13">
        <v>-5</v>
      </c>
    </row>
    <row r="13" spans="1:18" x14ac:dyDescent="0.25">
      <c r="A13" s="6"/>
      <c r="C13" s="14" t="s">
        <v>161</v>
      </c>
      <c r="D13" s="15">
        <f t="shared" ref="D13:L13" si="4">SUM(D10:D12)</f>
        <v>2052</v>
      </c>
      <c r="E13" s="15">
        <f t="shared" si="4"/>
        <v>17391</v>
      </c>
      <c r="F13" s="15">
        <f t="shared" si="4"/>
        <v>15639</v>
      </c>
      <c r="G13" s="15">
        <f t="shared" si="4"/>
        <v>20809</v>
      </c>
      <c r="H13" s="15">
        <f t="shared" si="4"/>
        <v>24039</v>
      </c>
      <c r="I13" s="15">
        <f t="shared" si="4"/>
        <v>27242</v>
      </c>
      <c r="J13" s="15">
        <f t="shared" si="4"/>
        <v>25895</v>
      </c>
      <c r="K13" s="15">
        <f t="shared" si="4"/>
        <v>22526</v>
      </c>
      <c r="L13" s="15">
        <f t="shared" si="4"/>
        <v>22285</v>
      </c>
      <c r="M13" s="15">
        <f t="shared" ref="M13:R13" si="5">SUM(M10:M12)</f>
        <v>20942</v>
      </c>
      <c r="N13" s="15">
        <f t="shared" si="5"/>
        <v>25008</v>
      </c>
      <c r="O13" s="15">
        <f t="shared" si="5"/>
        <v>22103</v>
      </c>
      <c r="P13" s="15">
        <f t="shared" si="5"/>
        <v>21190</v>
      </c>
      <c r="Q13" s="15">
        <f t="shared" si="5"/>
        <v>19170</v>
      </c>
      <c r="R13" s="15">
        <f t="shared" si="5"/>
        <v>15808</v>
      </c>
    </row>
    <row r="14" spans="1:18" x14ac:dyDescent="0.25">
      <c r="A14" s="6" t="s">
        <v>2</v>
      </c>
      <c r="C14" s="6" t="s">
        <v>162</v>
      </c>
      <c r="D14" s="13">
        <v>-809</v>
      </c>
      <c r="E14" s="13">
        <v>-3948</v>
      </c>
      <c r="F14" s="13">
        <v>-2987</v>
      </c>
      <c r="G14" s="13">
        <v>-4625</v>
      </c>
      <c r="H14" s="13">
        <v>-5403</v>
      </c>
      <c r="I14" s="13">
        <v>-6344</v>
      </c>
      <c r="J14" s="13">
        <v>-5919</v>
      </c>
      <c r="K14" s="13">
        <v>-5374</v>
      </c>
      <c r="L14" s="13">
        <v>-5418</v>
      </c>
      <c r="M14" s="13">
        <v>-5121</v>
      </c>
      <c r="N14" s="13">
        <v>-6327</v>
      </c>
      <c r="O14" s="13">
        <v>-5719</v>
      </c>
      <c r="P14" s="13">
        <v>-5896</v>
      </c>
      <c r="Q14" s="13">
        <v>-5582</v>
      </c>
      <c r="R14" s="13">
        <v>-5011</v>
      </c>
    </row>
    <row r="15" spans="1:18" x14ac:dyDescent="0.25">
      <c r="A15" s="6" t="s">
        <v>240</v>
      </c>
      <c r="C15" s="14" t="s">
        <v>163</v>
      </c>
      <c r="D15" s="15">
        <f t="shared" ref="D15:L15" si="6">SUM(D13:D14)</f>
        <v>1243</v>
      </c>
      <c r="E15" s="15">
        <f t="shared" si="6"/>
        <v>13443</v>
      </c>
      <c r="F15" s="15">
        <f t="shared" si="6"/>
        <v>12652</v>
      </c>
      <c r="G15" s="15">
        <f t="shared" si="6"/>
        <v>16184</v>
      </c>
      <c r="H15" s="15">
        <f t="shared" si="6"/>
        <v>18636</v>
      </c>
      <c r="I15" s="15">
        <f t="shared" si="6"/>
        <v>20898</v>
      </c>
      <c r="J15" s="15">
        <f t="shared" si="6"/>
        <v>19976</v>
      </c>
      <c r="K15" s="15">
        <f t="shared" si="6"/>
        <v>17152</v>
      </c>
      <c r="L15" s="15">
        <f t="shared" si="6"/>
        <v>16867</v>
      </c>
      <c r="M15" s="15">
        <f t="shared" ref="M15:R15" si="7">SUM(M13:M14)</f>
        <v>15821</v>
      </c>
      <c r="N15" s="15">
        <f t="shared" si="7"/>
        <v>18681</v>
      </c>
      <c r="O15" s="15">
        <f t="shared" si="7"/>
        <v>16384</v>
      </c>
      <c r="P15" s="15">
        <f t="shared" si="7"/>
        <v>15294</v>
      </c>
      <c r="Q15" s="15">
        <f t="shared" si="7"/>
        <v>13588</v>
      </c>
      <c r="R15" s="15">
        <f t="shared" si="7"/>
        <v>10797</v>
      </c>
    </row>
    <row r="16" spans="1:18" x14ac:dyDescent="0.25">
      <c r="A16" s="6"/>
    </row>
    <row r="17" spans="1:18" x14ac:dyDescent="0.25">
      <c r="A17" s="6"/>
      <c r="C17" s="6"/>
      <c r="D17" s="12"/>
      <c r="E17" s="12"/>
      <c r="F17" s="12"/>
      <c r="G17" s="12"/>
      <c r="H17" s="12"/>
      <c r="I17" s="12"/>
      <c r="J17" s="12"/>
      <c r="K17" s="12"/>
      <c r="L17" s="12"/>
      <c r="M17" s="12"/>
      <c r="N17" s="12"/>
      <c r="O17" s="12"/>
      <c r="P17" s="12"/>
      <c r="Q17" s="12"/>
      <c r="R17" s="12"/>
    </row>
    <row r="19" spans="1:18" x14ac:dyDescent="0.25">
      <c r="A19" s="9"/>
      <c r="C19" s="10" t="s">
        <v>154</v>
      </c>
      <c r="D19" s="11">
        <v>2020</v>
      </c>
      <c r="E19" s="11">
        <v>2019</v>
      </c>
      <c r="F19" s="11">
        <v>2018</v>
      </c>
      <c r="G19" s="11">
        <v>2017</v>
      </c>
      <c r="H19" s="11">
        <v>2016</v>
      </c>
      <c r="I19" s="11">
        <v>2015</v>
      </c>
      <c r="J19" s="11">
        <v>2014</v>
      </c>
      <c r="K19" s="11">
        <v>2013</v>
      </c>
      <c r="L19" s="11">
        <v>2012</v>
      </c>
      <c r="M19" s="11">
        <v>2011</v>
      </c>
      <c r="N19" s="11">
        <v>2010</v>
      </c>
      <c r="O19" s="11">
        <v>2009</v>
      </c>
      <c r="P19" s="11">
        <v>2008</v>
      </c>
      <c r="Q19" s="11">
        <v>2007</v>
      </c>
      <c r="R19" s="11">
        <v>2006</v>
      </c>
    </row>
    <row r="20" spans="1:18" x14ac:dyDescent="0.25">
      <c r="A20" s="6"/>
      <c r="C20" s="6"/>
      <c r="D20" s="12"/>
      <c r="E20" s="12"/>
      <c r="F20" s="12"/>
      <c r="G20" s="12"/>
      <c r="H20" s="12"/>
      <c r="I20" s="12"/>
      <c r="J20" s="12"/>
      <c r="K20" s="12"/>
      <c r="L20" s="12"/>
      <c r="M20" s="12"/>
      <c r="N20" s="12"/>
      <c r="O20" s="12"/>
      <c r="P20" s="12"/>
      <c r="Q20" s="12"/>
      <c r="R20" s="12"/>
    </row>
    <row r="21" spans="1:18" x14ac:dyDescent="0.25">
      <c r="A21" s="6" t="s">
        <v>235</v>
      </c>
      <c r="C21" s="6" t="s">
        <v>164</v>
      </c>
      <c r="D21" s="12">
        <f>-88-29771-7100-D9</f>
        <v>-36952</v>
      </c>
      <c r="E21" s="12">
        <f>-72-34114-8215-E9</f>
        <v>-42385</v>
      </c>
      <c r="F21" s="12">
        <f>-45-31045-7467-F9</f>
        <v>-38543</v>
      </c>
      <c r="G21" s="12">
        <f>-48-28620-6979-G9</f>
        <v>-35634</v>
      </c>
      <c r="H21" s="12">
        <f>-32579-H9</f>
        <v>-32561</v>
      </c>
      <c r="I21" s="12">
        <f>-29973-I9</f>
        <v>-29952</v>
      </c>
      <c r="J21" s="12">
        <f>-25074-J9</f>
        <v>-25048</v>
      </c>
      <c r="K21" s="12">
        <f>-21445-K9</f>
        <v>-21423</v>
      </c>
      <c r="L21" s="12">
        <f>-19918-L9</f>
        <v>-19893</v>
      </c>
      <c r="M21" s="12">
        <f>-140-14857-3537-M9</f>
        <v>-18505</v>
      </c>
      <c r="N21" s="12">
        <f>-115-13423-3102-N9</f>
        <v>-16628</v>
      </c>
      <c r="O21" s="12">
        <f>-125-14058-3335-O9</f>
        <v>-17507</v>
      </c>
      <c r="P21" s="12">
        <f>-101-11696-2697-P9</f>
        <v>-14484</v>
      </c>
      <c r="Q21" s="12">
        <f>-83-9846-2247-Q9</f>
        <v>-12168</v>
      </c>
      <c r="R21" s="12">
        <f>-82-8842-2076-R9</f>
        <v>-10991</v>
      </c>
    </row>
    <row r="22" spans="1:18" ht="30" x14ac:dyDescent="0.25">
      <c r="A22" s="6" t="s">
        <v>236</v>
      </c>
      <c r="C22" s="6" t="s">
        <v>165</v>
      </c>
      <c r="D22" s="12">
        <v>-1949</v>
      </c>
      <c r="E22" s="12">
        <v>-570</v>
      </c>
      <c r="F22" s="12">
        <v>-558</v>
      </c>
      <c r="G22" s="12">
        <v>-736</v>
      </c>
      <c r="H22" s="12">
        <v>-847</v>
      </c>
      <c r="I22" s="12">
        <v>-725</v>
      </c>
      <c r="J22" s="12">
        <v>-568</v>
      </c>
      <c r="K22" s="12">
        <v>-470</v>
      </c>
      <c r="L22" s="12">
        <v>-415</v>
      </c>
      <c r="M22" s="12">
        <v>-366</v>
      </c>
      <c r="N22" s="12">
        <v>-336</v>
      </c>
      <c r="O22" s="12">
        <v>-310</v>
      </c>
      <c r="P22" s="12">
        <v>-245</v>
      </c>
      <c r="Q22" s="12">
        <v>-203</v>
      </c>
      <c r="R22" s="12">
        <v>-172</v>
      </c>
    </row>
    <row r="23" spans="1:18" ht="30" x14ac:dyDescent="0.25">
      <c r="A23" s="6" t="s">
        <v>236</v>
      </c>
      <c r="C23" s="6" t="s">
        <v>166</v>
      </c>
      <c r="D23" s="12">
        <v>-22755</v>
      </c>
      <c r="E23" s="12">
        <v>-9887</v>
      </c>
      <c r="F23" s="12">
        <v>-8566</v>
      </c>
      <c r="G23" s="12">
        <v>-7175</v>
      </c>
      <c r="H23" s="12">
        <v>-6256</v>
      </c>
      <c r="I23" s="12">
        <v>-5262</v>
      </c>
      <c r="J23" s="12">
        <v>-4159</v>
      </c>
      <c r="K23" s="12">
        <v>-3463</v>
      </c>
      <c r="L23" s="12">
        <v>-3065</v>
      </c>
      <c r="M23" s="12">
        <v>-2698</v>
      </c>
      <c r="N23" s="12">
        <v>-2540</v>
      </c>
      <c r="O23" s="12">
        <v>-2350</v>
      </c>
      <c r="P23" s="12">
        <v>-1505</v>
      </c>
      <c r="Q23" s="12">
        <v>-1505</v>
      </c>
      <c r="R23" s="12">
        <v>-1374</v>
      </c>
    </row>
    <row r="24" spans="1:18" ht="30" x14ac:dyDescent="0.25">
      <c r="A24" s="6" t="s">
        <v>236</v>
      </c>
      <c r="C24" s="6" t="s">
        <v>167</v>
      </c>
      <c r="D24" s="12">
        <v>-1249</v>
      </c>
      <c r="E24" s="12">
        <v>-594</v>
      </c>
      <c r="F24" s="12">
        <v>-547</v>
      </c>
      <c r="G24" s="12">
        <v>-577</v>
      </c>
      <c r="H24" s="12">
        <v>-502</v>
      </c>
      <c r="I24" s="12">
        <v>-412</v>
      </c>
      <c r="J24" s="12">
        <v>-318</v>
      </c>
      <c r="K24" s="12">
        <v>-258</v>
      </c>
      <c r="L24" s="12">
        <v>-225</v>
      </c>
      <c r="M24" s="12">
        <v>-198</v>
      </c>
      <c r="N24" s="12">
        <v>-185</v>
      </c>
      <c r="O24" s="12">
        <v>-170</v>
      </c>
      <c r="P24" s="12">
        <v>-106</v>
      </c>
      <c r="Q24" s="12">
        <v>-132</v>
      </c>
      <c r="R24" s="12">
        <v>-78</v>
      </c>
    </row>
    <row r="25" spans="1:18" x14ac:dyDescent="0.25">
      <c r="A25" s="6" t="s">
        <v>234</v>
      </c>
      <c r="C25" s="6" t="s">
        <v>168</v>
      </c>
      <c r="D25" s="12">
        <f t="shared" ref="D25:R25" si="8">D4-D22</f>
        <v>-91538</v>
      </c>
      <c r="E25" s="12">
        <f t="shared" si="8"/>
        <v>-109732</v>
      </c>
      <c r="F25" s="12">
        <f t="shared" si="8"/>
        <v>-98955</v>
      </c>
      <c r="G25" s="12">
        <f t="shared" si="8"/>
        <v>-91178</v>
      </c>
      <c r="H25" s="12">
        <f t="shared" si="8"/>
        <v>-85243</v>
      </c>
      <c r="I25" s="12">
        <f t="shared" si="8"/>
        <v>-76969</v>
      </c>
      <c r="J25" s="12">
        <f t="shared" si="8"/>
        <v>-61799</v>
      </c>
      <c r="K25" s="12">
        <f t="shared" si="8"/>
        <v>-52059</v>
      </c>
      <c r="L25" s="12">
        <f t="shared" si="8"/>
        <v>-48513</v>
      </c>
      <c r="M25" s="12">
        <f t="shared" si="8"/>
        <v>-43486</v>
      </c>
      <c r="N25" s="12">
        <f t="shared" si="8"/>
        <v>-39878</v>
      </c>
      <c r="O25" s="12">
        <f t="shared" si="8"/>
        <v>-38609</v>
      </c>
      <c r="P25" s="12">
        <f t="shared" si="8"/>
        <v>-33819</v>
      </c>
      <c r="Q25" s="12">
        <f t="shared" si="8"/>
        <v>-30296</v>
      </c>
      <c r="R25" s="12">
        <f t="shared" si="8"/>
        <v>-27564</v>
      </c>
    </row>
    <row r="26" spans="1:18" x14ac:dyDescent="0.25">
      <c r="A26" s="6"/>
      <c r="C26" s="6"/>
      <c r="D26" s="12"/>
      <c r="E26" s="12"/>
      <c r="F26" s="12"/>
      <c r="G26" s="12"/>
      <c r="H26" s="12"/>
      <c r="I26" s="12"/>
      <c r="J26" s="12"/>
      <c r="K26" s="12"/>
      <c r="L26" s="12"/>
      <c r="M26" s="12"/>
      <c r="N26" s="12"/>
      <c r="O26" s="12"/>
      <c r="P26" s="12"/>
      <c r="Q26" s="12"/>
      <c r="R26" s="12"/>
    </row>
    <row r="27" spans="1:18" x14ac:dyDescent="0.25">
      <c r="A27" s="6"/>
      <c r="C27" s="6"/>
      <c r="D27" s="12"/>
      <c r="E27" s="12"/>
      <c r="F27" s="12"/>
      <c r="G27" s="12"/>
      <c r="H27" s="12"/>
      <c r="I27" s="12"/>
      <c r="J27" s="12"/>
      <c r="K27" s="12"/>
      <c r="L27" s="12"/>
      <c r="M27" s="12"/>
      <c r="N27" s="12"/>
      <c r="O27" s="12"/>
      <c r="P27" s="12"/>
      <c r="Q27" s="12"/>
      <c r="R27" s="12"/>
    </row>
    <row r="29" spans="1:18" x14ac:dyDescent="0.25">
      <c r="A29" s="9"/>
      <c r="C29" s="10" t="s">
        <v>155</v>
      </c>
      <c r="D29" s="11">
        <v>2020</v>
      </c>
      <c r="E29" s="11">
        <v>2019</v>
      </c>
      <c r="F29" s="11">
        <v>2018</v>
      </c>
      <c r="G29" s="11">
        <v>2017</v>
      </c>
      <c r="H29" s="11">
        <v>2016</v>
      </c>
      <c r="I29" s="11">
        <v>2015</v>
      </c>
      <c r="J29" s="11">
        <v>2014</v>
      </c>
      <c r="K29" s="11">
        <v>2013</v>
      </c>
      <c r="L29" s="11">
        <v>2012</v>
      </c>
      <c r="M29" s="11">
        <v>2011</v>
      </c>
      <c r="N29" s="11">
        <v>2010</v>
      </c>
      <c r="O29" s="11">
        <v>2009</v>
      </c>
      <c r="P29" s="11">
        <v>2008</v>
      </c>
      <c r="Q29" s="11">
        <v>2007</v>
      </c>
      <c r="R29" s="11">
        <v>2006</v>
      </c>
    </row>
    <row r="30" spans="1:18" x14ac:dyDescent="0.25">
      <c r="C30" s="16"/>
      <c r="D30" s="11"/>
      <c r="E30" s="11"/>
      <c r="F30" s="11"/>
      <c r="G30" s="11"/>
      <c r="H30" s="11"/>
      <c r="I30" s="11"/>
      <c r="J30" s="11"/>
      <c r="K30" s="11"/>
      <c r="L30" s="11"/>
      <c r="M30" s="11"/>
      <c r="N30" s="11"/>
      <c r="O30" s="11"/>
      <c r="P30" s="11"/>
      <c r="Q30" s="11"/>
      <c r="R30" s="11"/>
    </row>
    <row r="31" spans="1:18" x14ac:dyDescent="0.25">
      <c r="A31" s="6" t="s">
        <v>15</v>
      </c>
      <c r="C31" s="6" t="s">
        <v>169</v>
      </c>
      <c r="D31" s="12">
        <v>0</v>
      </c>
      <c r="E31" s="12">
        <v>0</v>
      </c>
      <c r="F31" s="12">
        <v>0</v>
      </c>
      <c r="G31" s="12">
        <v>18</v>
      </c>
      <c r="H31" s="12">
        <v>66</v>
      </c>
      <c r="I31" s="12">
        <v>114</v>
      </c>
      <c r="J31" s="12">
        <v>161</v>
      </c>
      <c r="K31" s="12">
        <v>208</v>
      </c>
      <c r="L31" s="12">
        <v>255</v>
      </c>
      <c r="M31" s="12">
        <v>302</v>
      </c>
      <c r="N31" s="12">
        <v>349</v>
      </c>
      <c r="O31" s="12">
        <v>396</v>
      </c>
      <c r="P31" s="12">
        <v>443</v>
      </c>
      <c r="Q31" s="12">
        <v>0</v>
      </c>
      <c r="R31" s="12">
        <v>0</v>
      </c>
    </row>
    <row r="32" spans="1:18" x14ac:dyDescent="0.25">
      <c r="A32" s="6" t="s">
        <v>15</v>
      </c>
      <c r="C32" s="6" t="s">
        <v>170</v>
      </c>
      <c r="D32" s="12">
        <v>0</v>
      </c>
      <c r="E32" s="12">
        <v>0</v>
      </c>
      <c r="F32" s="12">
        <v>0</v>
      </c>
      <c r="G32" s="12">
        <v>8</v>
      </c>
      <c r="H32" s="12">
        <v>20</v>
      </c>
      <c r="I32" s="12">
        <v>32</v>
      </c>
      <c r="J32" s="12">
        <v>45</v>
      </c>
      <c r="K32" s="12">
        <v>58</v>
      </c>
      <c r="L32" s="12">
        <v>71</v>
      </c>
      <c r="M32" s="12">
        <v>84</v>
      </c>
      <c r="N32" s="12">
        <v>97</v>
      </c>
      <c r="O32" s="12">
        <v>110</v>
      </c>
      <c r="P32" s="12">
        <v>123</v>
      </c>
      <c r="Q32" s="12">
        <v>0</v>
      </c>
      <c r="R32" s="12">
        <v>0</v>
      </c>
    </row>
    <row r="33" spans="1:18" x14ac:dyDescent="0.25">
      <c r="A33" s="6" t="s">
        <v>14</v>
      </c>
      <c r="C33" s="6" t="s">
        <v>223</v>
      </c>
      <c r="D33" s="12">
        <v>191</v>
      </c>
      <c r="E33" s="12">
        <v>411</v>
      </c>
      <c r="F33" s="12">
        <v>508</v>
      </c>
      <c r="G33" s="12">
        <v>592</v>
      </c>
      <c r="H33" s="12">
        <v>630</v>
      </c>
      <c r="I33" s="12">
        <v>660</v>
      </c>
      <c r="J33" s="12">
        <v>509</v>
      </c>
      <c r="K33" s="12">
        <v>591</v>
      </c>
      <c r="L33" s="12">
        <v>537</v>
      </c>
      <c r="M33" s="12">
        <v>585</v>
      </c>
      <c r="N33" s="12">
        <v>688</v>
      </c>
      <c r="O33" s="12">
        <v>744</v>
      </c>
      <c r="P33" s="12">
        <v>659</v>
      </c>
      <c r="Q33" s="12">
        <v>266</v>
      </c>
      <c r="R33" s="12">
        <v>222</v>
      </c>
    </row>
    <row r="34" spans="1:18" x14ac:dyDescent="0.25">
      <c r="A34" s="6" t="s">
        <v>15</v>
      </c>
      <c r="C34" s="6" t="s">
        <v>171</v>
      </c>
      <c r="D34" s="12">
        <v>64</v>
      </c>
      <c r="E34" s="12">
        <v>64</v>
      </c>
      <c r="F34" s="12">
        <v>64</v>
      </c>
      <c r="G34" s="12">
        <v>64</v>
      </c>
      <c r="H34" s="4">
        <v>64</v>
      </c>
      <c r="I34" s="12">
        <v>64</v>
      </c>
      <c r="J34" s="12">
        <v>64</v>
      </c>
      <c r="K34" s="12">
        <v>64</v>
      </c>
      <c r="L34" s="12">
        <v>64</v>
      </c>
      <c r="M34" s="12">
        <v>64</v>
      </c>
      <c r="N34" s="12">
        <v>64</v>
      </c>
      <c r="O34" s="12">
        <v>424</v>
      </c>
      <c r="P34" s="12">
        <v>431</v>
      </c>
      <c r="Q34" s="12">
        <v>0</v>
      </c>
      <c r="R34" s="12">
        <v>0</v>
      </c>
    </row>
    <row r="35" spans="1:18" x14ac:dyDescent="0.25">
      <c r="A35" s="6" t="s">
        <v>15</v>
      </c>
      <c r="C35" s="6" t="s">
        <v>224</v>
      </c>
      <c r="D35" s="12">
        <v>10177</v>
      </c>
      <c r="E35" s="12">
        <v>10973</v>
      </c>
      <c r="F35" s="12">
        <v>9046</v>
      </c>
      <c r="G35" s="12">
        <v>6361</v>
      </c>
      <c r="H35" s="12">
        <v>4567</v>
      </c>
      <c r="I35" s="12">
        <v>3245</v>
      </c>
      <c r="J35" s="12">
        <v>2183</v>
      </c>
      <c r="K35" s="12">
        <v>1355</v>
      </c>
      <c r="L35" s="12">
        <v>631</v>
      </c>
      <c r="M35" s="12">
        <v>0</v>
      </c>
      <c r="N35" s="12">
        <v>0</v>
      </c>
      <c r="O35" s="12">
        <v>0</v>
      </c>
      <c r="P35" s="12">
        <v>0</v>
      </c>
      <c r="Q35" s="12">
        <v>0</v>
      </c>
      <c r="R35" s="12">
        <v>0</v>
      </c>
    </row>
    <row r="36" spans="1:18" x14ac:dyDescent="0.25">
      <c r="A36" s="6" t="s">
        <v>14</v>
      </c>
      <c r="C36" s="6" t="s">
        <v>172</v>
      </c>
      <c r="D36" s="12">
        <v>745</v>
      </c>
      <c r="E36" s="12">
        <v>813</v>
      </c>
      <c r="F36" s="12">
        <v>831</v>
      </c>
      <c r="G36" s="12">
        <v>824</v>
      </c>
      <c r="H36" s="12">
        <v>850</v>
      </c>
      <c r="I36" s="12">
        <v>797</v>
      </c>
      <c r="J36" s="12">
        <v>804</v>
      </c>
      <c r="K36" s="12">
        <v>814</v>
      </c>
      <c r="L36" s="12">
        <v>805</v>
      </c>
      <c r="M36" s="12">
        <v>804</v>
      </c>
      <c r="N36" s="12">
        <v>656</v>
      </c>
      <c r="O36" s="12">
        <v>492</v>
      </c>
      <c r="P36" s="12">
        <v>480</v>
      </c>
      <c r="Q36" s="12">
        <v>466</v>
      </c>
      <c r="R36" s="12">
        <v>420</v>
      </c>
    </row>
    <row r="37" spans="1:18" x14ac:dyDescent="0.25">
      <c r="A37" s="6" t="s">
        <v>14</v>
      </c>
      <c r="C37" s="6" t="s">
        <v>173</v>
      </c>
      <c r="D37" s="12">
        <v>30894</v>
      </c>
      <c r="E37" s="12">
        <v>40079</v>
      </c>
      <c r="F37" s="12">
        <v>41608</v>
      </c>
      <c r="G37" s="12">
        <v>38994</v>
      </c>
      <c r="H37" s="12">
        <v>37843</v>
      </c>
      <c r="I37" s="12">
        <v>32165</v>
      </c>
      <c r="J37" s="12">
        <v>26144</v>
      </c>
      <c r="K37" s="12">
        <v>21372</v>
      </c>
      <c r="L37" s="12">
        <v>18326</v>
      </c>
      <c r="M37" s="12">
        <v>16589</v>
      </c>
      <c r="N37" s="12">
        <v>14813</v>
      </c>
      <c r="O37" s="12">
        <v>14319</v>
      </c>
      <c r="P37" s="12">
        <v>11961</v>
      </c>
      <c r="Q37" s="12">
        <v>8821</v>
      </c>
      <c r="R37" s="12">
        <v>7134</v>
      </c>
    </row>
    <row r="38" spans="1:18" x14ac:dyDescent="0.25">
      <c r="A38" s="6" t="s">
        <v>14</v>
      </c>
      <c r="C38" s="6" t="s">
        <v>288</v>
      </c>
      <c r="D38" s="12">
        <v>59535</v>
      </c>
      <c r="E38" s="12"/>
      <c r="F38" s="12"/>
      <c r="G38" s="12"/>
      <c r="H38" s="12"/>
      <c r="I38" s="12"/>
      <c r="J38" s="12"/>
      <c r="K38" s="12"/>
      <c r="L38" s="12"/>
      <c r="M38" s="12"/>
      <c r="N38" s="12"/>
      <c r="O38" s="12"/>
      <c r="P38" s="12"/>
      <c r="Q38" s="12"/>
      <c r="R38" s="12"/>
    </row>
    <row r="39" spans="1:18" x14ac:dyDescent="0.25">
      <c r="A39" s="6" t="s">
        <v>34</v>
      </c>
      <c r="C39" s="6" t="s">
        <v>289</v>
      </c>
      <c r="D39" s="12">
        <v>247</v>
      </c>
      <c r="E39" s="12">
        <v>210</v>
      </c>
      <c r="F39" s="12">
        <v>126</v>
      </c>
      <c r="G39" s="12"/>
      <c r="H39" s="12"/>
      <c r="I39" s="12"/>
      <c r="J39" s="12"/>
      <c r="K39" s="12"/>
      <c r="L39" s="12"/>
      <c r="M39" s="12"/>
      <c r="N39" s="12"/>
      <c r="O39" s="12"/>
      <c r="P39" s="12"/>
      <c r="Q39" s="12"/>
      <c r="R39" s="12"/>
    </row>
    <row r="40" spans="1:18" x14ac:dyDescent="0.25">
      <c r="A40" s="6" t="s">
        <v>26</v>
      </c>
      <c r="C40" s="6" t="s">
        <v>298</v>
      </c>
      <c r="D40" s="12">
        <v>539</v>
      </c>
      <c r="E40" s="12">
        <v>429</v>
      </c>
      <c r="F40" s="12">
        <v>352</v>
      </c>
      <c r="G40" s="12"/>
      <c r="H40" s="12"/>
      <c r="I40" s="12"/>
      <c r="J40" s="12"/>
      <c r="K40" s="12"/>
      <c r="L40" s="12"/>
      <c r="M40" s="12"/>
      <c r="N40" s="12"/>
      <c r="O40" s="12"/>
      <c r="P40" s="12"/>
      <c r="Q40" s="12"/>
      <c r="R40" s="12"/>
    </row>
    <row r="41" spans="1:18" x14ac:dyDescent="0.25">
      <c r="A41" s="6" t="s">
        <v>26</v>
      </c>
      <c r="C41" s="6" t="s">
        <v>174</v>
      </c>
      <c r="D41" s="12">
        <v>907</v>
      </c>
      <c r="E41" s="12">
        <v>912</v>
      </c>
      <c r="F41" s="12">
        <v>885</v>
      </c>
      <c r="G41" s="12">
        <v>1039</v>
      </c>
      <c r="H41" s="12">
        <v>1014</v>
      </c>
      <c r="I41" s="12">
        <v>862</v>
      </c>
      <c r="J41" s="12">
        <v>709</v>
      </c>
      <c r="K41" s="12">
        <v>659</v>
      </c>
      <c r="L41" s="12">
        <v>628</v>
      </c>
      <c r="M41" s="12">
        <v>608</v>
      </c>
      <c r="N41" s="12">
        <v>518</v>
      </c>
      <c r="O41" s="12">
        <v>551</v>
      </c>
      <c r="P41" s="12">
        <v>476</v>
      </c>
      <c r="Q41" s="12">
        <v>253</v>
      </c>
      <c r="R41" s="12">
        <v>155</v>
      </c>
    </row>
    <row r="42" spans="1:18" x14ac:dyDescent="0.25">
      <c r="A42" s="6" t="s">
        <v>242</v>
      </c>
      <c r="C42" s="6" t="s">
        <v>175</v>
      </c>
      <c r="D42" s="13">
        <v>5714</v>
      </c>
      <c r="E42" s="13">
        <v>4322</v>
      </c>
      <c r="F42" s="13">
        <v>3794</v>
      </c>
      <c r="G42" s="13">
        <v>2916</v>
      </c>
      <c r="H42" s="13">
        <v>2862</v>
      </c>
      <c r="I42" s="13">
        <v>2338</v>
      </c>
      <c r="J42" s="13">
        <v>2237</v>
      </c>
      <c r="K42" s="13">
        <v>1367</v>
      </c>
      <c r="L42" s="13">
        <v>1624</v>
      </c>
      <c r="M42" s="13">
        <v>1234</v>
      </c>
      <c r="N42" s="13">
        <v>1065</v>
      </c>
      <c r="O42" s="13">
        <v>1246</v>
      </c>
      <c r="P42" s="13">
        <v>1299</v>
      </c>
      <c r="Q42" s="13">
        <v>883</v>
      </c>
      <c r="R42" s="13">
        <v>102</v>
      </c>
    </row>
    <row r="43" spans="1:18" x14ac:dyDescent="0.25">
      <c r="A43" s="6"/>
      <c r="C43" s="14" t="s">
        <v>176</v>
      </c>
      <c r="D43" s="15">
        <f t="shared" ref="D43:J43" si="9">SUM(D31:D42)</f>
        <v>109013</v>
      </c>
      <c r="E43" s="15">
        <f t="shared" si="9"/>
        <v>58213</v>
      </c>
      <c r="F43" s="15">
        <f t="shared" si="9"/>
        <v>57214</v>
      </c>
      <c r="G43" s="15">
        <f t="shared" si="9"/>
        <v>50816</v>
      </c>
      <c r="H43" s="15">
        <f t="shared" si="9"/>
        <v>47916</v>
      </c>
      <c r="I43" s="15">
        <f t="shared" si="9"/>
        <v>40277</v>
      </c>
      <c r="J43" s="15">
        <f t="shared" si="9"/>
        <v>32856</v>
      </c>
      <c r="K43" s="15">
        <f t="shared" ref="K43:R43" si="10">SUM(K31:K42)</f>
        <v>26488</v>
      </c>
      <c r="L43" s="15">
        <f t="shared" si="10"/>
        <v>22941</v>
      </c>
      <c r="M43" s="15">
        <f t="shared" si="10"/>
        <v>20270</v>
      </c>
      <c r="N43" s="15">
        <f t="shared" si="10"/>
        <v>18250</v>
      </c>
      <c r="O43" s="15">
        <f t="shared" si="10"/>
        <v>18282</v>
      </c>
      <c r="P43" s="15">
        <f t="shared" si="10"/>
        <v>15872</v>
      </c>
      <c r="Q43" s="15">
        <f t="shared" si="10"/>
        <v>10689</v>
      </c>
      <c r="R43" s="15">
        <f t="shared" si="10"/>
        <v>8033</v>
      </c>
    </row>
    <row r="44" spans="1:18" x14ac:dyDescent="0.25">
      <c r="A44" s="6"/>
      <c r="C44" s="6"/>
      <c r="D44" s="12"/>
      <c r="E44" s="12"/>
      <c r="F44" s="12"/>
      <c r="G44" s="12"/>
      <c r="H44" s="12"/>
      <c r="I44" s="12"/>
      <c r="J44" s="12"/>
      <c r="K44" s="12"/>
      <c r="L44" s="12"/>
      <c r="M44" s="12"/>
      <c r="N44" s="12"/>
      <c r="O44" s="12"/>
      <c r="P44" s="12"/>
      <c r="Q44" s="12"/>
      <c r="R44" s="12"/>
    </row>
    <row r="45" spans="1:18" x14ac:dyDescent="0.25">
      <c r="A45" s="6" t="s">
        <v>0</v>
      </c>
      <c r="C45" s="6" t="s">
        <v>177</v>
      </c>
      <c r="D45" s="12">
        <v>38209</v>
      </c>
      <c r="E45" s="12">
        <v>37823</v>
      </c>
      <c r="F45" s="12">
        <v>37721</v>
      </c>
      <c r="G45" s="12">
        <v>33712</v>
      </c>
      <c r="H45" s="12">
        <v>31732</v>
      </c>
      <c r="I45" s="12">
        <v>24833</v>
      </c>
      <c r="J45" s="12">
        <v>19403</v>
      </c>
      <c r="K45" s="12">
        <v>16695</v>
      </c>
      <c r="L45" s="12">
        <v>15213</v>
      </c>
      <c r="M45" s="12">
        <v>13819</v>
      </c>
      <c r="N45" s="12">
        <v>11487</v>
      </c>
      <c r="O45" s="12">
        <v>10240</v>
      </c>
      <c r="P45" s="12">
        <v>8500</v>
      </c>
      <c r="Q45" s="12">
        <v>7969</v>
      </c>
      <c r="R45" s="12">
        <v>7220</v>
      </c>
    </row>
    <row r="46" spans="1:18" x14ac:dyDescent="0.25">
      <c r="A46" s="6" t="s">
        <v>13</v>
      </c>
      <c r="C46" s="6" t="s">
        <v>178</v>
      </c>
      <c r="D46" s="12">
        <v>3086</v>
      </c>
      <c r="E46" s="12">
        <v>5879</v>
      </c>
      <c r="F46" s="12">
        <v>6329</v>
      </c>
      <c r="G46" s="12">
        <v>5297</v>
      </c>
      <c r="H46" s="12">
        <v>4881</v>
      </c>
      <c r="I46" s="12">
        <v>4021</v>
      </c>
      <c r="J46" s="12">
        <v>3659</v>
      </c>
      <c r="K46" s="12">
        <v>3107</v>
      </c>
      <c r="L46" s="12">
        <v>2207</v>
      </c>
      <c r="M46" s="12">
        <v>2337</v>
      </c>
      <c r="N46" s="12">
        <v>2258</v>
      </c>
      <c r="O46" s="12">
        <v>1990</v>
      </c>
      <c r="P46" s="12">
        <v>1991</v>
      </c>
      <c r="Q46" s="12">
        <v>1122</v>
      </c>
      <c r="R46" s="12">
        <v>865</v>
      </c>
    </row>
    <row r="47" spans="1:18" x14ac:dyDescent="0.25">
      <c r="A47" s="6" t="s">
        <v>3</v>
      </c>
      <c r="C47" s="6" t="s">
        <v>225</v>
      </c>
      <c r="D47" s="12">
        <v>1686</v>
      </c>
      <c r="E47" s="12">
        <v>1555</v>
      </c>
      <c r="F47" s="12">
        <v>1448</v>
      </c>
      <c r="G47" s="12">
        <v>2375</v>
      </c>
      <c r="H47" s="12">
        <v>0</v>
      </c>
      <c r="I47" s="12">
        <v>0</v>
      </c>
      <c r="J47" s="12">
        <v>0</v>
      </c>
      <c r="K47" s="12">
        <v>0</v>
      </c>
      <c r="L47" s="12">
        <v>0</v>
      </c>
      <c r="M47" s="12">
        <v>0</v>
      </c>
      <c r="N47" s="12">
        <v>0</v>
      </c>
      <c r="O47" s="12">
        <v>0</v>
      </c>
      <c r="P47" s="12">
        <v>0</v>
      </c>
      <c r="Q47" s="12">
        <v>0</v>
      </c>
      <c r="R47" s="12"/>
    </row>
    <row r="48" spans="1:18" x14ac:dyDescent="0.25">
      <c r="A48" s="6" t="s">
        <v>3</v>
      </c>
      <c r="C48" s="6" t="s">
        <v>179</v>
      </c>
      <c r="D48" s="12">
        <f>2397-D49</f>
        <v>1667</v>
      </c>
      <c r="E48" s="12">
        <f>1736-E49</f>
        <v>1075</v>
      </c>
      <c r="F48" s="12">
        <f>1607-F49</f>
        <v>1235</v>
      </c>
      <c r="G48" s="12">
        <f>1874-G49</f>
        <v>1377</v>
      </c>
      <c r="H48" s="12">
        <f>2533-H49</f>
        <v>1685</v>
      </c>
      <c r="I48" s="12">
        <f>1469+379-I49</f>
        <v>1141</v>
      </c>
      <c r="J48" s="12">
        <v>1027</v>
      </c>
      <c r="K48" s="12">
        <f>907-186</f>
        <v>721</v>
      </c>
      <c r="L48" s="12">
        <f>1533-158</f>
        <v>1375</v>
      </c>
      <c r="M48" s="12">
        <f>1375-456</f>
        <v>919</v>
      </c>
      <c r="N48" s="12">
        <f>1453-457</f>
        <v>996</v>
      </c>
      <c r="O48" s="12">
        <f>889-260</f>
        <v>629</v>
      </c>
      <c r="P48" s="12">
        <f>1206-660</f>
        <v>546</v>
      </c>
      <c r="Q48" s="12">
        <f>356-7</f>
        <v>349</v>
      </c>
      <c r="R48" s="12">
        <v>249</v>
      </c>
    </row>
    <row r="49" spans="1:18" x14ac:dyDescent="0.25">
      <c r="A49" s="6" t="s">
        <v>27</v>
      </c>
      <c r="C49" s="6" t="s">
        <v>180</v>
      </c>
      <c r="D49" s="12">
        <v>730</v>
      </c>
      <c r="E49" s="12">
        <v>661</v>
      </c>
      <c r="F49" s="12">
        <v>372</v>
      </c>
      <c r="G49" s="12">
        <v>497</v>
      </c>
      <c r="H49" s="12">
        <v>848</v>
      </c>
      <c r="I49" s="12">
        <v>707</v>
      </c>
      <c r="J49" s="12">
        <v>443</v>
      </c>
      <c r="K49" s="12">
        <f>186</f>
        <v>186</v>
      </c>
      <c r="L49" s="12">
        <v>158</v>
      </c>
      <c r="M49" s="12">
        <v>456</v>
      </c>
      <c r="N49" s="12">
        <v>457</v>
      </c>
      <c r="O49" s="12">
        <v>260</v>
      </c>
      <c r="P49" s="12">
        <v>660</v>
      </c>
      <c r="Q49" s="12">
        <v>7</v>
      </c>
      <c r="R49" s="12">
        <v>0</v>
      </c>
    </row>
    <row r="50" spans="1:18" x14ac:dyDescent="0.25">
      <c r="A50" s="6" t="s">
        <v>3</v>
      </c>
      <c r="C50" s="6" t="s">
        <v>181</v>
      </c>
      <c r="D50" s="12">
        <v>3440</v>
      </c>
      <c r="E50" s="12">
        <v>2967</v>
      </c>
      <c r="F50" s="12">
        <v>2881</v>
      </c>
      <c r="G50" s="12">
        <v>2770</v>
      </c>
      <c r="H50" s="12">
        <v>2071</v>
      </c>
      <c r="I50" s="12">
        <v>1884</v>
      </c>
      <c r="J50" s="12">
        <v>1516</v>
      </c>
      <c r="K50" s="12">
        <v>1255</v>
      </c>
      <c r="L50" s="12">
        <v>1136</v>
      </c>
      <c r="M50" s="12">
        <v>1110</v>
      </c>
      <c r="N50" s="12">
        <v>876</v>
      </c>
      <c r="O50" s="12">
        <v>937</v>
      </c>
      <c r="P50" s="12">
        <v>948</v>
      </c>
      <c r="Q50" s="12">
        <v>634</v>
      </c>
      <c r="R50" s="12">
        <v>563</v>
      </c>
    </row>
    <row r="51" spans="1:18" x14ac:dyDescent="0.25">
      <c r="A51" s="6" t="s">
        <v>241</v>
      </c>
      <c r="C51" s="6" t="s">
        <v>182</v>
      </c>
      <c r="D51" s="12">
        <v>960</v>
      </c>
      <c r="E51" s="12">
        <v>2242</v>
      </c>
      <c r="F51" s="12">
        <v>1162</v>
      </c>
      <c r="G51" s="12">
        <v>601</v>
      </c>
      <c r="H51" s="12">
        <v>1134</v>
      </c>
      <c r="I51" s="12">
        <v>1026</v>
      </c>
      <c r="J51" s="12">
        <v>2602</v>
      </c>
      <c r="K51" s="12">
        <v>3306</v>
      </c>
      <c r="L51" s="12">
        <v>2995</v>
      </c>
      <c r="M51" s="12">
        <v>6958</v>
      </c>
      <c r="N51" s="12">
        <v>8167</v>
      </c>
      <c r="O51" s="12">
        <v>3001</v>
      </c>
      <c r="P51" s="12">
        <v>0</v>
      </c>
      <c r="Q51" s="12">
        <v>4900</v>
      </c>
      <c r="R51" s="12">
        <v>8748</v>
      </c>
    </row>
    <row r="52" spans="1:18" x14ac:dyDescent="0.25">
      <c r="A52" s="6" t="s">
        <v>241</v>
      </c>
      <c r="C52" s="6" t="s">
        <v>230</v>
      </c>
      <c r="D52" s="13">
        <f>16540-D51</f>
        <v>15580</v>
      </c>
      <c r="E52" s="13">
        <v>10070</v>
      </c>
      <c r="F52" s="13">
        <v>10428</v>
      </c>
      <c r="G52" s="13">
        <v>9117</v>
      </c>
      <c r="H52" s="13">
        <v>8312</v>
      </c>
      <c r="I52" s="13">
        <v>11924</v>
      </c>
      <c r="J52" s="13">
        <v>14091</v>
      </c>
      <c r="K52" s="13">
        <v>13918</v>
      </c>
      <c r="L52" s="13">
        <v>14148</v>
      </c>
      <c r="M52" s="13">
        <v>14319</v>
      </c>
      <c r="N52" s="13">
        <v>16691</v>
      </c>
      <c r="O52" s="13">
        <v>19024</v>
      </c>
      <c r="P52" s="13">
        <v>22726</v>
      </c>
      <c r="Q52" s="13">
        <v>16064</v>
      </c>
      <c r="R52" s="13">
        <v>9877</v>
      </c>
    </row>
    <row r="53" spans="1:18" x14ac:dyDescent="0.25">
      <c r="A53" s="6"/>
      <c r="C53" s="14" t="s">
        <v>183</v>
      </c>
      <c r="D53" s="15">
        <f>SUM(D45:D52)</f>
        <v>65358</v>
      </c>
      <c r="E53" s="15">
        <f>SUM(E45:E52)</f>
        <v>62272</v>
      </c>
      <c r="F53" s="15">
        <f>SUM(F45:F52)</f>
        <v>61576</v>
      </c>
      <c r="G53" s="15">
        <f>SUM(G45:G52)</f>
        <v>55746</v>
      </c>
      <c r="H53" s="15">
        <f t="shared" ref="H53:R53" si="11">SUM(H45:H52)</f>
        <v>50663</v>
      </c>
      <c r="I53" s="15">
        <f t="shared" si="11"/>
        <v>45536</v>
      </c>
      <c r="J53" s="15">
        <f t="shared" si="11"/>
        <v>42741</v>
      </c>
      <c r="K53" s="15">
        <f t="shared" si="11"/>
        <v>39188</v>
      </c>
      <c r="L53" s="15">
        <f t="shared" si="11"/>
        <v>37232</v>
      </c>
      <c r="M53" s="15">
        <f t="shared" si="11"/>
        <v>39918</v>
      </c>
      <c r="N53" s="15">
        <f t="shared" si="11"/>
        <v>40932</v>
      </c>
      <c r="O53" s="15">
        <f t="shared" si="11"/>
        <v>36081</v>
      </c>
      <c r="P53" s="15">
        <f t="shared" si="11"/>
        <v>35371</v>
      </c>
      <c r="Q53" s="15">
        <f t="shared" si="11"/>
        <v>31045</v>
      </c>
      <c r="R53" s="15">
        <f t="shared" si="11"/>
        <v>27522</v>
      </c>
    </row>
    <row r="54" spans="1:18" x14ac:dyDescent="0.25">
      <c r="A54" s="6"/>
      <c r="C54" s="14"/>
      <c r="D54" s="15"/>
      <c r="E54" s="15"/>
      <c r="F54" s="15"/>
      <c r="G54" s="15"/>
      <c r="H54" s="15"/>
      <c r="I54" s="15"/>
      <c r="J54" s="15"/>
      <c r="K54" s="15"/>
      <c r="L54" s="15"/>
      <c r="M54" s="15"/>
      <c r="N54" s="15"/>
      <c r="O54" s="15"/>
      <c r="P54" s="15"/>
      <c r="Q54" s="15"/>
      <c r="R54" s="15"/>
    </row>
    <row r="55" spans="1:18" x14ac:dyDescent="0.25">
      <c r="A55" s="6" t="s">
        <v>5</v>
      </c>
      <c r="C55" s="14" t="s">
        <v>184</v>
      </c>
      <c r="D55" s="42">
        <f>D43+D53</f>
        <v>174371</v>
      </c>
      <c r="E55" s="42">
        <f>E43+E53</f>
        <v>120485</v>
      </c>
      <c r="F55" s="42">
        <f>F43+F53</f>
        <v>118790</v>
      </c>
      <c r="G55" s="42">
        <f>G43+G53</f>
        <v>106562</v>
      </c>
      <c r="H55" s="42">
        <f t="shared" ref="H55:R55" si="12">H43+H53</f>
        <v>98579</v>
      </c>
      <c r="I55" s="42">
        <f t="shared" si="12"/>
        <v>85813</v>
      </c>
      <c r="J55" s="42">
        <f t="shared" si="12"/>
        <v>75597</v>
      </c>
      <c r="K55" s="42">
        <f t="shared" si="12"/>
        <v>65676</v>
      </c>
      <c r="L55" s="42">
        <f t="shared" si="12"/>
        <v>60173</v>
      </c>
      <c r="M55" s="42">
        <f t="shared" si="12"/>
        <v>60188</v>
      </c>
      <c r="N55" s="42">
        <f t="shared" si="12"/>
        <v>59182</v>
      </c>
      <c r="O55" s="42">
        <f t="shared" si="12"/>
        <v>54363</v>
      </c>
      <c r="P55" s="42">
        <f t="shared" si="12"/>
        <v>51243</v>
      </c>
      <c r="Q55" s="42">
        <f t="shared" si="12"/>
        <v>41734</v>
      </c>
      <c r="R55" s="42">
        <f t="shared" si="12"/>
        <v>35555</v>
      </c>
    </row>
    <row r="56" spans="1:18" x14ac:dyDescent="0.25">
      <c r="A56" s="6"/>
      <c r="C56" s="6"/>
      <c r="D56" s="12"/>
      <c r="E56" s="12"/>
      <c r="F56" s="12"/>
      <c r="G56" s="12"/>
      <c r="H56" s="12"/>
      <c r="I56" s="12"/>
      <c r="J56" s="12"/>
      <c r="K56" s="12"/>
      <c r="L56" s="12"/>
      <c r="M56" s="12"/>
      <c r="N56" s="12"/>
      <c r="O56" s="12"/>
      <c r="P56" s="12"/>
      <c r="Q56" s="12"/>
      <c r="R56" s="12"/>
    </row>
    <row r="57" spans="1:18" x14ac:dyDescent="0.25">
      <c r="A57" s="6" t="s">
        <v>23</v>
      </c>
      <c r="C57" s="6" t="s">
        <v>185</v>
      </c>
      <c r="D57" s="12">
        <v>207</v>
      </c>
      <c r="E57" s="12">
        <v>207</v>
      </c>
      <c r="F57" s="12">
        <v>207</v>
      </c>
      <c r="G57" s="12">
        <v>207</v>
      </c>
      <c r="H57" s="12">
        <v>207</v>
      </c>
      <c r="I57" s="12">
        <v>207</v>
      </c>
      <c r="J57" s="12">
        <v>207</v>
      </c>
      <c r="K57" s="12">
        <v>207</v>
      </c>
      <c r="L57" s="12">
        <v>207</v>
      </c>
      <c r="M57" s="12">
        <v>207</v>
      </c>
      <c r="N57" s="12">
        <v>207</v>
      </c>
      <c r="O57" s="12">
        <v>207</v>
      </c>
      <c r="P57" s="12">
        <v>207</v>
      </c>
      <c r="Q57" s="12">
        <v>207</v>
      </c>
      <c r="R57" s="12">
        <v>207</v>
      </c>
    </row>
    <row r="58" spans="1:18" x14ac:dyDescent="0.25">
      <c r="A58" s="6" t="s">
        <v>23</v>
      </c>
      <c r="C58" s="6" t="s">
        <v>186</v>
      </c>
      <c r="D58" s="12">
        <v>990</v>
      </c>
      <c r="E58" s="12">
        <v>4592</v>
      </c>
      <c r="F58" s="12">
        <v>3322</v>
      </c>
      <c r="G58" s="12">
        <v>1015</v>
      </c>
      <c r="H58" s="12">
        <v>2651</v>
      </c>
      <c r="I58" s="12">
        <v>1904</v>
      </c>
      <c r="J58" s="12">
        <v>204</v>
      </c>
      <c r="K58" s="12">
        <v>-1916</v>
      </c>
      <c r="L58" s="12">
        <v>-1900</v>
      </c>
      <c r="M58" s="12">
        <v>-487</v>
      </c>
      <c r="N58" s="12">
        <v>-369</v>
      </c>
      <c r="O58" s="12">
        <v>1514</v>
      </c>
      <c r="P58" s="12">
        <v>1410</v>
      </c>
      <c r="Q58" s="12">
        <v>263</v>
      </c>
      <c r="R58" s="12">
        <v>22</v>
      </c>
    </row>
    <row r="59" spans="1:18" x14ac:dyDescent="0.25">
      <c r="A59" s="6" t="s">
        <v>23</v>
      </c>
      <c r="C59" s="6" t="s">
        <v>187</v>
      </c>
      <c r="D59" s="13">
        <v>53426</v>
      </c>
      <c r="E59" s="13">
        <v>52270</v>
      </c>
      <c r="F59" s="13">
        <v>55017</v>
      </c>
      <c r="G59" s="13">
        <v>58491</v>
      </c>
      <c r="H59" s="13">
        <v>58378</v>
      </c>
      <c r="I59" s="13">
        <v>55938</v>
      </c>
      <c r="J59" s="13">
        <v>51145</v>
      </c>
      <c r="K59" s="13">
        <v>46957</v>
      </c>
      <c r="L59" s="13">
        <v>45528</v>
      </c>
      <c r="M59" s="13">
        <v>44384</v>
      </c>
      <c r="N59" s="13">
        <v>44334</v>
      </c>
      <c r="O59" s="13">
        <v>38892</v>
      </c>
      <c r="P59" s="13">
        <v>35333</v>
      </c>
      <c r="Q59" s="13">
        <v>31623</v>
      </c>
      <c r="R59" s="13">
        <v>27550</v>
      </c>
    </row>
    <row r="60" spans="1:18" x14ac:dyDescent="0.25">
      <c r="A60" s="6"/>
      <c r="C60" s="14" t="s">
        <v>101</v>
      </c>
      <c r="D60" s="15">
        <f t="shared" ref="D60:R60" si="13">SUM(D57:D59)</f>
        <v>54623</v>
      </c>
      <c r="E60" s="15">
        <f t="shared" si="13"/>
        <v>57069</v>
      </c>
      <c r="F60" s="15">
        <f t="shared" si="13"/>
        <v>58546</v>
      </c>
      <c r="G60" s="15">
        <f t="shared" si="13"/>
        <v>59713</v>
      </c>
      <c r="H60" s="15">
        <f t="shared" si="13"/>
        <v>61236</v>
      </c>
      <c r="I60" s="15">
        <f t="shared" si="13"/>
        <v>58049</v>
      </c>
      <c r="J60" s="15">
        <f t="shared" si="13"/>
        <v>51556</v>
      </c>
      <c r="K60" s="15">
        <f t="shared" si="13"/>
        <v>45248</v>
      </c>
      <c r="L60" s="15">
        <f t="shared" si="13"/>
        <v>43835</v>
      </c>
      <c r="M60" s="15">
        <f t="shared" si="13"/>
        <v>44104</v>
      </c>
      <c r="N60" s="15">
        <f t="shared" si="13"/>
        <v>44172</v>
      </c>
      <c r="O60" s="15">
        <f t="shared" si="13"/>
        <v>40613</v>
      </c>
      <c r="P60" s="15">
        <f t="shared" si="13"/>
        <v>36950</v>
      </c>
      <c r="Q60" s="15">
        <f t="shared" si="13"/>
        <v>32093</v>
      </c>
      <c r="R60" s="15">
        <f t="shared" si="13"/>
        <v>27779</v>
      </c>
    </row>
    <row r="61" spans="1:18" x14ac:dyDescent="0.25">
      <c r="A61" s="6"/>
      <c r="C61" s="6"/>
      <c r="D61" s="12"/>
      <c r="E61" s="12"/>
      <c r="F61" s="12"/>
      <c r="G61" s="12"/>
      <c r="H61" s="12"/>
      <c r="I61" s="12"/>
      <c r="J61" s="12"/>
      <c r="K61" s="12"/>
      <c r="L61" s="12"/>
      <c r="M61" s="12"/>
      <c r="N61" s="12"/>
      <c r="O61" s="12"/>
      <c r="P61" s="12"/>
      <c r="Q61" s="12"/>
      <c r="R61" s="12"/>
    </row>
    <row r="62" spans="1:18" x14ac:dyDescent="0.25">
      <c r="A62" s="6" t="s">
        <v>18</v>
      </c>
      <c r="C62" s="6" t="s">
        <v>188</v>
      </c>
      <c r="D62" s="12">
        <v>612</v>
      </c>
      <c r="E62" s="12">
        <v>510</v>
      </c>
      <c r="F62" s="12">
        <v>445</v>
      </c>
      <c r="G62" s="12">
        <v>445</v>
      </c>
      <c r="H62" s="12">
        <v>527</v>
      </c>
      <c r="I62" s="12">
        <v>449</v>
      </c>
      <c r="J62" s="12">
        <v>451</v>
      </c>
      <c r="K62" s="12">
        <v>309</v>
      </c>
      <c r="L62" s="12">
        <v>377</v>
      </c>
      <c r="M62" s="12">
        <v>377</v>
      </c>
      <c r="N62" s="12">
        <v>257</v>
      </c>
      <c r="O62" s="12">
        <v>254</v>
      </c>
      <c r="P62" s="12">
        <v>228</v>
      </c>
      <c r="Q62" s="12">
        <v>156</v>
      </c>
      <c r="R62" s="12">
        <v>130</v>
      </c>
    </row>
    <row r="63" spans="1:18" x14ac:dyDescent="0.25">
      <c r="A63" s="6" t="s">
        <v>18</v>
      </c>
      <c r="C63" s="6" t="s">
        <v>189</v>
      </c>
      <c r="D63" s="12">
        <v>0</v>
      </c>
      <c r="E63" s="12">
        <v>0</v>
      </c>
      <c r="F63" s="12">
        <v>0</v>
      </c>
      <c r="G63" s="12">
        <v>0</v>
      </c>
      <c r="H63" s="12">
        <v>213</v>
      </c>
      <c r="I63" s="12">
        <v>0</v>
      </c>
      <c r="J63" s="12">
        <v>0</v>
      </c>
      <c r="K63" s="12">
        <v>0</v>
      </c>
      <c r="L63" s="12">
        <v>0</v>
      </c>
      <c r="M63" s="12">
        <v>0</v>
      </c>
      <c r="N63" s="12">
        <v>0</v>
      </c>
      <c r="O63" s="12">
        <v>0</v>
      </c>
      <c r="P63" s="12">
        <v>368</v>
      </c>
      <c r="Q63" s="12">
        <v>0</v>
      </c>
      <c r="R63" s="12">
        <v>0</v>
      </c>
    </row>
    <row r="64" spans="1:18" x14ac:dyDescent="0.25">
      <c r="A64" s="6" t="s">
        <v>18</v>
      </c>
      <c r="C64" s="6" t="s">
        <v>220</v>
      </c>
      <c r="D64" s="12">
        <v>50458</v>
      </c>
      <c r="E64" s="12">
        <v>234</v>
      </c>
      <c r="F64" s="12">
        <v>322</v>
      </c>
      <c r="G64" s="12">
        <v>350</v>
      </c>
      <c r="H64" s="12">
        <v>0</v>
      </c>
      <c r="I64" s="12">
        <v>0</v>
      </c>
      <c r="J64" s="12">
        <v>0</v>
      </c>
      <c r="K64" s="12">
        <v>0</v>
      </c>
      <c r="L64" s="12">
        <v>0</v>
      </c>
      <c r="M64" s="12">
        <v>0</v>
      </c>
      <c r="N64" s="12">
        <v>0</v>
      </c>
      <c r="O64" s="12">
        <v>0</v>
      </c>
      <c r="P64" s="12">
        <v>0</v>
      </c>
      <c r="Q64" s="12">
        <v>0</v>
      </c>
      <c r="R64" s="12">
        <v>0</v>
      </c>
    </row>
    <row r="65" spans="1:18" x14ac:dyDescent="0.25">
      <c r="A65" s="6" t="s">
        <v>18</v>
      </c>
      <c r="C65" s="6" t="s">
        <v>216</v>
      </c>
      <c r="D65" s="12">
        <v>8433</v>
      </c>
      <c r="E65" s="12">
        <v>10413</v>
      </c>
      <c r="F65" s="12">
        <v>10170</v>
      </c>
      <c r="G65" s="12"/>
      <c r="H65" s="12"/>
      <c r="I65" s="12"/>
      <c r="J65" s="12"/>
      <c r="K65" s="12"/>
      <c r="L65" s="12"/>
      <c r="M65" s="12"/>
      <c r="N65" s="12"/>
      <c r="O65" s="12"/>
      <c r="P65" s="12"/>
      <c r="Q65" s="12"/>
      <c r="R65" s="12"/>
    </row>
    <row r="66" spans="1:18" x14ac:dyDescent="0.25">
      <c r="A66" s="6" t="s">
        <v>243</v>
      </c>
      <c r="C66" s="6" t="s">
        <v>10</v>
      </c>
      <c r="D66" s="13">
        <v>3988</v>
      </c>
      <c r="E66" s="13">
        <v>4423</v>
      </c>
      <c r="F66" s="13">
        <v>5088</v>
      </c>
      <c r="G66" s="13">
        <v>5331</v>
      </c>
      <c r="H66" s="13">
        <v>4898</v>
      </c>
      <c r="I66" s="13">
        <v>4378</v>
      </c>
      <c r="J66" s="13">
        <v>3287</v>
      </c>
      <c r="K66" s="13">
        <v>2722</v>
      </c>
      <c r="L66" s="13">
        <v>1951</v>
      </c>
      <c r="M66" s="13">
        <v>950</v>
      </c>
      <c r="N66" s="13">
        <v>906</v>
      </c>
      <c r="O66" s="13">
        <v>2038</v>
      </c>
      <c r="P66" s="13">
        <v>1818</v>
      </c>
      <c r="Q66" s="13">
        <v>651</v>
      </c>
      <c r="R66" s="13">
        <v>650</v>
      </c>
    </row>
    <row r="67" spans="1:18" x14ac:dyDescent="0.25">
      <c r="A67" s="6"/>
      <c r="C67" s="14" t="s">
        <v>299</v>
      </c>
      <c r="D67" s="15">
        <f>SUM(D62:D66)</f>
        <v>63491</v>
      </c>
      <c r="E67" s="15">
        <f>SUM(E62:E66)</f>
        <v>15580</v>
      </c>
      <c r="F67" s="15">
        <f>SUM(F62:F66)</f>
        <v>16025</v>
      </c>
      <c r="G67" s="15">
        <f>SUM(G62:G66)</f>
        <v>6126</v>
      </c>
      <c r="H67" s="15">
        <f t="shared" ref="H67:R67" si="14">SUM(H62:H66)</f>
        <v>5638</v>
      </c>
      <c r="I67" s="15">
        <f t="shared" si="14"/>
        <v>4827</v>
      </c>
      <c r="J67" s="15">
        <f t="shared" si="14"/>
        <v>3738</v>
      </c>
      <c r="K67" s="15">
        <f t="shared" si="14"/>
        <v>3031</v>
      </c>
      <c r="L67" s="15">
        <f t="shared" si="14"/>
        <v>2328</v>
      </c>
      <c r="M67" s="15">
        <f t="shared" si="14"/>
        <v>1327</v>
      </c>
      <c r="N67" s="15">
        <f t="shared" si="14"/>
        <v>1163</v>
      </c>
      <c r="O67" s="15">
        <f t="shared" si="14"/>
        <v>2292</v>
      </c>
      <c r="P67" s="15">
        <f t="shared" si="14"/>
        <v>2414</v>
      </c>
      <c r="Q67" s="15">
        <f t="shared" si="14"/>
        <v>807</v>
      </c>
      <c r="R67" s="15">
        <f t="shared" si="14"/>
        <v>780</v>
      </c>
    </row>
    <row r="68" spans="1:18" x14ac:dyDescent="0.25">
      <c r="A68" s="6"/>
      <c r="C68" s="14"/>
      <c r="D68" s="15"/>
      <c r="E68" s="15"/>
      <c r="F68" s="15"/>
      <c r="G68" s="15"/>
      <c r="H68" s="15"/>
      <c r="I68" s="15"/>
      <c r="J68" s="15"/>
      <c r="K68" s="15"/>
      <c r="L68" s="15"/>
      <c r="M68" s="15"/>
      <c r="N68" s="15"/>
      <c r="O68" s="15"/>
      <c r="P68" s="15"/>
      <c r="Q68" s="15"/>
      <c r="R68" s="15"/>
    </row>
    <row r="69" spans="1:18" x14ac:dyDescent="0.25">
      <c r="A69" s="6" t="s">
        <v>17</v>
      </c>
      <c r="C69" s="6" t="s">
        <v>190</v>
      </c>
      <c r="D69" s="12">
        <v>9511</v>
      </c>
      <c r="E69" s="12">
        <v>7838</v>
      </c>
      <c r="F69" s="12">
        <v>6800</v>
      </c>
      <c r="G69" s="12">
        <v>7215</v>
      </c>
      <c r="H69" s="12">
        <v>7262</v>
      </c>
      <c r="I69" s="12">
        <v>6000</v>
      </c>
      <c r="J69" s="12">
        <v>5520</v>
      </c>
      <c r="K69" s="12">
        <v>4870</v>
      </c>
      <c r="L69" s="12">
        <v>4234</v>
      </c>
      <c r="M69" s="12">
        <v>4307</v>
      </c>
      <c r="N69" s="12">
        <v>3965</v>
      </c>
      <c r="O69" s="12">
        <v>3667</v>
      </c>
      <c r="P69" s="12">
        <v>3658</v>
      </c>
      <c r="Q69" s="12">
        <v>2483</v>
      </c>
      <c r="R69" s="12">
        <v>1942</v>
      </c>
    </row>
    <row r="70" spans="1:18" x14ac:dyDescent="0.25">
      <c r="A70" s="6" t="s">
        <v>4</v>
      </c>
      <c r="C70" s="6" t="s">
        <v>191</v>
      </c>
      <c r="D70" s="12">
        <v>1708</v>
      </c>
      <c r="E70" s="12">
        <v>2752</v>
      </c>
      <c r="F70" s="12">
        <v>1163</v>
      </c>
      <c r="G70" s="12">
        <v>918</v>
      </c>
      <c r="H70" s="12">
        <v>434</v>
      </c>
      <c r="I70" s="12">
        <v>0</v>
      </c>
      <c r="J70" s="12">
        <v>1154</v>
      </c>
      <c r="K70" s="12">
        <v>797</v>
      </c>
      <c r="L70" s="12">
        <v>0</v>
      </c>
      <c r="M70" s="12">
        <v>1851</v>
      </c>
      <c r="N70" s="12">
        <v>2304</v>
      </c>
      <c r="O70" s="12">
        <v>439</v>
      </c>
      <c r="P70" s="12">
        <v>1279</v>
      </c>
      <c r="Q70" s="12">
        <v>2036</v>
      </c>
      <c r="R70" s="12">
        <v>1224</v>
      </c>
    </row>
    <row r="71" spans="1:18" x14ac:dyDescent="0.25">
      <c r="A71" s="6" t="s">
        <v>16</v>
      </c>
      <c r="C71" s="6" t="s">
        <v>216</v>
      </c>
      <c r="D71" s="12">
        <v>7899</v>
      </c>
      <c r="E71" s="12">
        <v>6904</v>
      </c>
      <c r="F71" s="12">
        <v>9153</v>
      </c>
      <c r="G71" s="12">
        <v>9745</v>
      </c>
      <c r="H71" s="12">
        <v>2068</v>
      </c>
      <c r="I71" s="12">
        <v>0</v>
      </c>
      <c r="J71" s="12">
        <v>0</v>
      </c>
      <c r="K71" s="12">
        <v>0</v>
      </c>
      <c r="L71" s="12">
        <v>0</v>
      </c>
      <c r="M71" s="12">
        <v>0</v>
      </c>
      <c r="N71" s="12">
        <v>0</v>
      </c>
      <c r="O71" s="12">
        <v>0</v>
      </c>
      <c r="P71" s="12">
        <v>0</v>
      </c>
      <c r="Q71" s="12">
        <v>0</v>
      </c>
      <c r="R71" s="12">
        <v>0</v>
      </c>
    </row>
    <row r="72" spans="1:18" x14ac:dyDescent="0.25">
      <c r="A72" s="6" t="s">
        <v>16</v>
      </c>
      <c r="C72" s="6" t="s">
        <v>217</v>
      </c>
      <c r="D72" s="12">
        <v>13275</v>
      </c>
      <c r="E72" s="12">
        <v>147</v>
      </c>
      <c r="F72" s="12">
        <v>136</v>
      </c>
      <c r="G72" s="12">
        <v>125</v>
      </c>
      <c r="H72" s="12">
        <v>59</v>
      </c>
      <c r="I72" s="12">
        <v>0</v>
      </c>
      <c r="J72" s="12">
        <v>0</v>
      </c>
      <c r="K72" s="12">
        <v>0</v>
      </c>
      <c r="L72" s="12">
        <v>0</v>
      </c>
      <c r="M72" s="12">
        <v>0</v>
      </c>
      <c r="N72" s="12">
        <v>0</v>
      </c>
      <c r="O72" s="12">
        <v>0</v>
      </c>
      <c r="P72" s="12">
        <v>0</v>
      </c>
      <c r="Q72" s="12">
        <v>0</v>
      </c>
      <c r="R72" s="12">
        <v>0</v>
      </c>
    </row>
    <row r="73" spans="1:18" x14ac:dyDescent="0.25">
      <c r="A73" s="6" t="s">
        <v>28</v>
      </c>
      <c r="C73" s="6" t="s">
        <v>180</v>
      </c>
      <c r="D73" s="12">
        <v>560</v>
      </c>
      <c r="E73" s="12">
        <v>479</v>
      </c>
      <c r="F73" s="12">
        <v>238</v>
      </c>
      <c r="G73" s="12">
        <v>903</v>
      </c>
      <c r="H73" s="12">
        <v>1176</v>
      </c>
      <c r="I73" s="12">
        <v>302</v>
      </c>
      <c r="J73" s="12">
        <v>254</v>
      </c>
      <c r="K73" s="12">
        <v>285</v>
      </c>
      <c r="L73" s="12">
        <v>222</v>
      </c>
      <c r="M73" s="12">
        <v>150</v>
      </c>
      <c r="N73" s="12">
        <v>176</v>
      </c>
      <c r="O73" s="12">
        <v>335</v>
      </c>
      <c r="P73" s="12">
        <v>1234</v>
      </c>
      <c r="Q73" s="12">
        <v>132</v>
      </c>
      <c r="R73" s="12">
        <v>0</v>
      </c>
    </row>
    <row r="74" spans="1:18" x14ac:dyDescent="0.25">
      <c r="A74" s="6" t="s">
        <v>4</v>
      </c>
      <c r="C74" s="6" t="s">
        <v>192</v>
      </c>
      <c r="D74" s="12">
        <f>3983-D73</f>
        <v>3423</v>
      </c>
      <c r="E74" s="12">
        <f>4476-E73</f>
        <v>3997</v>
      </c>
      <c r="F74" s="12">
        <f>3800-F73</f>
        <v>3562</v>
      </c>
      <c r="G74" s="12">
        <f>3672-G73</f>
        <v>2769</v>
      </c>
      <c r="H74" s="12">
        <f>5036-H73</f>
        <v>3860</v>
      </c>
      <c r="I74" s="12">
        <f>3192-I73</f>
        <v>2890</v>
      </c>
      <c r="J74" s="12">
        <v>2693</v>
      </c>
      <c r="K74" s="12">
        <f>3360-285</f>
        <v>3075</v>
      </c>
      <c r="L74" s="12">
        <v>2543</v>
      </c>
      <c r="M74" s="12">
        <f>2428-150</f>
        <v>2278</v>
      </c>
      <c r="N74" s="12">
        <f>2202-176</f>
        <v>2026</v>
      </c>
      <c r="O74" s="12">
        <f>2531-335</f>
        <v>2196</v>
      </c>
      <c r="P74" s="12">
        <f>3255-1234</f>
        <v>2021</v>
      </c>
      <c r="Q74" s="12">
        <f>1468-132</f>
        <v>1336</v>
      </c>
      <c r="R74" s="12">
        <v>1560</v>
      </c>
    </row>
    <row r="75" spans="1:18" x14ac:dyDescent="0.25">
      <c r="A75" s="6" t="s">
        <v>4</v>
      </c>
      <c r="C75" s="6" t="s">
        <v>290</v>
      </c>
      <c r="D75" s="13">
        <v>19881</v>
      </c>
      <c r="E75" s="13">
        <v>25719</v>
      </c>
      <c r="F75" s="13">
        <v>23167</v>
      </c>
      <c r="G75" s="13">
        <v>19048</v>
      </c>
      <c r="H75" s="13">
        <v>16846</v>
      </c>
      <c r="I75" s="13">
        <v>13745</v>
      </c>
      <c r="J75" s="13">
        <v>10682</v>
      </c>
      <c r="K75" s="13">
        <v>8370</v>
      </c>
      <c r="L75" s="13">
        <v>7011</v>
      </c>
      <c r="M75" s="13">
        <v>6171</v>
      </c>
      <c r="N75" s="13">
        <v>5376</v>
      </c>
      <c r="O75" s="13">
        <v>4453</v>
      </c>
      <c r="P75" s="13">
        <v>3687</v>
      </c>
      <c r="Q75" s="13">
        <v>2847</v>
      </c>
      <c r="R75" s="13">
        <v>2270</v>
      </c>
    </row>
    <row r="76" spans="1:18" x14ac:dyDescent="0.25">
      <c r="A76" s="6"/>
      <c r="C76" s="14" t="s">
        <v>193</v>
      </c>
      <c r="D76" s="15">
        <f t="shared" ref="D76:R76" si="15">SUM(D69:D75)</f>
        <v>56257</v>
      </c>
      <c r="E76" s="15">
        <f t="shared" si="15"/>
        <v>47836</v>
      </c>
      <c r="F76" s="15">
        <f t="shared" si="15"/>
        <v>44219</v>
      </c>
      <c r="G76" s="15">
        <f t="shared" si="15"/>
        <v>40723</v>
      </c>
      <c r="H76" s="15">
        <f t="shared" si="15"/>
        <v>31705</v>
      </c>
      <c r="I76" s="15">
        <f t="shared" si="15"/>
        <v>22937</v>
      </c>
      <c r="J76" s="15">
        <f t="shared" si="15"/>
        <v>20303</v>
      </c>
      <c r="K76" s="15">
        <f t="shared" si="15"/>
        <v>17397</v>
      </c>
      <c r="L76" s="15">
        <f t="shared" si="15"/>
        <v>14010</v>
      </c>
      <c r="M76" s="15">
        <f t="shared" si="15"/>
        <v>14757</v>
      </c>
      <c r="N76" s="15">
        <f t="shared" si="15"/>
        <v>13847</v>
      </c>
      <c r="O76" s="15">
        <f t="shared" si="15"/>
        <v>11090</v>
      </c>
      <c r="P76" s="15">
        <f t="shared" si="15"/>
        <v>11879</v>
      </c>
      <c r="Q76" s="15">
        <f t="shared" si="15"/>
        <v>8834</v>
      </c>
      <c r="R76" s="15">
        <f t="shared" si="15"/>
        <v>6996</v>
      </c>
    </row>
    <row r="77" spans="1:18" x14ac:dyDescent="0.25">
      <c r="A77" s="6"/>
      <c r="C77" s="14"/>
      <c r="D77" s="17"/>
      <c r="E77" s="17"/>
      <c r="F77" s="17"/>
      <c r="G77" s="17"/>
      <c r="H77" s="17"/>
      <c r="I77" s="17"/>
      <c r="J77" s="17"/>
      <c r="K77" s="17"/>
      <c r="L77" s="17"/>
      <c r="M77" s="17"/>
      <c r="N77" s="17"/>
      <c r="O77" s="17"/>
      <c r="P77" s="17"/>
      <c r="Q77" s="17"/>
      <c r="R77" s="17"/>
    </row>
    <row r="78" spans="1:18" ht="30" x14ac:dyDescent="0.25">
      <c r="A78" s="6" t="s">
        <v>6</v>
      </c>
      <c r="C78" s="14" t="s">
        <v>194</v>
      </c>
      <c r="D78" s="15">
        <f>D60+D67+D76</f>
        <v>174371</v>
      </c>
      <c r="E78" s="15">
        <f>E60+E67+E76</f>
        <v>120485</v>
      </c>
      <c r="F78" s="15">
        <f>F60+F67+F76</f>
        <v>118790</v>
      </c>
      <c r="G78" s="15">
        <f>G60+G67+G76</f>
        <v>106562</v>
      </c>
      <c r="H78" s="15">
        <f t="shared" ref="H78:R78" si="16">H60+H67+H76</f>
        <v>98579</v>
      </c>
      <c r="I78" s="15">
        <f t="shared" si="16"/>
        <v>85813</v>
      </c>
      <c r="J78" s="15">
        <f t="shared" si="16"/>
        <v>75597</v>
      </c>
      <c r="K78" s="15">
        <f t="shared" si="16"/>
        <v>65676</v>
      </c>
      <c r="L78" s="15">
        <f t="shared" si="16"/>
        <v>60173</v>
      </c>
      <c r="M78" s="15">
        <f t="shared" si="16"/>
        <v>60188</v>
      </c>
      <c r="N78" s="15">
        <f t="shared" si="16"/>
        <v>59182</v>
      </c>
      <c r="O78" s="15">
        <f t="shared" si="16"/>
        <v>53995</v>
      </c>
      <c r="P78" s="15">
        <f t="shared" si="16"/>
        <v>51243</v>
      </c>
      <c r="Q78" s="15">
        <f t="shared" si="16"/>
        <v>41734</v>
      </c>
      <c r="R78" s="15">
        <f t="shared" si="16"/>
        <v>35555</v>
      </c>
    </row>
    <row r="79" spans="1:18" x14ac:dyDescent="0.25">
      <c r="A79" s="6"/>
      <c r="C79" s="6"/>
      <c r="D79" s="12"/>
      <c r="E79" s="12"/>
      <c r="F79" s="12"/>
      <c r="G79" s="12"/>
      <c r="H79" s="12"/>
      <c r="I79" s="12"/>
      <c r="J79" s="12"/>
      <c r="K79" s="12"/>
      <c r="L79" s="12"/>
      <c r="M79" s="12"/>
      <c r="N79" s="12"/>
      <c r="O79" s="12"/>
      <c r="P79" s="12"/>
      <c r="Q79" s="12"/>
      <c r="R79" s="12"/>
    </row>
    <row r="80" spans="1:18" x14ac:dyDescent="0.25">
      <c r="A80" s="6"/>
      <c r="C80" s="6"/>
      <c r="D80" s="12"/>
      <c r="E80" s="12"/>
      <c r="F80" s="12"/>
      <c r="G80" s="12"/>
      <c r="H80" s="12"/>
      <c r="I80" s="12"/>
      <c r="J80" s="12"/>
      <c r="K80" s="12"/>
      <c r="L80" s="12"/>
      <c r="M80" s="12"/>
      <c r="N80" s="12"/>
      <c r="O80" s="12"/>
      <c r="P80" s="12"/>
      <c r="Q80" s="12"/>
      <c r="R80" s="12"/>
    </row>
    <row r="82" spans="1:18" x14ac:dyDescent="0.25">
      <c r="A82" s="9"/>
      <c r="C82" s="10" t="s">
        <v>156</v>
      </c>
      <c r="D82" s="11">
        <v>2020</v>
      </c>
      <c r="E82" s="11">
        <v>2019</v>
      </c>
      <c r="F82" s="11">
        <v>2018</v>
      </c>
      <c r="G82" s="11">
        <v>2017</v>
      </c>
      <c r="H82" s="11">
        <v>2016</v>
      </c>
      <c r="I82" s="11">
        <v>2015</v>
      </c>
      <c r="J82" s="11">
        <v>2014</v>
      </c>
      <c r="K82" s="11">
        <v>2013</v>
      </c>
      <c r="L82" s="11">
        <v>2012</v>
      </c>
      <c r="M82" s="11">
        <v>2011</v>
      </c>
      <c r="N82" s="11">
        <v>2010</v>
      </c>
      <c r="O82" s="11">
        <v>2009</v>
      </c>
      <c r="P82" s="11">
        <v>2008</v>
      </c>
      <c r="Q82" s="11">
        <v>2007</v>
      </c>
      <c r="R82" s="11">
        <v>2006</v>
      </c>
    </row>
    <row r="83" spans="1:18" x14ac:dyDescent="0.25">
      <c r="A83" s="9"/>
      <c r="C83" s="6"/>
      <c r="D83" s="11"/>
      <c r="E83" s="11"/>
      <c r="F83" s="11"/>
      <c r="G83" s="11"/>
      <c r="H83" s="11"/>
      <c r="I83" s="11"/>
      <c r="J83" s="11"/>
      <c r="K83" s="11"/>
      <c r="L83" s="11"/>
      <c r="M83" s="11"/>
      <c r="N83" s="11"/>
      <c r="O83" s="11"/>
      <c r="P83" s="11"/>
      <c r="Q83" s="11"/>
      <c r="R83" s="11"/>
    </row>
    <row r="84" spans="1:18" x14ac:dyDescent="0.25">
      <c r="A84" s="6"/>
      <c r="C84" s="19" t="s">
        <v>195</v>
      </c>
      <c r="D84" s="12"/>
      <c r="E84" s="12"/>
      <c r="F84" s="12"/>
      <c r="G84" s="12"/>
      <c r="H84" s="12"/>
      <c r="I84" s="12"/>
      <c r="J84" s="12"/>
      <c r="K84" s="12"/>
      <c r="L84" s="12"/>
      <c r="M84" s="12"/>
      <c r="N84" s="12"/>
      <c r="O84" s="12"/>
      <c r="P84" s="12"/>
      <c r="Q84" s="12"/>
      <c r="R84" s="12"/>
    </row>
    <row r="85" spans="1:18" x14ac:dyDescent="0.25">
      <c r="A85" s="6" t="s">
        <v>29</v>
      </c>
      <c r="C85" s="6" t="s">
        <v>161</v>
      </c>
      <c r="D85" s="12">
        <v>2052</v>
      </c>
      <c r="E85" s="12">
        <v>17391</v>
      </c>
      <c r="F85" s="12">
        <v>15639</v>
      </c>
      <c r="G85" s="12">
        <v>20809</v>
      </c>
      <c r="H85" s="12">
        <v>24039</v>
      </c>
      <c r="I85" s="12">
        <v>27242</v>
      </c>
      <c r="J85" s="12">
        <v>25895</v>
      </c>
      <c r="K85" s="12">
        <v>22526</v>
      </c>
      <c r="L85" s="12">
        <v>22285</v>
      </c>
      <c r="M85" s="12">
        <v>20942</v>
      </c>
      <c r="N85" s="12">
        <v>25008</v>
      </c>
      <c r="O85" s="12">
        <v>22103</v>
      </c>
      <c r="P85" s="12">
        <v>21190</v>
      </c>
      <c r="Q85" s="12">
        <v>19170</v>
      </c>
      <c r="R85" s="12">
        <v>15808</v>
      </c>
    </row>
    <row r="86" spans="1:18" x14ac:dyDescent="0.25">
      <c r="A86" s="6" t="s">
        <v>29</v>
      </c>
      <c r="C86" s="6" t="s">
        <v>51</v>
      </c>
      <c r="D86" s="12">
        <f>-SUM(D87:D89)</f>
        <v>1054</v>
      </c>
      <c r="E86" s="12">
        <f t="shared" ref="E86:J86" si="17">-SUM(E87:E89)</f>
        <v>-29</v>
      </c>
      <c r="F86" s="12">
        <f t="shared" si="17"/>
        <v>-132</v>
      </c>
      <c r="G86" s="12">
        <f t="shared" si="17"/>
        <v>-227</v>
      </c>
      <c r="H86" s="12">
        <f t="shared" si="17"/>
        <v>-198</v>
      </c>
      <c r="I86" s="12">
        <f t="shared" si="17"/>
        <v>-279</v>
      </c>
      <c r="J86" s="12">
        <f t="shared" si="17"/>
        <v>-286</v>
      </c>
      <c r="K86" s="12">
        <f t="shared" ref="K86:R86" si="18">-SUM(K87:K89)</f>
        <v>-336</v>
      </c>
      <c r="L86" s="12">
        <f t="shared" si="18"/>
        <v>-506</v>
      </c>
      <c r="M86" s="12">
        <f t="shared" si="18"/>
        <v>-534</v>
      </c>
      <c r="N86" s="12">
        <f t="shared" si="18"/>
        <v>-337</v>
      </c>
      <c r="O86" s="12">
        <f t="shared" si="18"/>
        <v>-448</v>
      </c>
      <c r="P86" s="12">
        <f t="shared" si="18"/>
        <v>-1042</v>
      </c>
      <c r="Q86" s="12">
        <f t="shared" si="18"/>
        <v>-780</v>
      </c>
      <c r="R86" s="12">
        <f t="shared" si="18"/>
        <v>-501</v>
      </c>
    </row>
    <row r="87" spans="1:18" x14ac:dyDescent="0.25">
      <c r="A87" s="6" t="s">
        <v>30</v>
      </c>
      <c r="C87" s="6" t="s">
        <v>196</v>
      </c>
      <c r="D87" s="12">
        <f t="shared" ref="D87:K87" si="19">D12</f>
        <v>-1299</v>
      </c>
      <c r="E87" s="12">
        <f t="shared" si="19"/>
        <v>-331</v>
      </c>
      <c r="F87" s="12">
        <f t="shared" si="19"/>
        <v>-146</v>
      </c>
      <c r="G87" s="12">
        <f t="shared" si="19"/>
        <v>-41</v>
      </c>
      <c r="H87" s="12">
        <f t="shared" si="19"/>
        <v>-8</v>
      </c>
      <c r="I87" s="12">
        <f t="shared" si="19"/>
        <v>-10</v>
      </c>
      <c r="J87" s="12">
        <f t="shared" si="19"/>
        <v>-16</v>
      </c>
      <c r="K87" s="12">
        <f t="shared" si="19"/>
        <v>-9</v>
      </c>
      <c r="L87" s="12">
        <v>-5</v>
      </c>
      <c r="M87" s="12">
        <v>-5</v>
      </c>
      <c r="N87" s="12">
        <v>-7</v>
      </c>
      <c r="O87" s="12">
        <v>-8</v>
      </c>
      <c r="P87" s="12">
        <v>-8</v>
      </c>
      <c r="Q87" s="12">
        <v>-5</v>
      </c>
      <c r="R87" s="12">
        <v>-5</v>
      </c>
    </row>
    <row r="88" spans="1:18" x14ac:dyDescent="0.25">
      <c r="A88" s="6" t="s">
        <v>35</v>
      </c>
      <c r="C88" s="6" t="s">
        <v>197</v>
      </c>
      <c r="D88" s="12">
        <f t="shared" ref="D88:K88" si="20">D11</f>
        <v>252</v>
      </c>
      <c r="E88" s="12">
        <f t="shared" si="20"/>
        <v>376</v>
      </c>
      <c r="F88" s="12">
        <f t="shared" si="20"/>
        <v>292</v>
      </c>
      <c r="G88" s="12">
        <f t="shared" si="20"/>
        <v>281</v>
      </c>
      <c r="H88" s="12">
        <f t="shared" si="20"/>
        <v>224</v>
      </c>
      <c r="I88" s="12">
        <f t="shared" si="20"/>
        <v>310</v>
      </c>
      <c r="J88" s="12">
        <f t="shared" si="20"/>
        <v>328</v>
      </c>
      <c r="K88" s="12">
        <f t="shared" si="20"/>
        <v>367</v>
      </c>
      <c r="L88" s="12">
        <v>536</v>
      </c>
      <c r="M88" s="12">
        <v>568</v>
      </c>
      <c r="N88" s="12">
        <v>356</v>
      </c>
      <c r="O88" s="12">
        <v>467</v>
      </c>
      <c r="P88" s="12">
        <v>1060</v>
      </c>
      <c r="Q88" s="12">
        <v>793</v>
      </c>
      <c r="R88" s="12">
        <v>515</v>
      </c>
    </row>
    <row r="89" spans="1:18" x14ac:dyDescent="0.25">
      <c r="A89" s="6" t="s">
        <v>30</v>
      </c>
      <c r="C89" s="6" t="s">
        <v>214</v>
      </c>
      <c r="D89" s="12">
        <f t="shared" ref="D89:R89" si="21">D9</f>
        <v>-7</v>
      </c>
      <c r="E89" s="12">
        <f t="shared" si="21"/>
        <v>-16</v>
      </c>
      <c r="F89" s="12">
        <f t="shared" si="21"/>
        <v>-14</v>
      </c>
      <c r="G89" s="12">
        <f t="shared" si="21"/>
        <v>-13</v>
      </c>
      <c r="H89" s="12">
        <f t="shared" si="21"/>
        <v>-18</v>
      </c>
      <c r="I89" s="12">
        <f t="shared" si="21"/>
        <v>-21</v>
      </c>
      <c r="J89" s="12">
        <f t="shared" si="21"/>
        <v>-26</v>
      </c>
      <c r="K89" s="12">
        <f t="shared" si="21"/>
        <v>-22</v>
      </c>
      <c r="L89" s="12">
        <f t="shared" si="21"/>
        <v>-25</v>
      </c>
      <c r="M89" s="12">
        <f t="shared" si="21"/>
        <v>-29</v>
      </c>
      <c r="N89" s="12">
        <f t="shared" si="21"/>
        <v>-12</v>
      </c>
      <c r="O89" s="12">
        <f t="shared" si="21"/>
        <v>-11</v>
      </c>
      <c r="P89" s="12">
        <f t="shared" si="21"/>
        <v>-10</v>
      </c>
      <c r="Q89" s="12">
        <f t="shared" si="21"/>
        <v>-8</v>
      </c>
      <c r="R89" s="12">
        <f t="shared" si="21"/>
        <v>-9</v>
      </c>
    </row>
    <row r="90" spans="1:18" x14ac:dyDescent="0.25">
      <c r="A90" s="6"/>
      <c r="C90" s="6" t="s">
        <v>198</v>
      </c>
      <c r="D90" s="12"/>
      <c r="E90" s="12"/>
      <c r="F90" s="12"/>
      <c r="G90" s="12"/>
      <c r="H90" s="12"/>
      <c r="I90" s="12"/>
      <c r="J90" s="12"/>
      <c r="K90" s="12"/>
      <c r="L90" s="12"/>
      <c r="M90" s="12"/>
      <c r="N90" s="12"/>
      <c r="O90" s="12"/>
      <c r="P90" s="12"/>
      <c r="Q90" s="12"/>
      <c r="R90" s="12"/>
    </row>
    <row r="91" spans="1:18" x14ac:dyDescent="0.25">
      <c r="A91" s="6" t="s">
        <v>21</v>
      </c>
      <c r="C91" s="6" t="s">
        <v>188</v>
      </c>
      <c r="D91" s="12">
        <v>22</v>
      </c>
      <c r="E91" s="12">
        <v>-12</v>
      </c>
      <c r="F91" s="12">
        <v>0</v>
      </c>
      <c r="G91" s="12">
        <v>9</v>
      </c>
      <c r="H91" s="12">
        <v>-9</v>
      </c>
      <c r="I91" s="12">
        <v>28</v>
      </c>
      <c r="J91" s="12">
        <v>-20</v>
      </c>
      <c r="K91" s="12">
        <v>-68</v>
      </c>
      <c r="L91" s="12">
        <v>10</v>
      </c>
      <c r="M91" s="12">
        <v>120</v>
      </c>
      <c r="N91" s="12">
        <v>3</v>
      </c>
      <c r="O91" s="12">
        <v>26</v>
      </c>
      <c r="P91" s="12">
        <v>72</v>
      </c>
      <c r="Q91" s="12">
        <v>27</v>
      </c>
      <c r="R91" s="12">
        <v>52</v>
      </c>
    </row>
    <row r="92" spans="1:18" x14ac:dyDescent="0.25">
      <c r="A92" s="6" t="s">
        <v>21</v>
      </c>
      <c r="C92" s="6" t="s">
        <v>199</v>
      </c>
      <c r="D92" s="12">
        <v>25953</v>
      </c>
      <c r="E92" s="12">
        <v>11051</v>
      </c>
      <c r="F92" s="12">
        <v>9671</v>
      </c>
      <c r="G92" s="12">
        <v>8488</v>
      </c>
      <c r="H92" s="12">
        <v>7605</v>
      </c>
      <c r="I92" s="12">
        <v>6399</v>
      </c>
      <c r="J92" s="12">
        <v>5045</v>
      </c>
      <c r="K92" s="12">
        <v>4191</v>
      </c>
      <c r="L92" s="12">
        <v>3705</v>
      </c>
      <c r="M92" s="12">
        <v>3262</v>
      </c>
      <c r="N92" s="12">
        <v>3061</v>
      </c>
      <c r="O92" s="12">
        <v>2830</v>
      </c>
      <c r="P92" s="12">
        <v>2202</v>
      </c>
      <c r="Q92" s="12">
        <v>1814</v>
      </c>
      <c r="R92" s="12">
        <v>1624</v>
      </c>
    </row>
    <row r="93" spans="1:18" x14ac:dyDescent="0.25">
      <c r="A93" s="6" t="s">
        <v>12</v>
      </c>
      <c r="C93" s="6" t="s">
        <v>200</v>
      </c>
      <c r="D93" s="12">
        <v>-3719</v>
      </c>
      <c r="E93" s="12">
        <v>-3700</v>
      </c>
      <c r="F93" s="12">
        <v>-3098</v>
      </c>
      <c r="G93" s="12">
        <v>-6051</v>
      </c>
      <c r="H93" s="12">
        <v>-4470</v>
      </c>
      <c r="I93" s="12">
        <v>-7022</v>
      </c>
      <c r="J93" s="12">
        <v>-5971</v>
      </c>
      <c r="K93" s="12">
        <v>-3059</v>
      </c>
      <c r="L93" s="12">
        <v>-7021</v>
      </c>
      <c r="M93" s="12">
        <v>-5666</v>
      </c>
      <c r="N93" s="12">
        <v>-5451</v>
      </c>
      <c r="O93" s="12">
        <v>-6468</v>
      </c>
      <c r="P93" s="12">
        <v>-5940</v>
      </c>
      <c r="Q93" s="12">
        <v>-5557</v>
      </c>
      <c r="R93" s="12">
        <v>-5565</v>
      </c>
    </row>
    <row r="94" spans="1:18" x14ac:dyDescent="0.25">
      <c r="A94" s="6" t="s">
        <v>21</v>
      </c>
      <c r="C94" s="6" t="s">
        <v>221</v>
      </c>
      <c r="D94" s="12">
        <v>0</v>
      </c>
      <c r="E94" s="12">
        <v>23</v>
      </c>
      <c r="F94" s="12">
        <v>39</v>
      </c>
      <c r="G94" s="12">
        <v>-20</v>
      </c>
      <c r="H94" s="12">
        <v>0</v>
      </c>
      <c r="I94" s="12">
        <v>0</v>
      </c>
      <c r="J94" s="12">
        <v>0</v>
      </c>
      <c r="K94" s="12">
        <v>0</v>
      </c>
      <c r="L94" s="12">
        <v>0</v>
      </c>
      <c r="M94" s="12">
        <v>0</v>
      </c>
      <c r="N94" s="12">
        <v>0</v>
      </c>
      <c r="O94" s="12">
        <v>0</v>
      </c>
      <c r="P94" s="12">
        <v>0</v>
      </c>
      <c r="Q94" s="12">
        <v>0</v>
      </c>
      <c r="R94" s="12">
        <v>0</v>
      </c>
    </row>
    <row r="95" spans="1:18" ht="30" x14ac:dyDescent="0.25">
      <c r="A95" s="6" t="s">
        <v>7</v>
      </c>
      <c r="C95" s="6" t="s">
        <v>201</v>
      </c>
      <c r="D95" s="12">
        <v>1373</v>
      </c>
      <c r="E95" s="12">
        <v>753</v>
      </c>
      <c r="F95" s="12">
        <v>-587</v>
      </c>
      <c r="G95" s="12">
        <v>-1115</v>
      </c>
      <c r="H95" s="12">
        <v>-1817</v>
      </c>
      <c r="I95" s="12">
        <v>-249</v>
      </c>
      <c r="J95" s="12">
        <v>-888</v>
      </c>
      <c r="K95" s="12">
        <v>-839</v>
      </c>
      <c r="L95" s="12">
        <v>-8</v>
      </c>
      <c r="M95" s="12">
        <v>-244</v>
      </c>
      <c r="N95" s="12">
        <v>-778</v>
      </c>
      <c r="O95" s="12">
        <v>-71</v>
      </c>
      <c r="P95" s="12">
        <v>-1343</v>
      </c>
      <c r="Q95" s="12">
        <v>-421</v>
      </c>
      <c r="R95" s="12">
        <v>-317</v>
      </c>
    </row>
    <row r="96" spans="1:18" ht="30" x14ac:dyDescent="0.25">
      <c r="A96" s="6" t="s">
        <v>7</v>
      </c>
      <c r="C96" s="6" t="s">
        <v>202</v>
      </c>
      <c r="D96" s="12">
        <v>-1980</v>
      </c>
      <c r="E96" s="12">
        <v>273</v>
      </c>
      <c r="F96" s="12">
        <v>-3489</v>
      </c>
      <c r="G96" s="12">
        <v>-2414</v>
      </c>
      <c r="H96" s="12">
        <v>-6511</v>
      </c>
      <c r="I96" s="12">
        <v>-5105</v>
      </c>
      <c r="J96" s="12">
        <v>-2327</v>
      </c>
      <c r="K96" s="12">
        <v>-1439</v>
      </c>
      <c r="L96" s="12">
        <v>-1607</v>
      </c>
      <c r="M96" s="12">
        <v>-2331</v>
      </c>
      <c r="N96" s="12">
        <v>-1557</v>
      </c>
      <c r="O96" s="12">
        <v>-1740</v>
      </c>
      <c r="P96" s="12">
        <v>-183</v>
      </c>
      <c r="Q96" s="12">
        <v>-615</v>
      </c>
      <c r="R96" s="12">
        <v>-748</v>
      </c>
    </row>
    <row r="97" spans="1:18" ht="30" x14ac:dyDescent="0.25">
      <c r="A97" s="6" t="s">
        <v>7</v>
      </c>
      <c r="C97" s="6" t="s">
        <v>203</v>
      </c>
      <c r="D97" s="13">
        <v>2199</v>
      </c>
      <c r="E97" s="13">
        <v>3207</v>
      </c>
      <c r="F97" s="13">
        <v>3112</v>
      </c>
      <c r="G97" s="13">
        <v>1881</v>
      </c>
      <c r="H97" s="13">
        <v>4938</v>
      </c>
      <c r="I97" s="13">
        <v>2774</v>
      </c>
      <c r="J97" s="13">
        <v>2422</v>
      </c>
      <c r="K97" s="13">
        <v>2528</v>
      </c>
      <c r="L97" s="13">
        <v>1536</v>
      </c>
      <c r="M97" s="13">
        <v>1337</v>
      </c>
      <c r="N97" s="13">
        <v>1552</v>
      </c>
      <c r="O97" s="13">
        <v>1293</v>
      </c>
      <c r="P97" s="13">
        <v>1968</v>
      </c>
      <c r="Q97" s="13">
        <v>963</v>
      </c>
      <c r="R97" s="13">
        <v>1201</v>
      </c>
    </row>
    <row r="98" spans="1:18" x14ac:dyDescent="0.25">
      <c r="A98" s="6"/>
      <c r="C98" s="14" t="s">
        <v>204</v>
      </c>
      <c r="D98" s="15">
        <f>SUM(D85:D97)</f>
        <v>25900</v>
      </c>
      <c r="E98" s="15">
        <f>SUM(E85:E97)</f>
        <v>28986</v>
      </c>
      <c r="F98" s="15">
        <f>SUM(F85:F97)</f>
        <v>21287</v>
      </c>
      <c r="G98" s="15">
        <f>SUM(G85:G97)</f>
        <v>21587</v>
      </c>
      <c r="H98" s="15">
        <f t="shared" ref="H98:R98" si="22">SUM(H85:H97)</f>
        <v>23775</v>
      </c>
      <c r="I98" s="15">
        <f t="shared" si="22"/>
        <v>24067</v>
      </c>
      <c r="J98" s="15">
        <f t="shared" si="22"/>
        <v>24156</v>
      </c>
      <c r="K98" s="15">
        <f t="shared" si="22"/>
        <v>23840</v>
      </c>
      <c r="L98" s="15">
        <f t="shared" si="22"/>
        <v>18900</v>
      </c>
      <c r="M98" s="15">
        <f t="shared" si="22"/>
        <v>17420</v>
      </c>
      <c r="N98" s="15">
        <f t="shared" si="22"/>
        <v>21838</v>
      </c>
      <c r="O98" s="15">
        <f t="shared" si="22"/>
        <v>17973</v>
      </c>
      <c r="P98" s="15">
        <f t="shared" si="22"/>
        <v>17966</v>
      </c>
      <c r="Q98" s="15">
        <f t="shared" si="22"/>
        <v>15381</v>
      </c>
      <c r="R98" s="15">
        <f t="shared" si="22"/>
        <v>12055</v>
      </c>
    </row>
    <row r="99" spans="1:18" x14ac:dyDescent="0.25">
      <c r="A99" s="6"/>
      <c r="C99" s="6"/>
      <c r="D99" s="12"/>
      <c r="E99" s="12"/>
      <c r="F99" s="12"/>
      <c r="G99" s="12"/>
      <c r="H99" s="12"/>
      <c r="I99" s="12"/>
      <c r="J99" s="12"/>
      <c r="K99" s="12"/>
      <c r="L99" s="12"/>
      <c r="M99" s="12"/>
      <c r="N99" s="12"/>
      <c r="O99" s="12"/>
      <c r="P99" s="12"/>
      <c r="Q99" s="12"/>
      <c r="R99" s="12"/>
    </row>
    <row r="100" spans="1:18" ht="45" x14ac:dyDescent="0.25">
      <c r="A100" s="6" t="s">
        <v>245</v>
      </c>
      <c r="C100" s="6" t="s">
        <v>226</v>
      </c>
      <c r="D100" s="12">
        <v>-48</v>
      </c>
      <c r="E100" s="12">
        <v>-47</v>
      </c>
      <c r="F100" s="12">
        <v>-64</v>
      </c>
      <c r="G100" s="12">
        <v>-102</v>
      </c>
      <c r="H100" s="12">
        <v>-139</v>
      </c>
      <c r="I100" s="12">
        <v>-324</v>
      </c>
      <c r="J100" s="12">
        <v>-35</v>
      </c>
      <c r="K100" s="12">
        <v>-179</v>
      </c>
      <c r="L100" s="12">
        <v>-125</v>
      </c>
      <c r="M100" s="12">
        <v>-71</v>
      </c>
      <c r="N100" s="12">
        <v>-147</v>
      </c>
      <c r="O100" s="12">
        <v>-180</v>
      </c>
      <c r="P100" s="12">
        <v>-446</v>
      </c>
      <c r="Q100" s="12">
        <v>-86</v>
      </c>
      <c r="R100" s="12">
        <v>-30</v>
      </c>
    </row>
    <row r="101" spans="1:18" ht="45" x14ac:dyDescent="0.25">
      <c r="A101" s="6" t="s">
        <v>245</v>
      </c>
      <c r="C101" s="6" t="s">
        <v>205</v>
      </c>
      <c r="D101" s="12">
        <v>-1448</v>
      </c>
      <c r="E101" s="12">
        <v>-2909</v>
      </c>
      <c r="F101" s="12">
        <v>-3207</v>
      </c>
      <c r="G101" s="12">
        <v>-2058</v>
      </c>
      <c r="H101" s="12">
        <v>-1476</v>
      </c>
      <c r="I101" s="12">
        <v>-1140</v>
      </c>
      <c r="J101" s="12">
        <v>-868</v>
      </c>
      <c r="K101" s="12">
        <v>-738</v>
      </c>
      <c r="L101" s="12">
        <v>-631</v>
      </c>
      <c r="M101" s="12">
        <v>0</v>
      </c>
      <c r="N101" s="12">
        <v>0</v>
      </c>
      <c r="O101" s="12">
        <v>0</v>
      </c>
      <c r="P101" s="12">
        <v>0</v>
      </c>
      <c r="Q101" s="12">
        <v>0</v>
      </c>
      <c r="R101" s="12">
        <v>0</v>
      </c>
    </row>
    <row r="102" spans="1:18" ht="45" x14ac:dyDescent="0.25">
      <c r="A102" s="6" t="s">
        <v>245</v>
      </c>
      <c r="C102" s="6" t="s">
        <v>227</v>
      </c>
      <c r="D102" s="12">
        <v>0</v>
      </c>
      <c r="E102" s="12">
        <v>0</v>
      </c>
      <c r="F102" s="12">
        <v>-5</v>
      </c>
      <c r="G102" s="12">
        <v>-27</v>
      </c>
      <c r="H102" s="12">
        <v>-60</v>
      </c>
      <c r="I102" s="12">
        <v>-2</v>
      </c>
      <c r="J102" s="12">
        <v>-21</v>
      </c>
      <c r="K102" s="12">
        <v>-23</v>
      </c>
      <c r="L102" s="12">
        <v>-63</v>
      </c>
      <c r="M102" s="12">
        <v>-157</v>
      </c>
      <c r="N102" s="12">
        <v>-209</v>
      </c>
      <c r="O102" s="12">
        <v>-25</v>
      </c>
      <c r="P102" s="12">
        <v>-23</v>
      </c>
      <c r="Q102" s="12">
        <v>-56</v>
      </c>
      <c r="R102" s="12">
        <v>6</v>
      </c>
    </row>
    <row r="103" spans="1:18" ht="45" x14ac:dyDescent="0.25">
      <c r="A103" s="6" t="s">
        <v>245</v>
      </c>
      <c r="C103" s="6" t="s">
        <v>291</v>
      </c>
      <c r="D103" s="12">
        <v>-3606</v>
      </c>
      <c r="E103" s="12">
        <v>-7384</v>
      </c>
      <c r="F103" s="12">
        <v>-9552</v>
      </c>
      <c r="G103" s="12">
        <v>-10284</v>
      </c>
      <c r="H103" s="12">
        <v>-11671</v>
      </c>
      <c r="I103" s="12">
        <v>-10593</v>
      </c>
      <c r="J103" s="12">
        <v>-8467</v>
      </c>
      <c r="K103" s="12">
        <v>-7087</v>
      </c>
      <c r="L103" s="12">
        <v>-6008</v>
      </c>
      <c r="M103" s="12">
        <v>-4946</v>
      </c>
      <c r="N103" s="12">
        <v>-4603</v>
      </c>
      <c r="O103" s="12">
        <v>-5481</v>
      </c>
      <c r="P103" s="12">
        <v>-4724</v>
      </c>
      <c r="Q103" s="12">
        <v>-3466</v>
      </c>
      <c r="R103" s="12">
        <v>-1958</v>
      </c>
    </row>
    <row r="104" spans="1:18" ht="45" x14ac:dyDescent="0.25">
      <c r="A104" s="6" t="s">
        <v>245</v>
      </c>
      <c r="C104" s="6" t="s">
        <v>206</v>
      </c>
      <c r="D104" s="13">
        <v>-142</v>
      </c>
      <c r="E104" s="13">
        <v>-188</v>
      </c>
      <c r="F104" s="13">
        <v>-324</v>
      </c>
      <c r="G104" s="13">
        <v>-25</v>
      </c>
      <c r="H104" s="13">
        <v>-152</v>
      </c>
      <c r="I104" s="13">
        <v>2449</v>
      </c>
      <c r="J104" s="13">
        <v>683</v>
      </c>
      <c r="K104" s="13">
        <v>-342</v>
      </c>
      <c r="L104" s="13">
        <v>3926</v>
      </c>
      <c r="M104" s="13">
        <v>1118</v>
      </c>
      <c r="N104" s="13">
        <v>-5170</v>
      </c>
      <c r="O104" s="13">
        <v>-3069</v>
      </c>
      <c r="P104" s="13">
        <v>4103</v>
      </c>
      <c r="Q104" s="13">
        <v>3752</v>
      </c>
      <c r="R104" s="13">
        <v>-2413</v>
      </c>
    </row>
    <row r="105" spans="1:18" x14ac:dyDescent="0.25">
      <c r="A105" s="6"/>
      <c r="C105" s="14" t="s">
        <v>207</v>
      </c>
      <c r="D105" s="15">
        <f t="shared" ref="D105:R105" si="23">SUM(D100:D104)</f>
        <v>-5244</v>
      </c>
      <c r="E105" s="15">
        <f t="shared" si="23"/>
        <v>-10528</v>
      </c>
      <c r="F105" s="15">
        <f t="shared" si="23"/>
        <v>-13152</v>
      </c>
      <c r="G105" s="15">
        <f t="shared" si="23"/>
        <v>-12496</v>
      </c>
      <c r="H105" s="15">
        <f t="shared" si="23"/>
        <v>-13498</v>
      </c>
      <c r="I105" s="15">
        <f t="shared" si="23"/>
        <v>-9610</v>
      </c>
      <c r="J105" s="15">
        <f t="shared" si="23"/>
        <v>-8708</v>
      </c>
      <c r="K105" s="15">
        <f t="shared" si="23"/>
        <v>-8369</v>
      </c>
      <c r="L105" s="15">
        <f t="shared" si="23"/>
        <v>-2901</v>
      </c>
      <c r="M105" s="15">
        <f t="shared" si="23"/>
        <v>-4056</v>
      </c>
      <c r="N105" s="15">
        <f t="shared" si="23"/>
        <v>-10129</v>
      </c>
      <c r="O105" s="15">
        <f t="shared" si="23"/>
        <v>-8755</v>
      </c>
      <c r="P105" s="15">
        <f t="shared" si="23"/>
        <v>-1090</v>
      </c>
      <c r="Q105" s="15">
        <f t="shared" si="23"/>
        <v>144</v>
      </c>
      <c r="R105" s="15">
        <f t="shared" si="23"/>
        <v>-4395</v>
      </c>
    </row>
    <row r="106" spans="1:18" x14ac:dyDescent="0.25">
      <c r="A106" s="6"/>
      <c r="C106" s="6"/>
      <c r="D106" s="12"/>
      <c r="E106" s="12"/>
      <c r="F106" s="12"/>
      <c r="G106" s="12"/>
      <c r="H106" s="12"/>
      <c r="I106" s="12"/>
      <c r="J106" s="12"/>
      <c r="K106" s="12"/>
      <c r="L106" s="12"/>
      <c r="M106" s="12"/>
      <c r="N106" s="12"/>
      <c r="O106" s="12"/>
      <c r="P106" s="12"/>
      <c r="Q106" s="12"/>
      <c r="R106" s="12"/>
    </row>
    <row r="107" spans="1:18" x14ac:dyDescent="0.25">
      <c r="A107" s="6" t="s">
        <v>8</v>
      </c>
      <c r="C107" s="6" t="s">
        <v>218</v>
      </c>
      <c r="D107" s="12">
        <v>995</v>
      </c>
      <c r="E107" s="12">
        <v>-2249</v>
      </c>
      <c r="F107" s="12">
        <v>-592</v>
      </c>
      <c r="G107" s="12">
        <v>7677</v>
      </c>
      <c r="H107" s="12">
        <v>2068</v>
      </c>
      <c r="I107" s="12">
        <v>0</v>
      </c>
      <c r="J107" s="12">
        <v>0</v>
      </c>
      <c r="K107" s="12">
        <v>0</v>
      </c>
      <c r="L107" s="12">
        <v>0</v>
      </c>
      <c r="M107" s="12">
        <v>0</v>
      </c>
      <c r="N107" s="12">
        <v>0</v>
      </c>
      <c r="O107" s="12">
        <v>0</v>
      </c>
      <c r="P107" s="12">
        <v>0</v>
      </c>
      <c r="Q107" s="12">
        <v>0</v>
      </c>
      <c r="R107" s="12">
        <v>0</v>
      </c>
    </row>
    <row r="108" spans="1:18" x14ac:dyDescent="0.25">
      <c r="A108" s="6" t="s">
        <v>8</v>
      </c>
      <c r="C108" s="6" t="s">
        <v>292</v>
      </c>
      <c r="D108" s="12">
        <v>-1980</v>
      </c>
      <c r="E108" s="12">
        <v>243</v>
      </c>
      <c r="F108" s="12">
        <v>10170</v>
      </c>
      <c r="G108" s="12"/>
      <c r="H108" s="12"/>
      <c r="I108" s="12"/>
      <c r="J108" s="12"/>
      <c r="K108" s="12"/>
      <c r="L108" s="12"/>
      <c r="M108" s="12"/>
      <c r="N108" s="12"/>
      <c r="O108" s="12"/>
      <c r="P108" s="12"/>
      <c r="Q108" s="12"/>
      <c r="R108" s="12"/>
    </row>
    <row r="109" spans="1:18" x14ac:dyDescent="0.25">
      <c r="A109" s="6" t="s">
        <v>8</v>
      </c>
      <c r="C109" s="6" t="s">
        <v>293</v>
      </c>
      <c r="D109" s="12">
        <v>-14174</v>
      </c>
      <c r="E109" s="12">
        <v>-149</v>
      </c>
      <c r="F109" s="12">
        <v>-126</v>
      </c>
      <c r="G109" s="12">
        <v>-57</v>
      </c>
      <c r="H109" s="12">
        <v>0</v>
      </c>
      <c r="I109" s="12">
        <v>0</v>
      </c>
      <c r="J109" s="12">
        <v>0</v>
      </c>
      <c r="K109" s="12">
        <v>0</v>
      </c>
      <c r="L109" s="12">
        <v>0</v>
      </c>
      <c r="M109" s="12">
        <v>0</v>
      </c>
      <c r="N109" s="12">
        <v>0</v>
      </c>
      <c r="O109" s="12">
        <v>0</v>
      </c>
      <c r="P109" s="12">
        <v>0</v>
      </c>
      <c r="Q109" s="12">
        <v>0</v>
      </c>
      <c r="R109" s="12">
        <v>0</v>
      </c>
    </row>
    <row r="110" spans="1:18" x14ac:dyDescent="0.25">
      <c r="A110" s="6" t="s">
        <v>9</v>
      </c>
      <c r="C110" s="6" t="s">
        <v>208</v>
      </c>
      <c r="D110" s="13">
        <v>0</v>
      </c>
      <c r="E110" s="13">
        <v>-16137</v>
      </c>
      <c r="F110" s="13">
        <v>-16137</v>
      </c>
      <c r="G110" s="13">
        <v>-16137</v>
      </c>
      <c r="H110" s="13">
        <v>-16137</v>
      </c>
      <c r="I110" s="13">
        <v>-16137</v>
      </c>
      <c r="J110" s="13">
        <v>-15723</v>
      </c>
      <c r="K110" s="13">
        <v>-15723</v>
      </c>
      <c r="L110" s="13">
        <v>-15723</v>
      </c>
      <c r="M110" s="13">
        <v>-15723</v>
      </c>
      <c r="N110" s="13">
        <v>-13239</v>
      </c>
      <c r="O110" s="13">
        <v>-12825</v>
      </c>
      <c r="P110" s="13">
        <v>-11584</v>
      </c>
      <c r="Q110" s="13">
        <v>-9515</v>
      </c>
      <c r="R110" s="13">
        <v>-7861</v>
      </c>
    </row>
    <row r="111" spans="1:18" x14ac:dyDescent="0.25">
      <c r="A111" s="6"/>
      <c r="C111" s="14" t="s">
        <v>209</v>
      </c>
      <c r="D111" s="15">
        <f>SUM(D107:D110)</f>
        <v>-15159</v>
      </c>
      <c r="E111" s="15">
        <f>SUM(E107:E110)</f>
        <v>-18292</v>
      </c>
      <c r="F111" s="15">
        <f>SUM(F107:F110)</f>
        <v>-6685</v>
      </c>
      <c r="G111" s="15">
        <f>SUM(G107:G110)</f>
        <v>-8517</v>
      </c>
      <c r="H111" s="15">
        <f>SUM(H107:H110)</f>
        <v>-14069</v>
      </c>
      <c r="I111" s="15">
        <f t="shared" ref="I111:R111" si="24">SUM(I107:I110)</f>
        <v>-16137</v>
      </c>
      <c r="J111" s="15">
        <f t="shared" si="24"/>
        <v>-15723</v>
      </c>
      <c r="K111" s="15">
        <f t="shared" si="24"/>
        <v>-15723</v>
      </c>
      <c r="L111" s="15">
        <f t="shared" si="24"/>
        <v>-15723</v>
      </c>
      <c r="M111" s="15">
        <f t="shared" si="24"/>
        <v>-15723</v>
      </c>
      <c r="N111" s="15">
        <f t="shared" si="24"/>
        <v>-13239</v>
      </c>
      <c r="O111" s="15">
        <f t="shared" si="24"/>
        <v>-12825</v>
      </c>
      <c r="P111" s="15">
        <f t="shared" si="24"/>
        <v>-11584</v>
      </c>
      <c r="Q111" s="15">
        <f t="shared" si="24"/>
        <v>-9515</v>
      </c>
      <c r="R111" s="15">
        <f t="shared" si="24"/>
        <v>-7861</v>
      </c>
    </row>
    <row r="112" spans="1:18" x14ac:dyDescent="0.25">
      <c r="A112" s="6"/>
      <c r="C112" s="6"/>
      <c r="D112" s="12"/>
      <c r="E112" s="12"/>
      <c r="F112" s="12"/>
      <c r="G112" s="12"/>
      <c r="H112" s="12"/>
      <c r="I112" s="12"/>
      <c r="J112" s="12"/>
      <c r="K112" s="12"/>
      <c r="L112" s="12"/>
      <c r="M112" s="12"/>
      <c r="N112" s="12"/>
      <c r="O112" s="12"/>
      <c r="P112" s="12"/>
      <c r="Q112" s="12"/>
      <c r="R112" s="12"/>
    </row>
    <row r="113" spans="1:18" x14ac:dyDescent="0.25">
      <c r="A113" s="6"/>
      <c r="C113" s="6"/>
      <c r="D113" s="12"/>
      <c r="E113" s="12"/>
      <c r="F113" s="12"/>
      <c r="G113" s="12"/>
      <c r="H113" s="12"/>
      <c r="I113" s="12"/>
      <c r="J113" s="12"/>
      <c r="K113" s="12"/>
      <c r="L113" s="12"/>
      <c r="M113" s="12"/>
      <c r="N113" s="12"/>
      <c r="O113" s="12"/>
      <c r="P113" s="12"/>
      <c r="Q113" s="12"/>
      <c r="R113" s="12"/>
    </row>
    <row r="114" spans="1:18" s="10" customFormat="1" x14ac:dyDescent="0.25">
      <c r="A114" s="14"/>
      <c r="C114" s="14" t="s">
        <v>228</v>
      </c>
      <c r="D114" s="15">
        <v>12312</v>
      </c>
      <c r="E114" s="15">
        <v>11590</v>
      </c>
      <c r="F114" s="15">
        <v>9718</v>
      </c>
      <c r="G114" s="15">
        <v>9446</v>
      </c>
      <c r="H114" s="15">
        <v>12950</v>
      </c>
      <c r="I114" s="15">
        <v>14091</v>
      </c>
      <c r="J114" s="15">
        <v>13918</v>
      </c>
      <c r="K114" s="15">
        <v>14148</v>
      </c>
      <c r="L114" s="15">
        <v>14319</v>
      </c>
      <c r="M114" s="15">
        <v>16691</v>
      </c>
      <c r="N114" s="15">
        <v>19024</v>
      </c>
      <c r="O114" s="15">
        <v>22726</v>
      </c>
      <c r="P114" s="15">
        <v>16064</v>
      </c>
      <c r="Q114" s="15">
        <v>9877</v>
      </c>
      <c r="R114" s="15">
        <v>10496</v>
      </c>
    </row>
    <row r="115" spans="1:18" x14ac:dyDescent="0.25">
      <c r="A115" s="6"/>
      <c r="C115" s="6" t="s">
        <v>211</v>
      </c>
      <c r="D115" s="12">
        <f>D98+D105+D111</f>
        <v>5497</v>
      </c>
      <c r="E115" s="12">
        <f t="shared" ref="E115:R115" si="25">E98+E105+E111</f>
        <v>166</v>
      </c>
      <c r="F115" s="12">
        <f t="shared" si="25"/>
        <v>1450</v>
      </c>
      <c r="G115" s="12">
        <f t="shared" si="25"/>
        <v>574</v>
      </c>
      <c r="H115" s="12">
        <f t="shared" si="25"/>
        <v>-3792</v>
      </c>
      <c r="I115" s="12">
        <f t="shared" si="25"/>
        <v>-1680</v>
      </c>
      <c r="J115" s="12">
        <f t="shared" si="25"/>
        <v>-275</v>
      </c>
      <c r="K115" s="12">
        <f t="shared" si="25"/>
        <v>-252</v>
      </c>
      <c r="L115" s="12">
        <f t="shared" si="25"/>
        <v>276</v>
      </c>
      <c r="M115" s="12">
        <f t="shared" si="25"/>
        <v>-2359</v>
      </c>
      <c r="N115" s="12">
        <f t="shared" si="25"/>
        <v>-1530</v>
      </c>
      <c r="O115" s="12">
        <f t="shared" si="25"/>
        <v>-3607</v>
      </c>
      <c r="P115" s="12">
        <f t="shared" si="25"/>
        <v>5292</v>
      </c>
      <c r="Q115" s="12">
        <f t="shared" si="25"/>
        <v>6010</v>
      </c>
      <c r="R115" s="12">
        <f t="shared" si="25"/>
        <v>-201</v>
      </c>
    </row>
    <row r="116" spans="1:18" x14ac:dyDescent="0.25">
      <c r="A116" s="6"/>
      <c r="C116" s="6" t="s">
        <v>210</v>
      </c>
      <c r="D116" s="13">
        <v>-1269</v>
      </c>
      <c r="E116" s="13">
        <v>556</v>
      </c>
      <c r="F116" s="13">
        <v>422</v>
      </c>
      <c r="G116" s="13">
        <v>-302</v>
      </c>
      <c r="H116" s="13">
        <v>288</v>
      </c>
      <c r="I116" s="13">
        <v>539</v>
      </c>
      <c r="J116" s="13">
        <v>448</v>
      </c>
      <c r="K116" s="13">
        <v>22</v>
      </c>
      <c r="L116" s="13">
        <v>-447</v>
      </c>
      <c r="M116" s="13">
        <v>-13</v>
      </c>
      <c r="N116" s="13">
        <v>-803</v>
      </c>
      <c r="O116" s="13">
        <v>-95</v>
      </c>
      <c r="P116" s="13">
        <v>1370</v>
      </c>
      <c r="Q116" s="13">
        <v>177</v>
      </c>
      <c r="R116" s="13">
        <v>-418</v>
      </c>
    </row>
    <row r="117" spans="1:18" x14ac:dyDescent="0.25">
      <c r="A117" s="6"/>
      <c r="C117" s="14" t="s">
        <v>229</v>
      </c>
      <c r="D117" s="15">
        <f>SUM(D114:D116)</f>
        <v>16540</v>
      </c>
      <c r="E117" s="15">
        <f t="shared" ref="E117:R117" si="26">SUM(E114:E116)</f>
        <v>12312</v>
      </c>
      <c r="F117" s="15">
        <f t="shared" si="26"/>
        <v>11590</v>
      </c>
      <c r="G117" s="15">
        <f t="shared" si="26"/>
        <v>9718</v>
      </c>
      <c r="H117" s="15">
        <f t="shared" si="26"/>
        <v>9446</v>
      </c>
      <c r="I117" s="15">
        <f t="shared" si="26"/>
        <v>12950</v>
      </c>
      <c r="J117" s="15">
        <f t="shared" si="26"/>
        <v>14091</v>
      </c>
      <c r="K117" s="15">
        <f t="shared" si="26"/>
        <v>13918</v>
      </c>
      <c r="L117" s="15">
        <f t="shared" si="26"/>
        <v>14148</v>
      </c>
      <c r="M117" s="15">
        <f t="shared" si="26"/>
        <v>14319</v>
      </c>
      <c r="N117" s="15">
        <f t="shared" si="26"/>
        <v>16691</v>
      </c>
      <c r="O117" s="15">
        <f t="shared" si="26"/>
        <v>19024</v>
      </c>
      <c r="P117" s="15">
        <f t="shared" si="26"/>
        <v>22726</v>
      </c>
      <c r="Q117" s="15">
        <f t="shared" si="26"/>
        <v>16064</v>
      </c>
      <c r="R117" s="15">
        <f t="shared" si="26"/>
        <v>9877</v>
      </c>
    </row>
    <row r="118" spans="1:18" x14ac:dyDescent="0.25">
      <c r="A118" s="6"/>
      <c r="C118" s="6"/>
      <c r="D118" s="12"/>
      <c r="E118" s="12"/>
      <c r="F118" s="12"/>
      <c r="G118" s="12"/>
      <c r="H118" s="12"/>
      <c r="I118" s="12"/>
      <c r="J118" s="12"/>
      <c r="K118" s="12"/>
      <c r="L118" s="12"/>
      <c r="M118" s="12"/>
      <c r="N118" s="12"/>
      <c r="O118" s="12"/>
      <c r="P118" s="12"/>
      <c r="Q118" s="12"/>
      <c r="R118" s="12"/>
    </row>
    <row r="119" spans="1:18" x14ac:dyDescent="0.25">
      <c r="A119" s="6"/>
      <c r="C119" s="6"/>
      <c r="D119" s="12"/>
      <c r="E119" s="12"/>
      <c r="F119" s="12"/>
      <c r="G119" s="12"/>
      <c r="H119" s="12"/>
      <c r="I119" s="12"/>
      <c r="J119" s="12"/>
      <c r="K119" s="12"/>
      <c r="L119" s="12"/>
      <c r="M119" s="12"/>
      <c r="N119" s="12"/>
      <c r="O119" s="12"/>
      <c r="P119" s="12"/>
      <c r="Q119" s="12"/>
      <c r="R119" s="12"/>
    </row>
    <row r="120" spans="1:18" x14ac:dyDescent="0.25">
      <c r="A120" s="6"/>
      <c r="C120" s="6"/>
      <c r="D120" s="12"/>
      <c r="E120" s="12"/>
      <c r="F120" s="12"/>
      <c r="G120" s="12"/>
      <c r="H120" s="12"/>
      <c r="I120" s="12"/>
      <c r="J120" s="12"/>
      <c r="K120" s="12"/>
      <c r="L120" s="12"/>
      <c r="M120" s="12"/>
      <c r="N120" s="12"/>
      <c r="O120" s="12"/>
      <c r="P120" s="12"/>
      <c r="Q120" s="12"/>
      <c r="R120" s="12"/>
    </row>
    <row r="121" spans="1:18" x14ac:dyDescent="0.25">
      <c r="A121" s="6"/>
      <c r="C121" s="6"/>
      <c r="D121" s="12"/>
      <c r="E121" s="12"/>
      <c r="F121" s="12"/>
      <c r="G121" s="12"/>
      <c r="H121" s="12"/>
      <c r="I121" s="12"/>
      <c r="J121" s="12"/>
      <c r="K121" s="12"/>
      <c r="L121" s="12"/>
      <c r="M121" s="12"/>
      <c r="N121" s="12"/>
      <c r="O121" s="12"/>
      <c r="P121" s="12"/>
      <c r="Q121" s="12"/>
      <c r="R121" s="12"/>
    </row>
    <row r="122" spans="1:18" x14ac:dyDescent="0.25">
      <c r="A122" s="6"/>
      <c r="C122" s="6"/>
      <c r="D122" s="12"/>
      <c r="E122" s="12"/>
      <c r="F122" s="12"/>
      <c r="G122" s="12"/>
      <c r="H122" s="12"/>
      <c r="I122" s="12"/>
      <c r="J122" s="12"/>
      <c r="K122" s="12"/>
      <c r="L122" s="12"/>
      <c r="M122" s="12"/>
      <c r="N122" s="12"/>
      <c r="O122" s="12"/>
      <c r="P122" s="12"/>
      <c r="Q122" s="12"/>
      <c r="R122" s="12"/>
    </row>
    <row r="123" spans="1:18" x14ac:dyDescent="0.25">
      <c r="A123" s="6"/>
      <c r="C123" s="6"/>
      <c r="D123" s="12"/>
      <c r="E123" s="12"/>
      <c r="F123" s="12"/>
      <c r="G123" s="12"/>
      <c r="H123" s="12"/>
      <c r="I123" s="12"/>
      <c r="J123" s="12"/>
      <c r="K123" s="12"/>
      <c r="L123" s="12"/>
      <c r="M123" s="12"/>
      <c r="N123" s="12"/>
      <c r="O123" s="12"/>
      <c r="P123" s="12"/>
      <c r="Q123" s="12"/>
      <c r="R123" s="12"/>
    </row>
    <row r="124" spans="1:18" x14ac:dyDescent="0.25">
      <c r="A124" s="6"/>
      <c r="C124" s="6"/>
      <c r="D124" s="12"/>
      <c r="E124" s="12"/>
      <c r="F124" s="12"/>
      <c r="G124" s="12"/>
      <c r="H124" s="12"/>
      <c r="I124" s="12"/>
      <c r="J124" s="12"/>
      <c r="K124" s="12"/>
      <c r="L124" s="12"/>
      <c r="M124" s="12"/>
      <c r="N124" s="12"/>
      <c r="O124" s="12"/>
      <c r="P124" s="12"/>
      <c r="Q124" s="12"/>
      <c r="R124" s="12"/>
    </row>
    <row r="125" spans="1:18" x14ac:dyDescent="0.25">
      <c r="A125" s="6"/>
      <c r="C125" s="6"/>
      <c r="D125" s="12"/>
      <c r="E125" s="12"/>
      <c r="F125" s="12"/>
      <c r="G125" s="12"/>
      <c r="H125" s="12"/>
      <c r="I125" s="12"/>
      <c r="J125" s="12"/>
      <c r="K125" s="12"/>
      <c r="L125" s="12"/>
      <c r="M125" s="12"/>
      <c r="N125" s="12"/>
      <c r="O125" s="12"/>
      <c r="P125" s="12"/>
      <c r="Q125" s="12"/>
      <c r="R125" s="12"/>
    </row>
    <row r="126" spans="1:18" x14ac:dyDescent="0.25">
      <c r="A126" s="6"/>
      <c r="C126" s="6"/>
      <c r="D126" s="12"/>
      <c r="E126" s="12"/>
      <c r="F126" s="12"/>
      <c r="G126" s="12"/>
      <c r="H126" s="12"/>
      <c r="I126" s="12"/>
      <c r="J126" s="12"/>
      <c r="K126" s="12"/>
      <c r="L126" s="12"/>
      <c r="M126" s="12"/>
      <c r="N126" s="12"/>
      <c r="O126" s="12"/>
      <c r="P126" s="12"/>
      <c r="Q126" s="12"/>
      <c r="R126" s="12"/>
    </row>
    <row r="127" spans="1:18" x14ac:dyDescent="0.25">
      <c r="A127" s="6"/>
      <c r="C127" s="6"/>
      <c r="D127" s="12"/>
      <c r="E127" s="12"/>
      <c r="F127" s="12"/>
      <c r="G127" s="12"/>
      <c r="H127" s="12"/>
      <c r="I127" s="12"/>
      <c r="J127" s="12"/>
      <c r="K127" s="12"/>
      <c r="L127" s="12"/>
      <c r="M127" s="12"/>
      <c r="N127" s="12"/>
      <c r="O127" s="12"/>
      <c r="P127" s="12"/>
      <c r="Q127" s="12"/>
      <c r="R127" s="12"/>
    </row>
    <row r="128" spans="1:18" x14ac:dyDescent="0.25">
      <c r="A128" s="6"/>
      <c r="C128" s="6"/>
      <c r="D128" s="12"/>
      <c r="E128" s="12"/>
      <c r="F128" s="12"/>
      <c r="G128" s="12"/>
      <c r="H128" s="12"/>
      <c r="I128" s="12"/>
      <c r="J128" s="12"/>
      <c r="K128" s="12"/>
      <c r="L128" s="12"/>
      <c r="M128" s="12"/>
      <c r="N128" s="12"/>
      <c r="O128" s="12"/>
      <c r="P128" s="12"/>
      <c r="Q128" s="12"/>
      <c r="R128" s="12"/>
    </row>
    <row r="129" spans="1:18" x14ac:dyDescent="0.25">
      <c r="A129" s="6"/>
      <c r="C129" s="6"/>
      <c r="D129" s="12"/>
      <c r="E129" s="12"/>
      <c r="F129" s="12"/>
      <c r="G129" s="12"/>
      <c r="H129" s="12"/>
      <c r="I129" s="12"/>
      <c r="J129" s="12"/>
      <c r="K129" s="12"/>
      <c r="L129" s="12"/>
      <c r="M129" s="12"/>
      <c r="N129" s="12"/>
      <c r="O129" s="12"/>
      <c r="P129" s="12"/>
      <c r="Q129" s="12"/>
      <c r="R129" s="12"/>
    </row>
    <row r="130" spans="1:18" x14ac:dyDescent="0.25">
      <c r="A130" s="6"/>
      <c r="C130" s="6"/>
      <c r="D130" s="12"/>
      <c r="E130" s="12"/>
      <c r="F130" s="12"/>
      <c r="G130" s="12"/>
      <c r="H130" s="12"/>
      <c r="I130" s="12"/>
      <c r="J130" s="12"/>
      <c r="K130" s="12"/>
      <c r="L130" s="12"/>
      <c r="M130" s="12"/>
      <c r="N130" s="12"/>
      <c r="O130" s="12"/>
      <c r="P130" s="12"/>
      <c r="Q130" s="12"/>
      <c r="R130" s="12"/>
    </row>
    <row r="131" spans="1:18" x14ac:dyDescent="0.25">
      <c r="A131" s="6"/>
      <c r="C131" s="6"/>
      <c r="D131" s="12"/>
      <c r="E131" s="12"/>
      <c r="F131" s="12"/>
      <c r="G131" s="12"/>
      <c r="H131" s="12"/>
      <c r="I131" s="12"/>
      <c r="J131" s="12"/>
      <c r="K131" s="12"/>
      <c r="L131" s="12"/>
      <c r="M131" s="12"/>
      <c r="N131" s="12"/>
      <c r="O131" s="12"/>
      <c r="P131" s="12"/>
      <c r="Q131" s="12"/>
      <c r="R131" s="12"/>
    </row>
    <row r="132" spans="1:18" x14ac:dyDescent="0.25">
      <c r="A132" s="6"/>
      <c r="C132" s="6"/>
      <c r="D132" s="12"/>
      <c r="E132" s="12"/>
      <c r="F132" s="12"/>
      <c r="G132" s="12"/>
      <c r="H132" s="12"/>
      <c r="I132" s="12"/>
      <c r="J132" s="12"/>
      <c r="K132" s="12"/>
      <c r="L132" s="12"/>
      <c r="M132" s="12"/>
      <c r="N132" s="12"/>
      <c r="O132" s="12"/>
      <c r="P132" s="12"/>
      <c r="Q132" s="12"/>
      <c r="R132" s="12"/>
    </row>
    <row r="133" spans="1:18" x14ac:dyDescent="0.25">
      <c r="A133" s="6"/>
      <c r="C133" s="6"/>
      <c r="D133" s="12"/>
      <c r="E133" s="12"/>
      <c r="F133" s="12"/>
      <c r="G133" s="12"/>
      <c r="H133" s="12"/>
      <c r="I133" s="12"/>
      <c r="J133" s="12"/>
      <c r="K133" s="12"/>
      <c r="L133" s="12"/>
      <c r="M133" s="12"/>
      <c r="N133" s="12"/>
      <c r="O133" s="12"/>
      <c r="P133" s="12"/>
      <c r="Q133" s="12"/>
      <c r="R133" s="12"/>
    </row>
    <row r="134" spans="1:18" x14ac:dyDescent="0.25">
      <c r="A134" s="6"/>
      <c r="C134" s="6"/>
      <c r="D134" s="12"/>
      <c r="E134" s="12"/>
      <c r="F134" s="12"/>
      <c r="G134" s="12"/>
      <c r="H134" s="12"/>
      <c r="I134" s="12"/>
      <c r="J134" s="12"/>
      <c r="K134" s="12"/>
      <c r="L134" s="12"/>
      <c r="M134" s="12"/>
      <c r="N134" s="12"/>
      <c r="O134" s="12"/>
      <c r="P134" s="12"/>
      <c r="Q134" s="12"/>
      <c r="R134" s="12"/>
    </row>
    <row r="135" spans="1:18" x14ac:dyDescent="0.25">
      <c r="A135" s="6"/>
      <c r="D135" s="12"/>
      <c r="E135" s="12"/>
      <c r="F135" s="12"/>
      <c r="G135" s="12"/>
      <c r="H135" s="12"/>
      <c r="I135" s="12"/>
      <c r="J135" s="12"/>
      <c r="K135" s="12"/>
      <c r="L135" s="12"/>
      <c r="M135" s="12"/>
      <c r="N135" s="12"/>
      <c r="O135" s="12"/>
      <c r="P135" s="12"/>
      <c r="Q135" s="12"/>
      <c r="R135" s="12"/>
    </row>
    <row r="136" spans="1:18" x14ac:dyDescent="0.25">
      <c r="A136" s="6"/>
      <c r="C136" s="6"/>
      <c r="D136" s="12"/>
      <c r="E136" s="12"/>
      <c r="F136" s="12"/>
      <c r="G136" s="12"/>
      <c r="H136" s="12"/>
      <c r="I136" s="12"/>
      <c r="J136" s="12"/>
      <c r="K136" s="12"/>
      <c r="L136" s="12"/>
      <c r="M136" s="12"/>
      <c r="N136" s="12"/>
      <c r="O136" s="12"/>
      <c r="P136" s="12"/>
      <c r="Q136" s="12"/>
      <c r="R136" s="12"/>
    </row>
    <row r="137" spans="1:18" x14ac:dyDescent="0.25">
      <c r="A137" s="6"/>
      <c r="C137" s="6"/>
      <c r="D137" s="12"/>
      <c r="E137" s="12"/>
      <c r="F137" s="12"/>
      <c r="G137" s="12"/>
      <c r="H137" s="12"/>
      <c r="I137" s="12"/>
      <c r="J137" s="12"/>
      <c r="K137" s="12"/>
      <c r="L137" s="12"/>
      <c r="M137" s="12"/>
      <c r="N137" s="12"/>
      <c r="O137" s="12"/>
      <c r="P137" s="12"/>
      <c r="Q137" s="12"/>
      <c r="R137" s="12"/>
    </row>
    <row r="138" spans="1:18" x14ac:dyDescent="0.25">
      <c r="A138" s="6"/>
      <c r="C138" s="6"/>
      <c r="D138" s="12"/>
      <c r="E138" s="12"/>
      <c r="F138" s="12"/>
      <c r="G138" s="12"/>
      <c r="H138" s="12"/>
      <c r="I138" s="12"/>
      <c r="J138" s="12"/>
      <c r="K138" s="12"/>
      <c r="L138" s="12"/>
      <c r="M138" s="12"/>
      <c r="N138" s="12"/>
      <c r="O138" s="12"/>
      <c r="P138" s="12"/>
      <c r="Q138" s="12"/>
      <c r="R138" s="12"/>
    </row>
    <row r="139" spans="1:18" x14ac:dyDescent="0.25">
      <c r="A139" s="6"/>
      <c r="C139" s="6"/>
      <c r="D139" s="12"/>
      <c r="E139" s="12"/>
      <c r="F139" s="12"/>
      <c r="G139" s="12"/>
      <c r="H139" s="12"/>
      <c r="I139" s="12"/>
      <c r="J139" s="12"/>
      <c r="K139" s="12"/>
      <c r="L139" s="12"/>
      <c r="M139" s="12"/>
      <c r="N139" s="12"/>
      <c r="O139" s="12"/>
      <c r="P139" s="12"/>
      <c r="Q139" s="12"/>
      <c r="R139" s="12"/>
    </row>
    <row r="140" spans="1:18" x14ac:dyDescent="0.25">
      <c r="A140" s="6"/>
    </row>
    <row r="141" spans="1:18" x14ac:dyDescent="0.25">
      <c r="A141" s="6"/>
      <c r="C141" s="6"/>
      <c r="D141" s="12"/>
      <c r="E141" s="12"/>
      <c r="F141" s="12"/>
      <c r="G141" s="12"/>
      <c r="H141" s="12"/>
      <c r="I141" s="12"/>
      <c r="J141" s="12"/>
      <c r="K141" s="12"/>
      <c r="L141" s="12"/>
      <c r="M141" s="12"/>
      <c r="N141" s="12"/>
      <c r="O141" s="12"/>
      <c r="P141" s="12"/>
      <c r="Q141" s="12"/>
      <c r="R141" s="12"/>
    </row>
    <row r="142" spans="1:18" x14ac:dyDescent="0.25">
      <c r="A142" s="6"/>
      <c r="C142" s="6"/>
      <c r="D142" s="12"/>
      <c r="E142" s="12"/>
      <c r="F142" s="12"/>
      <c r="G142" s="12"/>
      <c r="H142" s="12"/>
      <c r="I142" s="12"/>
      <c r="J142" s="12"/>
      <c r="K142" s="12"/>
      <c r="L142" s="12"/>
      <c r="M142" s="12"/>
      <c r="N142" s="12"/>
      <c r="O142" s="12"/>
      <c r="P142" s="12"/>
      <c r="Q142" s="12"/>
      <c r="R142" s="12"/>
    </row>
    <row r="143" spans="1:18" x14ac:dyDescent="0.25">
      <c r="A143" s="6"/>
      <c r="C143" s="6"/>
      <c r="D143" s="12"/>
      <c r="E143" s="12"/>
      <c r="F143" s="12"/>
      <c r="G143" s="12"/>
      <c r="H143" s="12"/>
      <c r="I143" s="12"/>
      <c r="J143" s="12"/>
      <c r="K143" s="12"/>
      <c r="L143" s="12"/>
      <c r="M143" s="12"/>
      <c r="N143" s="12"/>
      <c r="O143" s="12"/>
      <c r="P143" s="12"/>
      <c r="Q143" s="12"/>
      <c r="R143" s="12"/>
    </row>
    <row r="144" spans="1:18" x14ac:dyDescent="0.25">
      <c r="A144" s="6"/>
      <c r="C144" s="6"/>
      <c r="D144" s="12"/>
      <c r="E144" s="12"/>
      <c r="F144" s="12"/>
      <c r="G144" s="12"/>
      <c r="H144" s="12"/>
      <c r="I144" s="12"/>
      <c r="J144" s="12"/>
      <c r="K144" s="12"/>
      <c r="L144" s="12"/>
      <c r="M144" s="12"/>
      <c r="N144" s="12"/>
      <c r="O144" s="12"/>
      <c r="P144" s="12"/>
      <c r="Q144" s="12"/>
      <c r="R144" s="12"/>
    </row>
    <row r="145" spans="1:18" x14ac:dyDescent="0.25">
      <c r="A145" s="6"/>
      <c r="C145" s="6"/>
      <c r="D145" s="12"/>
      <c r="E145" s="12"/>
      <c r="F145" s="12"/>
      <c r="G145" s="12"/>
      <c r="H145" s="12"/>
      <c r="I145" s="12"/>
      <c r="J145" s="12"/>
      <c r="K145" s="12"/>
      <c r="L145" s="12"/>
      <c r="M145" s="12"/>
      <c r="N145" s="12"/>
      <c r="O145" s="12"/>
      <c r="P145" s="12"/>
      <c r="Q145" s="12"/>
      <c r="R145" s="12"/>
    </row>
    <row r="146" spans="1:18" x14ac:dyDescent="0.25">
      <c r="A146" s="6"/>
      <c r="C146" s="6"/>
      <c r="D146" s="12"/>
      <c r="E146" s="12"/>
      <c r="F146" s="12"/>
      <c r="G146" s="12"/>
      <c r="H146" s="12"/>
      <c r="I146" s="12"/>
      <c r="J146" s="12"/>
      <c r="K146" s="12"/>
      <c r="L146" s="12"/>
      <c r="M146" s="12"/>
      <c r="N146" s="12"/>
      <c r="O146" s="12"/>
      <c r="P146" s="12"/>
      <c r="Q146" s="12"/>
      <c r="R146" s="12"/>
    </row>
    <row r="147" spans="1:18" x14ac:dyDescent="0.25">
      <c r="A147" s="6"/>
      <c r="C147" s="6"/>
      <c r="D147" s="12"/>
      <c r="E147" s="12"/>
      <c r="F147" s="12"/>
      <c r="G147" s="12"/>
      <c r="H147" s="12"/>
      <c r="I147" s="12"/>
      <c r="J147" s="12"/>
      <c r="K147" s="12"/>
      <c r="L147" s="12"/>
      <c r="M147" s="12"/>
      <c r="N147" s="12"/>
      <c r="O147" s="12"/>
      <c r="P147" s="12"/>
      <c r="Q147" s="12"/>
      <c r="R147" s="12"/>
    </row>
    <row r="148" spans="1:18" x14ac:dyDescent="0.25">
      <c r="A148" s="6"/>
      <c r="C148" s="6"/>
      <c r="D148" s="12"/>
      <c r="E148" s="12"/>
      <c r="F148" s="12"/>
      <c r="G148" s="12"/>
      <c r="H148" s="12"/>
      <c r="I148" s="12"/>
      <c r="J148" s="12"/>
      <c r="K148" s="12"/>
      <c r="L148" s="12"/>
      <c r="M148" s="12"/>
      <c r="N148" s="12"/>
      <c r="O148" s="12"/>
      <c r="P148" s="12"/>
      <c r="Q148" s="12"/>
      <c r="R148" s="12"/>
    </row>
    <row r="149" spans="1:18" x14ac:dyDescent="0.25">
      <c r="A149" s="6"/>
      <c r="C149" s="6"/>
      <c r="D149" s="12"/>
      <c r="E149" s="12"/>
      <c r="F149" s="12"/>
      <c r="G149" s="12"/>
      <c r="H149" s="12"/>
      <c r="I149" s="12"/>
      <c r="J149" s="12"/>
      <c r="K149" s="12"/>
      <c r="L149" s="12"/>
      <c r="M149" s="12"/>
      <c r="N149" s="12"/>
      <c r="O149" s="12"/>
      <c r="P149" s="12"/>
      <c r="Q149" s="12"/>
      <c r="R149" s="12"/>
    </row>
    <row r="150" spans="1:18" x14ac:dyDescent="0.25">
      <c r="A150" s="6"/>
      <c r="C150" s="6"/>
      <c r="D150" s="12"/>
      <c r="E150" s="12"/>
      <c r="F150" s="12"/>
      <c r="G150" s="12"/>
      <c r="H150" s="12"/>
      <c r="I150" s="12"/>
      <c r="J150" s="12"/>
      <c r="K150" s="12"/>
      <c r="L150" s="12"/>
      <c r="M150" s="12"/>
      <c r="N150" s="12"/>
      <c r="O150" s="12"/>
      <c r="P150" s="12"/>
      <c r="Q150" s="12"/>
      <c r="R150" s="12"/>
    </row>
    <row r="151" spans="1:18" x14ac:dyDescent="0.25">
      <c r="A151" s="6"/>
      <c r="C151" s="6"/>
      <c r="D151" s="12"/>
      <c r="E151" s="12"/>
      <c r="F151" s="12"/>
      <c r="G151" s="12"/>
      <c r="H151" s="12"/>
      <c r="I151" s="12"/>
      <c r="J151" s="12"/>
      <c r="K151" s="12"/>
      <c r="L151" s="12"/>
      <c r="M151" s="12"/>
      <c r="N151" s="12"/>
      <c r="O151" s="12"/>
      <c r="P151" s="12"/>
      <c r="Q151" s="12"/>
      <c r="R151" s="12"/>
    </row>
    <row r="152" spans="1:18" x14ac:dyDescent="0.25">
      <c r="A152" s="6"/>
      <c r="C152" s="6"/>
      <c r="D152" s="12"/>
      <c r="E152" s="12"/>
      <c r="F152" s="12"/>
      <c r="G152" s="12"/>
      <c r="H152" s="12"/>
      <c r="I152" s="12"/>
      <c r="J152" s="12"/>
      <c r="K152" s="12"/>
      <c r="L152" s="12"/>
      <c r="M152" s="12"/>
      <c r="N152" s="12"/>
      <c r="O152" s="12"/>
      <c r="P152" s="12"/>
      <c r="Q152" s="12"/>
      <c r="R152" s="12"/>
    </row>
    <row r="153" spans="1:18" x14ac:dyDescent="0.25">
      <c r="A153" s="6"/>
      <c r="C153" s="6"/>
      <c r="D153" s="12"/>
      <c r="E153" s="12"/>
      <c r="F153" s="12"/>
      <c r="G153" s="12"/>
      <c r="H153" s="12"/>
      <c r="I153" s="12"/>
      <c r="J153" s="12"/>
      <c r="K153" s="12"/>
      <c r="L153" s="12"/>
      <c r="M153" s="12"/>
      <c r="N153" s="12"/>
      <c r="O153" s="12"/>
      <c r="P153" s="12"/>
      <c r="Q153" s="12"/>
      <c r="R153" s="12"/>
    </row>
    <row r="154" spans="1:18" x14ac:dyDescent="0.25">
      <c r="A154" s="6"/>
      <c r="C154" s="6"/>
      <c r="D154" s="12"/>
      <c r="E154" s="12"/>
      <c r="F154" s="12"/>
      <c r="G154" s="12"/>
      <c r="H154" s="12"/>
      <c r="I154" s="12"/>
      <c r="J154" s="12"/>
      <c r="K154" s="12"/>
      <c r="L154" s="12"/>
      <c r="M154" s="12"/>
      <c r="N154" s="12"/>
      <c r="O154" s="12"/>
      <c r="P154" s="12"/>
      <c r="Q154" s="12"/>
      <c r="R154" s="12"/>
    </row>
    <row r="155" spans="1:18" x14ac:dyDescent="0.25">
      <c r="A155" s="6"/>
      <c r="C155" s="6"/>
      <c r="D155" s="12"/>
      <c r="E155" s="12"/>
      <c r="F155" s="12"/>
      <c r="G155" s="12"/>
      <c r="H155" s="12"/>
      <c r="I155" s="12"/>
      <c r="J155" s="12"/>
      <c r="K155" s="12"/>
      <c r="L155" s="12"/>
      <c r="M155" s="12"/>
      <c r="N155" s="12"/>
      <c r="O155" s="12"/>
      <c r="P155" s="12"/>
      <c r="Q155" s="12"/>
      <c r="R155" s="12"/>
    </row>
    <row r="156" spans="1:18" x14ac:dyDescent="0.25">
      <c r="A156" s="6"/>
      <c r="C156" s="6"/>
      <c r="D156" s="12"/>
      <c r="E156" s="12"/>
      <c r="F156" s="12"/>
      <c r="G156" s="12"/>
      <c r="H156" s="12"/>
      <c r="I156" s="12"/>
      <c r="J156" s="12"/>
      <c r="K156" s="12"/>
      <c r="L156" s="12"/>
      <c r="M156" s="12"/>
      <c r="N156" s="12"/>
      <c r="O156" s="12"/>
      <c r="P156" s="12"/>
      <c r="Q156" s="12"/>
      <c r="R156" s="12"/>
    </row>
    <row r="157" spans="1:18" x14ac:dyDescent="0.25">
      <c r="A157" s="6"/>
      <c r="C157" s="6"/>
      <c r="D157" s="12"/>
      <c r="E157" s="12"/>
      <c r="F157" s="12"/>
      <c r="G157" s="12"/>
      <c r="H157" s="12"/>
      <c r="I157" s="12"/>
      <c r="J157" s="12"/>
      <c r="K157" s="12"/>
      <c r="L157" s="12"/>
      <c r="M157" s="12"/>
      <c r="N157" s="12"/>
      <c r="O157" s="12"/>
      <c r="P157" s="12"/>
      <c r="Q157" s="12"/>
      <c r="R157" s="12"/>
    </row>
    <row r="158" spans="1:18" x14ac:dyDescent="0.25">
      <c r="A158" s="6"/>
      <c r="C158" s="6"/>
      <c r="D158" s="12"/>
      <c r="E158" s="12"/>
      <c r="F158" s="12"/>
      <c r="G158" s="12"/>
      <c r="H158" s="12"/>
      <c r="I158" s="12"/>
      <c r="J158" s="12"/>
      <c r="K158" s="12"/>
      <c r="L158" s="12"/>
      <c r="M158" s="12"/>
      <c r="N158" s="12"/>
      <c r="O158" s="12"/>
      <c r="P158" s="12"/>
      <c r="Q158" s="12"/>
      <c r="R158" s="12"/>
    </row>
    <row r="159" spans="1:18" x14ac:dyDescent="0.25">
      <c r="A159" s="6"/>
      <c r="C159" s="6"/>
      <c r="D159" s="12"/>
      <c r="E159" s="12"/>
      <c r="F159" s="12"/>
      <c r="G159" s="12"/>
      <c r="H159" s="12"/>
      <c r="I159" s="12"/>
      <c r="J159" s="12"/>
      <c r="K159" s="12"/>
      <c r="L159" s="12"/>
      <c r="M159" s="12"/>
      <c r="N159" s="12"/>
      <c r="O159" s="12"/>
      <c r="P159" s="12"/>
      <c r="Q159" s="12"/>
      <c r="R159" s="12"/>
    </row>
    <row r="160" spans="1:18" x14ac:dyDescent="0.25">
      <c r="A160" s="6"/>
      <c r="C160" s="6"/>
      <c r="D160" s="12"/>
      <c r="E160" s="12"/>
      <c r="F160" s="12"/>
      <c r="G160" s="12"/>
      <c r="H160" s="12"/>
      <c r="I160" s="12"/>
      <c r="J160" s="12"/>
      <c r="K160" s="12"/>
      <c r="L160" s="12"/>
      <c r="M160" s="12"/>
      <c r="N160" s="12"/>
      <c r="O160" s="12"/>
      <c r="P160" s="12"/>
      <c r="Q160" s="12"/>
      <c r="R160" s="12"/>
    </row>
    <row r="161" spans="1:18" x14ac:dyDescent="0.25">
      <c r="A161" s="6"/>
      <c r="C161" s="6"/>
      <c r="D161" s="12"/>
      <c r="E161" s="12"/>
      <c r="F161" s="12"/>
      <c r="G161" s="12"/>
      <c r="H161" s="12"/>
      <c r="I161" s="12"/>
      <c r="J161" s="12"/>
      <c r="K161" s="12"/>
      <c r="L161" s="12"/>
      <c r="M161" s="12"/>
      <c r="N161" s="12"/>
      <c r="O161" s="12"/>
      <c r="P161" s="12"/>
      <c r="Q161" s="12"/>
      <c r="R161" s="12"/>
    </row>
    <row r="162" spans="1:18" x14ac:dyDescent="0.25">
      <c r="A162" s="6"/>
      <c r="C162" s="6"/>
      <c r="D162" s="12"/>
      <c r="E162" s="12"/>
      <c r="F162" s="12"/>
      <c r="G162" s="12"/>
      <c r="H162" s="12"/>
      <c r="I162" s="12"/>
      <c r="J162" s="12"/>
      <c r="K162" s="12"/>
      <c r="L162" s="12"/>
      <c r="M162" s="12"/>
      <c r="N162" s="12"/>
      <c r="O162" s="12"/>
      <c r="P162" s="12"/>
      <c r="Q162" s="12"/>
      <c r="R162" s="12"/>
    </row>
    <row r="163" spans="1:18" x14ac:dyDescent="0.25">
      <c r="A163" s="6"/>
      <c r="C163" s="6"/>
      <c r="D163" s="12"/>
      <c r="E163" s="12"/>
      <c r="F163" s="12"/>
      <c r="G163" s="12"/>
      <c r="H163" s="12"/>
      <c r="I163" s="12"/>
      <c r="J163" s="12"/>
      <c r="K163" s="12"/>
      <c r="L163" s="12"/>
      <c r="M163" s="12"/>
      <c r="N163" s="12"/>
      <c r="O163" s="12"/>
      <c r="P163" s="12"/>
      <c r="Q163" s="12"/>
      <c r="R163" s="12"/>
    </row>
    <row r="164" spans="1:18" x14ac:dyDescent="0.25">
      <c r="A164" s="6"/>
      <c r="C164" s="6"/>
      <c r="D164" s="12"/>
      <c r="E164" s="12"/>
      <c r="F164" s="12"/>
      <c r="G164" s="12"/>
      <c r="H164" s="12"/>
      <c r="I164" s="12"/>
      <c r="J164" s="12"/>
      <c r="K164" s="12"/>
      <c r="L164" s="12"/>
      <c r="M164" s="12"/>
      <c r="N164" s="12"/>
      <c r="O164" s="12"/>
      <c r="P164" s="12"/>
      <c r="Q164" s="12"/>
      <c r="R164" s="12"/>
    </row>
    <row r="165" spans="1:18" x14ac:dyDescent="0.25">
      <c r="A165" s="6"/>
      <c r="C165" s="6"/>
      <c r="D165" s="12"/>
      <c r="E165" s="12"/>
      <c r="F165" s="12"/>
      <c r="G165" s="12"/>
      <c r="H165" s="12"/>
      <c r="I165" s="12"/>
      <c r="J165" s="12"/>
      <c r="K165" s="12"/>
      <c r="L165" s="12"/>
      <c r="M165" s="12"/>
      <c r="N165" s="12"/>
      <c r="O165" s="12"/>
      <c r="P165" s="12"/>
      <c r="Q165" s="12"/>
      <c r="R165" s="12"/>
    </row>
    <row r="166" spans="1:18" x14ac:dyDescent="0.25">
      <c r="A166" s="6"/>
      <c r="C166" s="6"/>
      <c r="D166" s="12"/>
      <c r="E166" s="12"/>
      <c r="F166" s="12"/>
      <c r="G166" s="12"/>
      <c r="H166" s="12"/>
      <c r="I166" s="12"/>
      <c r="J166" s="12"/>
      <c r="K166" s="12"/>
      <c r="L166" s="12"/>
      <c r="M166" s="12"/>
      <c r="N166" s="12"/>
      <c r="O166" s="12"/>
      <c r="P166" s="12"/>
      <c r="Q166" s="12"/>
      <c r="R166" s="12"/>
    </row>
    <row r="167" spans="1:18" x14ac:dyDescent="0.25">
      <c r="A167" s="6"/>
      <c r="C167" s="6"/>
      <c r="D167" s="12"/>
      <c r="E167" s="12"/>
      <c r="F167" s="12"/>
      <c r="G167" s="12"/>
      <c r="H167" s="12"/>
      <c r="I167" s="12"/>
      <c r="J167" s="12"/>
      <c r="K167" s="12"/>
      <c r="L167" s="12"/>
      <c r="M167" s="12"/>
      <c r="N167" s="12"/>
      <c r="O167" s="12"/>
      <c r="P167" s="12"/>
      <c r="Q167" s="12"/>
      <c r="R167" s="12"/>
    </row>
    <row r="168" spans="1:18" x14ac:dyDescent="0.25">
      <c r="A168" s="6"/>
      <c r="C168" s="6"/>
      <c r="D168" s="12"/>
      <c r="E168" s="12"/>
      <c r="F168" s="12"/>
      <c r="G168" s="12"/>
      <c r="H168" s="12"/>
      <c r="I168" s="12"/>
      <c r="J168" s="12"/>
      <c r="K168" s="12"/>
      <c r="L168" s="12"/>
      <c r="M168" s="12"/>
      <c r="N168" s="12"/>
      <c r="O168" s="12"/>
      <c r="P168" s="12"/>
      <c r="Q168" s="12"/>
      <c r="R168" s="12"/>
    </row>
    <row r="169" spans="1:18" x14ac:dyDescent="0.25">
      <c r="A169" s="6"/>
      <c r="C169" s="6"/>
      <c r="D169" s="12"/>
      <c r="E169" s="12"/>
      <c r="F169" s="12"/>
      <c r="G169" s="12"/>
      <c r="H169" s="12"/>
      <c r="I169" s="12"/>
      <c r="J169" s="12"/>
      <c r="K169" s="12"/>
      <c r="L169" s="12"/>
      <c r="M169" s="12"/>
      <c r="N169" s="12"/>
      <c r="O169" s="12"/>
      <c r="P169" s="12"/>
      <c r="Q169" s="12"/>
      <c r="R169" s="12"/>
    </row>
    <row r="170" spans="1:18" x14ac:dyDescent="0.25">
      <c r="A170" s="6"/>
      <c r="C170" s="6"/>
      <c r="D170" s="12"/>
      <c r="E170" s="12"/>
      <c r="F170" s="12"/>
      <c r="G170" s="12"/>
      <c r="H170" s="12"/>
      <c r="I170" s="12"/>
      <c r="J170" s="12"/>
      <c r="K170" s="12"/>
      <c r="L170" s="12"/>
      <c r="M170" s="12"/>
      <c r="N170" s="12"/>
      <c r="O170" s="12"/>
      <c r="P170" s="12"/>
      <c r="Q170" s="12"/>
      <c r="R170" s="12"/>
    </row>
    <row r="184" spans="1:2" x14ac:dyDescent="0.25">
      <c r="A184" s="6" t="s">
        <v>231</v>
      </c>
      <c r="B184" s="6"/>
    </row>
    <row r="185" spans="1:2" x14ac:dyDescent="0.25">
      <c r="A185" s="6" t="s">
        <v>232</v>
      </c>
      <c r="B185" s="6"/>
    </row>
    <row r="186" spans="1:2" x14ac:dyDescent="0.25">
      <c r="A186" s="6" t="s">
        <v>233</v>
      </c>
      <c r="B186" s="6"/>
    </row>
    <row r="187" spans="1:2" x14ac:dyDescent="0.25">
      <c r="A187" s="6" t="s">
        <v>234</v>
      </c>
      <c r="B187" s="6"/>
    </row>
    <row r="188" spans="1:2" x14ac:dyDescent="0.25">
      <c r="A188" s="6" t="s">
        <v>235</v>
      </c>
      <c r="B188" s="6"/>
    </row>
    <row r="189" spans="1:2" ht="30" x14ac:dyDescent="0.25">
      <c r="A189" s="6" t="s">
        <v>236</v>
      </c>
      <c r="B189" s="6"/>
    </row>
    <row r="190" spans="1:2" ht="30" x14ac:dyDescent="0.25">
      <c r="A190" s="6" t="s">
        <v>294</v>
      </c>
      <c r="B190" s="6"/>
    </row>
    <row r="191" spans="1:2" ht="30" x14ac:dyDescent="0.25">
      <c r="A191" s="6" t="s">
        <v>295</v>
      </c>
      <c r="B191" s="6"/>
    </row>
    <row r="192" spans="1:2" x14ac:dyDescent="0.25">
      <c r="A192" s="6" t="s">
        <v>296</v>
      </c>
      <c r="B192" s="6"/>
    </row>
    <row r="193" spans="1:2" x14ac:dyDescent="0.25">
      <c r="A193" s="6" t="s">
        <v>33</v>
      </c>
      <c r="B193" s="6"/>
    </row>
    <row r="194" spans="1:2" x14ac:dyDescent="0.25">
      <c r="A194" s="6" t="s">
        <v>32</v>
      </c>
      <c r="B194" s="6"/>
    </row>
    <row r="195" spans="1:2" x14ac:dyDescent="0.25">
      <c r="A195" s="6" t="s">
        <v>237</v>
      </c>
      <c r="B195" s="6"/>
    </row>
    <row r="196" spans="1:2" x14ac:dyDescent="0.25">
      <c r="A196" s="6" t="s">
        <v>2</v>
      </c>
      <c r="B196" s="6"/>
    </row>
    <row r="197" spans="1:2" x14ac:dyDescent="0.25">
      <c r="A197" s="6" t="s">
        <v>238</v>
      </c>
      <c r="B197" s="6"/>
    </row>
    <row r="198" spans="1:2" x14ac:dyDescent="0.25">
      <c r="A198" s="6" t="s">
        <v>239</v>
      </c>
      <c r="B198" s="6"/>
    </row>
    <row r="199" spans="1:2" x14ac:dyDescent="0.25">
      <c r="A199" s="6" t="s">
        <v>240</v>
      </c>
      <c r="B199" s="6"/>
    </row>
    <row r="201" spans="1:2" x14ac:dyDescent="0.25">
      <c r="A201" s="6" t="s">
        <v>241</v>
      </c>
    </row>
    <row r="202" spans="1:2" x14ac:dyDescent="0.25">
      <c r="A202" s="6" t="s">
        <v>13</v>
      </c>
    </row>
    <row r="203" spans="1:2" x14ac:dyDescent="0.25">
      <c r="A203" s="6" t="s">
        <v>0</v>
      </c>
    </row>
    <row r="204" spans="1:2" x14ac:dyDescent="0.25">
      <c r="A204" s="6" t="s">
        <v>3</v>
      </c>
    </row>
    <row r="205" spans="1:2" x14ac:dyDescent="0.25">
      <c r="A205" s="6" t="s">
        <v>14</v>
      </c>
    </row>
    <row r="206" spans="1:2" x14ac:dyDescent="0.25">
      <c r="A206" s="6" t="s">
        <v>15</v>
      </c>
    </row>
    <row r="207" spans="1:2" x14ac:dyDescent="0.25">
      <c r="A207" s="6" t="s">
        <v>34</v>
      </c>
    </row>
    <row r="208" spans="1:2" x14ac:dyDescent="0.25">
      <c r="A208" s="6" t="s">
        <v>26</v>
      </c>
    </row>
    <row r="209" spans="1:1" x14ac:dyDescent="0.25">
      <c r="A209" s="6" t="s">
        <v>242</v>
      </c>
    </row>
    <row r="210" spans="1:1" x14ac:dyDescent="0.25">
      <c r="A210" s="6" t="s">
        <v>27</v>
      </c>
    </row>
    <row r="211" spans="1:1" x14ac:dyDescent="0.25">
      <c r="A211" s="6" t="s">
        <v>24</v>
      </c>
    </row>
    <row r="212" spans="1:1" x14ac:dyDescent="0.25">
      <c r="A212" s="6" t="s">
        <v>5</v>
      </c>
    </row>
    <row r="213" spans="1:1" x14ac:dyDescent="0.25">
      <c r="A213" s="6" t="s">
        <v>16</v>
      </c>
    </row>
    <row r="214" spans="1:1" x14ac:dyDescent="0.25">
      <c r="A214" s="6" t="s">
        <v>17</v>
      </c>
    </row>
    <row r="215" spans="1:1" x14ac:dyDescent="0.25">
      <c r="A215" s="6" t="s">
        <v>4</v>
      </c>
    </row>
    <row r="216" spans="1:1" x14ac:dyDescent="0.25">
      <c r="A216" s="6" t="s">
        <v>18</v>
      </c>
    </row>
    <row r="217" spans="1:1" x14ac:dyDescent="0.25">
      <c r="A217" s="6" t="s">
        <v>243</v>
      </c>
    </row>
    <row r="218" spans="1:1" x14ac:dyDescent="0.25">
      <c r="A218" s="6" t="s">
        <v>28</v>
      </c>
    </row>
    <row r="219" spans="1:1" ht="30" x14ac:dyDescent="0.25">
      <c r="A219" s="6" t="s">
        <v>19</v>
      </c>
    </row>
    <row r="220" spans="1:1" x14ac:dyDescent="0.25">
      <c r="A220" s="6" t="s">
        <v>244</v>
      </c>
    </row>
    <row r="221" spans="1:1" x14ac:dyDescent="0.25">
      <c r="A221" s="6" t="s">
        <v>20</v>
      </c>
    </row>
    <row r="222" spans="1:1" x14ac:dyDescent="0.25">
      <c r="A222" s="6" t="s">
        <v>23</v>
      </c>
    </row>
    <row r="223" spans="1:1" x14ac:dyDescent="0.25">
      <c r="A223" s="6" t="s">
        <v>25</v>
      </c>
    </row>
    <row r="224" spans="1:1" ht="30" x14ac:dyDescent="0.25">
      <c r="A224" s="6" t="s">
        <v>6</v>
      </c>
    </row>
    <row r="226" spans="1:1" x14ac:dyDescent="0.25">
      <c r="A226" s="6" t="s">
        <v>29</v>
      </c>
    </row>
    <row r="227" spans="1:1" x14ac:dyDescent="0.25">
      <c r="A227" s="6" t="s">
        <v>12</v>
      </c>
    </row>
    <row r="228" spans="1:1" x14ac:dyDescent="0.25">
      <c r="A228" s="6" t="s">
        <v>30</v>
      </c>
    </row>
    <row r="229" spans="1:1" x14ac:dyDescent="0.25">
      <c r="A229" s="6" t="s">
        <v>35</v>
      </c>
    </row>
    <row r="230" spans="1:1" x14ac:dyDescent="0.25">
      <c r="A230" s="6" t="s">
        <v>31</v>
      </c>
    </row>
    <row r="231" spans="1:1" x14ac:dyDescent="0.25">
      <c r="A231" s="6" t="s">
        <v>44</v>
      </c>
    </row>
    <row r="232" spans="1:1" x14ac:dyDescent="0.25">
      <c r="A232" s="6" t="s">
        <v>21</v>
      </c>
    </row>
    <row r="233" spans="1:1" ht="30" x14ac:dyDescent="0.25">
      <c r="A233" s="6" t="s">
        <v>7</v>
      </c>
    </row>
    <row r="234" spans="1:1" ht="45" x14ac:dyDescent="0.25">
      <c r="A234" s="6" t="s">
        <v>245</v>
      </c>
    </row>
    <row r="235" spans="1:1" x14ac:dyDescent="0.25">
      <c r="A235" s="6" t="s">
        <v>8</v>
      </c>
    </row>
    <row r="236" spans="1:1" x14ac:dyDescent="0.25">
      <c r="A236" s="6" t="s">
        <v>9</v>
      </c>
    </row>
    <row r="237" spans="1:1" x14ac:dyDescent="0.25">
      <c r="A237" s="6" t="s">
        <v>22</v>
      </c>
    </row>
    <row r="238" spans="1:1" x14ac:dyDescent="0.25">
      <c r="A238" s="6"/>
    </row>
    <row r="239" spans="1:1" x14ac:dyDescent="0.25">
      <c r="A239" s="6"/>
    </row>
  </sheetData>
  <phoneticPr fontId="0" type="noConversion"/>
  <dataValidations count="3">
    <dataValidation type="list" allowBlank="1" showInputMessage="1" showErrorMessage="1" sqref="A20:A27 A2:A17" xr:uid="{00000000-0002-0000-0000-000001000000}">
      <formula1>A$184:A$200</formula1>
    </dataValidation>
    <dataValidation type="list" allowBlank="1" showInputMessage="1" showErrorMessage="1" sqref="A31:A80" xr:uid="{00000000-0002-0000-0000-000002000000}">
      <formula1>$A$201:$A$224</formula1>
    </dataValidation>
    <dataValidation type="list" allowBlank="1" showInputMessage="1" showErrorMessage="1" sqref="A84:A170" xr:uid="{00000000-0002-0000-0000-000000000000}">
      <formula1>$A$226:$A$240</formula1>
    </dataValidation>
  </dataValidations>
  <pageMargins left="0.75" right="0.75" top="1" bottom="1" header="0.5" footer="0.5"/>
  <pageSetup orientation="portrait" horizontalDpi="4294967293" verticalDpi="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70"/>
  <sheetViews>
    <sheetView workbookViewId="0">
      <selection activeCell="D89" sqref="D89"/>
    </sheetView>
  </sheetViews>
  <sheetFormatPr defaultColWidth="9.140625" defaultRowHeight="15" x14ac:dyDescent="0.25"/>
  <cols>
    <col min="1" max="1" width="64.140625" style="4" customWidth="1"/>
    <col min="2" max="16" width="13.140625" style="4" customWidth="1"/>
    <col min="17" max="16384" width="9.140625" style="4"/>
  </cols>
  <sheetData>
    <row r="1" spans="1:18" x14ac:dyDescent="0.25">
      <c r="A1" s="1"/>
      <c r="B1" s="3">
        <v>2020</v>
      </c>
      <c r="C1" s="3">
        <v>2019</v>
      </c>
      <c r="D1" s="3">
        <v>2018</v>
      </c>
      <c r="E1" s="3">
        <v>2017</v>
      </c>
      <c r="F1" s="3">
        <v>2016</v>
      </c>
      <c r="G1" s="3">
        <v>2015</v>
      </c>
      <c r="H1" s="3">
        <v>2014</v>
      </c>
      <c r="I1" s="3">
        <v>2013</v>
      </c>
      <c r="J1" s="3">
        <v>2012</v>
      </c>
      <c r="K1" s="3">
        <v>2011</v>
      </c>
      <c r="L1" s="3">
        <v>2010</v>
      </c>
      <c r="M1" s="3">
        <v>2009</v>
      </c>
      <c r="N1" s="3">
        <v>2008</v>
      </c>
      <c r="O1" s="3">
        <v>2007</v>
      </c>
      <c r="P1" s="3">
        <v>2006</v>
      </c>
    </row>
    <row r="2" spans="1:18" x14ac:dyDescent="0.25">
      <c r="A2" s="1" t="s">
        <v>36</v>
      </c>
      <c r="B2" s="3"/>
      <c r="C2" s="3"/>
      <c r="D2" s="3"/>
      <c r="E2" s="3"/>
      <c r="F2" s="3"/>
      <c r="G2" s="3"/>
      <c r="H2" s="3"/>
      <c r="I2" s="3"/>
      <c r="J2" s="3"/>
      <c r="K2" s="3"/>
      <c r="L2" s="3"/>
      <c r="M2" s="3"/>
      <c r="N2" s="3"/>
      <c r="O2" s="3"/>
      <c r="P2" s="3"/>
    </row>
    <row r="3" spans="1:18" x14ac:dyDescent="0.25">
      <c r="B3" s="5">
        <f>DSUM('Financial Statements'!$A$1:$R$170,"2020",$R$3:$R$4)</f>
        <v>1043098</v>
      </c>
      <c r="C3" s="5">
        <f>DSUM('Financial Statements'!$A$1:$R$170,"2019",$R$3:$R$4)</f>
        <v>774831</v>
      </c>
      <c r="D3" s="5">
        <f>DSUM('Financial Statements'!$A$1:$R$170,"2018",$R$3:$R$4)</f>
        <v>765028</v>
      </c>
      <c r="E3" s="5">
        <f>DSUM('Financial Statements'!$A$1:$R$170,"2017",$R$3:$R$4)</f>
        <v>712543</v>
      </c>
      <c r="F3" s="5">
        <f>DSUM('Financial Statements'!$A$1:$R$170,"2016",$R$3:$R$4)</f>
        <v>674732</v>
      </c>
      <c r="G3" s="5">
        <f>DSUM('Financial Statements'!$A$1:$R$170,"2015",$R$3:$R$4)</f>
        <v>629290</v>
      </c>
      <c r="H3" s="5">
        <f>DSUM('Financial Statements'!$A$1:$R$170,"2014",$R$3:$R$4)</f>
        <v>575846</v>
      </c>
      <c r="I3" s="5">
        <f>DSUM('Financial Statements'!$A$1:$R$170,"2013",$R$3:$R$4)</f>
        <v>504785</v>
      </c>
      <c r="J3" s="5">
        <f>DSUM('Financial Statements'!$A$1:$R$170,"2012",$R$3:$R$4)</f>
        <v>473455</v>
      </c>
      <c r="K3" s="5">
        <f>DSUM('Financial Statements'!$A$1:$R$170,"2011",$R$3:$R$4)</f>
        <v>464938</v>
      </c>
      <c r="L3" s="5">
        <f>DSUM('Financial Statements'!$A$1:$R$170,"2010",$R$3:$R$4)</f>
        <v>487175</v>
      </c>
      <c r="M3" s="5">
        <f>DSUM('Financial Statements'!$A$1:$R$170,"2009",$R$3:$R$4)</f>
        <v>441978</v>
      </c>
      <c r="N3" s="5">
        <f>DSUM('Financial Statements'!$A$1:$R$170,"2008",$R$3:$R$4)</f>
        <v>445743</v>
      </c>
      <c r="O3" s="5">
        <f>DSUM('Financial Statements'!$A$1:$R$170,"2007",$R$3:$R$4)</f>
        <v>368844</v>
      </c>
      <c r="P3" s="5">
        <f>DSUM('Financial Statements'!$A$1:$R$170,"2006",$R$3:$R$4)</f>
        <v>291885</v>
      </c>
      <c r="R3" s="4" t="s">
        <v>37</v>
      </c>
    </row>
    <row r="4" spans="1:18" x14ac:dyDescent="0.25">
      <c r="A4" s="6" t="s">
        <v>231</v>
      </c>
      <c r="B4" s="7">
        <f t="dataTable" ref="B4:P13" dt2D="0" dtr="0" r1="R4"/>
        <v>187031</v>
      </c>
      <c r="C4" s="7">
        <v>232755</v>
      </c>
      <c r="D4" s="7">
        <v>210400</v>
      </c>
      <c r="E4" s="7">
        <v>200004</v>
      </c>
      <c r="F4" s="7">
        <v>192267</v>
      </c>
      <c r="G4" s="7">
        <v>180861</v>
      </c>
      <c r="H4" s="7">
        <v>151419</v>
      </c>
      <c r="I4" s="7">
        <v>128562</v>
      </c>
      <c r="J4" s="7">
        <v>120799</v>
      </c>
      <c r="K4" s="7">
        <v>109999</v>
      </c>
      <c r="L4" s="7">
        <v>108483</v>
      </c>
      <c r="M4" s="7">
        <v>101393</v>
      </c>
      <c r="N4" s="7">
        <v>88532</v>
      </c>
      <c r="O4" s="7">
        <v>78346</v>
      </c>
      <c r="P4" s="7">
        <v>68400</v>
      </c>
    </row>
    <row r="5" spans="1:18" x14ac:dyDescent="0.25">
      <c r="A5" s="6" t="s">
        <v>232</v>
      </c>
      <c r="B5" s="7">
        <v>-93487</v>
      </c>
      <c r="C5" s="7">
        <v>-110302</v>
      </c>
      <c r="D5" s="7">
        <v>-99513</v>
      </c>
      <c r="E5" s="7">
        <v>-91914</v>
      </c>
      <c r="F5" s="7">
        <v>-86090</v>
      </c>
      <c r="G5" s="7">
        <v>-77694</v>
      </c>
      <c r="H5" s="7">
        <v>-62367</v>
      </c>
      <c r="I5" s="7">
        <v>-52529</v>
      </c>
      <c r="J5" s="7">
        <v>-48928</v>
      </c>
      <c r="K5" s="7">
        <v>-43852</v>
      </c>
      <c r="L5" s="7">
        <v>-40214</v>
      </c>
      <c r="M5" s="7">
        <v>-38919</v>
      </c>
      <c r="N5" s="7">
        <v>-34064</v>
      </c>
      <c r="O5" s="7">
        <v>-30499</v>
      </c>
      <c r="P5" s="7">
        <v>-27736</v>
      </c>
    </row>
    <row r="6" spans="1:18" x14ac:dyDescent="0.25">
      <c r="A6" s="6" t="s">
        <v>233</v>
      </c>
      <c r="B6" s="7">
        <v>-90438</v>
      </c>
      <c r="C6" s="7">
        <v>-105091</v>
      </c>
      <c r="D6" s="7">
        <v>-95380</v>
      </c>
      <c r="E6" s="7">
        <v>-87508</v>
      </c>
      <c r="F6" s="7">
        <v>-82336</v>
      </c>
      <c r="G6" s="7">
        <v>-76204</v>
      </c>
      <c r="H6" s="7">
        <v>-63443</v>
      </c>
      <c r="I6" s="7">
        <v>-53843</v>
      </c>
      <c r="J6" s="7">
        <v>-50092</v>
      </c>
      <c r="K6" s="7">
        <v>-45739</v>
      </c>
      <c r="L6" s="7">
        <v>-43598</v>
      </c>
      <c r="M6" s="7">
        <v>-40819</v>
      </c>
      <c r="N6" s="7">
        <v>-34320</v>
      </c>
      <c r="O6" s="7">
        <v>-29457</v>
      </c>
      <c r="P6" s="7">
        <v>-25357</v>
      </c>
    </row>
    <row r="7" spans="1:18" ht="30" x14ac:dyDescent="0.25">
      <c r="A7" s="6" t="s">
        <v>294</v>
      </c>
      <c r="B7" s="7">
        <v>0</v>
      </c>
      <c r="C7" s="7">
        <v>0</v>
      </c>
      <c r="D7" s="7">
        <v>0</v>
      </c>
      <c r="E7" s="7">
        <v>0</v>
      </c>
      <c r="F7" s="7">
        <v>0</v>
      </c>
      <c r="G7" s="7">
        <v>0</v>
      </c>
      <c r="H7" s="7">
        <v>0</v>
      </c>
      <c r="I7" s="7">
        <v>0</v>
      </c>
      <c r="J7" s="7">
        <v>0</v>
      </c>
      <c r="K7" s="7">
        <v>0</v>
      </c>
      <c r="L7" s="7">
        <v>0</v>
      </c>
      <c r="M7" s="7">
        <v>0</v>
      </c>
      <c r="N7" s="7">
        <v>0</v>
      </c>
      <c r="O7" s="7">
        <v>0</v>
      </c>
      <c r="P7" s="7">
        <v>0</v>
      </c>
    </row>
    <row r="8" spans="1:18" x14ac:dyDescent="0.25">
      <c r="A8" s="6" t="s">
        <v>296</v>
      </c>
      <c r="B8" s="7">
        <v>0</v>
      </c>
      <c r="C8" s="7">
        <v>0</v>
      </c>
      <c r="D8" s="7">
        <v>0</v>
      </c>
      <c r="E8" s="7">
        <v>0</v>
      </c>
      <c r="F8" s="7">
        <v>0</v>
      </c>
      <c r="G8" s="7">
        <v>0</v>
      </c>
      <c r="H8" s="7">
        <v>0</v>
      </c>
      <c r="I8" s="7">
        <v>0</v>
      </c>
      <c r="J8" s="7">
        <v>0</v>
      </c>
      <c r="K8" s="7">
        <v>0</v>
      </c>
      <c r="L8" s="7">
        <v>0</v>
      </c>
      <c r="M8" s="7">
        <v>0</v>
      </c>
      <c r="N8" s="7">
        <v>0</v>
      </c>
      <c r="O8" s="7">
        <v>0</v>
      </c>
      <c r="P8" s="7">
        <v>0</v>
      </c>
    </row>
    <row r="9" spans="1:18" x14ac:dyDescent="0.25">
      <c r="A9" s="6" t="s">
        <v>33</v>
      </c>
      <c r="B9" s="7">
        <v>252</v>
      </c>
      <c r="C9" s="7">
        <v>376</v>
      </c>
      <c r="D9" s="7">
        <v>292</v>
      </c>
      <c r="E9" s="7">
        <v>281</v>
      </c>
      <c r="F9" s="7">
        <v>224</v>
      </c>
      <c r="G9" s="7">
        <v>310</v>
      </c>
      <c r="H9" s="7">
        <v>328</v>
      </c>
      <c r="I9" s="7">
        <v>367</v>
      </c>
      <c r="J9" s="7">
        <v>536</v>
      </c>
      <c r="K9" s="7">
        <v>568</v>
      </c>
      <c r="L9" s="7">
        <v>356</v>
      </c>
      <c r="M9" s="7">
        <v>467</v>
      </c>
      <c r="N9" s="7">
        <v>1060</v>
      </c>
      <c r="O9" s="7">
        <v>793</v>
      </c>
      <c r="P9" s="7">
        <v>515</v>
      </c>
    </row>
    <row r="10" spans="1:18" x14ac:dyDescent="0.25">
      <c r="A10" s="6" t="s">
        <v>32</v>
      </c>
      <c r="B10" s="7">
        <v>-1306</v>
      </c>
      <c r="C10" s="7">
        <v>-347</v>
      </c>
      <c r="D10" s="7">
        <v>-160</v>
      </c>
      <c r="E10" s="7">
        <v>-54</v>
      </c>
      <c r="F10" s="7">
        <v>-26</v>
      </c>
      <c r="G10" s="7">
        <v>-31</v>
      </c>
      <c r="H10" s="7">
        <v>-42</v>
      </c>
      <c r="I10" s="7">
        <v>-31</v>
      </c>
      <c r="J10" s="7">
        <v>-30</v>
      </c>
      <c r="K10" s="7">
        <v>-34</v>
      </c>
      <c r="L10" s="7">
        <v>-19</v>
      </c>
      <c r="M10" s="7">
        <v>-19</v>
      </c>
      <c r="N10" s="7">
        <v>-18</v>
      </c>
      <c r="O10" s="7">
        <v>-13</v>
      </c>
      <c r="P10" s="7">
        <v>-14</v>
      </c>
    </row>
    <row r="11" spans="1:18" x14ac:dyDescent="0.25">
      <c r="A11" s="6" t="s">
        <v>237</v>
      </c>
      <c r="B11" s="7">
        <v>0</v>
      </c>
      <c r="C11" s="7">
        <v>0</v>
      </c>
      <c r="D11" s="7">
        <v>0</v>
      </c>
      <c r="E11" s="7">
        <v>0</v>
      </c>
      <c r="F11" s="7">
        <v>0</v>
      </c>
      <c r="G11" s="7">
        <v>0</v>
      </c>
      <c r="H11" s="7">
        <v>0</v>
      </c>
      <c r="I11" s="7">
        <v>0</v>
      </c>
      <c r="J11" s="7">
        <v>0</v>
      </c>
      <c r="K11" s="7">
        <v>0</v>
      </c>
      <c r="L11" s="7">
        <v>0</v>
      </c>
      <c r="M11" s="7">
        <v>0</v>
      </c>
      <c r="N11" s="7">
        <v>0</v>
      </c>
      <c r="O11" s="7">
        <v>0</v>
      </c>
      <c r="P11" s="7">
        <v>0</v>
      </c>
    </row>
    <row r="12" spans="1:18" x14ac:dyDescent="0.25">
      <c r="A12" s="6" t="s">
        <v>2</v>
      </c>
      <c r="B12" s="7">
        <v>-809</v>
      </c>
      <c r="C12" s="7">
        <v>-3948</v>
      </c>
      <c r="D12" s="7">
        <v>-2987</v>
      </c>
      <c r="E12" s="7">
        <v>-4625</v>
      </c>
      <c r="F12" s="7">
        <v>-5403</v>
      </c>
      <c r="G12" s="7">
        <v>-6344</v>
      </c>
      <c r="H12" s="7">
        <v>-5919</v>
      </c>
      <c r="I12" s="7">
        <v>-5374</v>
      </c>
      <c r="J12" s="7">
        <v>-5418</v>
      </c>
      <c r="K12" s="7">
        <v>-5121</v>
      </c>
      <c r="L12" s="7">
        <v>-6327</v>
      </c>
      <c r="M12" s="7">
        <v>-5719</v>
      </c>
      <c r="N12" s="7">
        <v>-5896</v>
      </c>
      <c r="O12" s="7">
        <v>-5582</v>
      </c>
      <c r="P12" s="7">
        <v>-5011</v>
      </c>
    </row>
    <row r="13" spans="1:18" x14ac:dyDescent="0.25">
      <c r="A13" s="6" t="s">
        <v>238</v>
      </c>
      <c r="B13" s="8">
        <v>0</v>
      </c>
      <c r="C13" s="8">
        <v>0</v>
      </c>
      <c r="D13" s="8">
        <v>0</v>
      </c>
      <c r="E13" s="8">
        <v>0</v>
      </c>
      <c r="F13" s="8">
        <v>0</v>
      </c>
      <c r="G13" s="8">
        <v>0</v>
      </c>
      <c r="H13" s="8">
        <v>0</v>
      </c>
      <c r="I13" s="8">
        <v>0</v>
      </c>
      <c r="J13" s="8">
        <v>0</v>
      </c>
      <c r="K13" s="8">
        <v>0</v>
      </c>
      <c r="L13" s="8">
        <v>0</v>
      </c>
      <c r="M13" s="8">
        <v>0</v>
      </c>
      <c r="N13" s="8">
        <v>0</v>
      </c>
      <c r="O13" s="8">
        <v>0</v>
      </c>
      <c r="P13" s="8">
        <v>0</v>
      </c>
    </row>
    <row r="14" spans="1:18" x14ac:dyDescent="0.25">
      <c r="A14" s="6" t="s">
        <v>240</v>
      </c>
      <c r="B14" s="2">
        <f>SUM(B4:B13)</f>
        <v>1243</v>
      </c>
      <c r="C14" s="2">
        <f t="shared" ref="C14:P14" si="0">SUM(C4:C13)</f>
        <v>13443</v>
      </c>
      <c r="D14" s="2">
        <f t="shared" si="0"/>
        <v>12652</v>
      </c>
      <c r="E14" s="2">
        <f t="shared" si="0"/>
        <v>16184</v>
      </c>
      <c r="F14" s="2">
        <f t="shared" si="0"/>
        <v>18636</v>
      </c>
      <c r="G14" s="2">
        <f t="shared" si="0"/>
        <v>20898</v>
      </c>
      <c r="H14" s="2">
        <f t="shared" si="0"/>
        <v>19976</v>
      </c>
      <c r="I14" s="2">
        <f t="shared" si="0"/>
        <v>17152</v>
      </c>
      <c r="J14" s="2">
        <f t="shared" si="0"/>
        <v>16867</v>
      </c>
      <c r="K14" s="2">
        <f t="shared" si="0"/>
        <v>15821</v>
      </c>
      <c r="L14" s="2">
        <f t="shared" si="0"/>
        <v>18681</v>
      </c>
      <c r="M14" s="2">
        <f t="shared" si="0"/>
        <v>16384</v>
      </c>
      <c r="N14" s="2">
        <f t="shared" si="0"/>
        <v>15294</v>
      </c>
      <c r="O14" s="2">
        <f t="shared" si="0"/>
        <v>13588</v>
      </c>
      <c r="P14" s="2">
        <f t="shared" si="0"/>
        <v>10797</v>
      </c>
    </row>
    <row r="16" spans="1:18" x14ac:dyDescent="0.25">
      <c r="A16" s="1" t="s">
        <v>38</v>
      </c>
    </row>
    <row r="17" spans="1:16" x14ac:dyDescent="0.25">
      <c r="A17" s="1"/>
      <c r="B17" s="5">
        <f>DSUM('Financial Statements'!$A$1:$R$170,"2020",$R$3:$R$4)</f>
        <v>1043098</v>
      </c>
      <c r="C17" s="5">
        <f>DSUM('Financial Statements'!$A$1:$R$170,"2019",$R$3:$R$4)</f>
        <v>774831</v>
      </c>
      <c r="D17" s="5">
        <f>DSUM('Financial Statements'!$A$1:$R$170,"2018",$R$3:$R$4)</f>
        <v>765028</v>
      </c>
      <c r="E17" s="5">
        <f>DSUM('Financial Statements'!$A$1:$R$170,"2017",$R$3:$R$4)</f>
        <v>712543</v>
      </c>
      <c r="F17" s="5">
        <f>DSUM('Financial Statements'!$A$1:$R$170,"2016",$R$3:$R$4)</f>
        <v>674732</v>
      </c>
      <c r="G17" s="5">
        <f>DSUM('Financial Statements'!$A$1:$R$170,"2015",$R$3:$R$4)</f>
        <v>629290</v>
      </c>
      <c r="H17" s="5">
        <f>DSUM('Financial Statements'!$A$1:$R$170,"2014",$R$3:$R$4)</f>
        <v>575846</v>
      </c>
      <c r="I17" s="5">
        <f>DSUM('Financial Statements'!$A$1:$R$170,"2013",$R$3:$R$4)</f>
        <v>504785</v>
      </c>
      <c r="J17" s="5">
        <f>DSUM('Financial Statements'!$A$1:$R$170,"2012",$R$3:$R$4)</f>
        <v>473455</v>
      </c>
      <c r="K17" s="5">
        <f>DSUM('Financial Statements'!$A$1:$R$170,"2011",$R$3:$R$4)</f>
        <v>464938</v>
      </c>
      <c r="L17" s="5">
        <f>DSUM('Financial Statements'!$A$1:$R$170,"2010",$R$3:$R$4)</f>
        <v>487175</v>
      </c>
      <c r="M17" s="5">
        <f>DSUM('Financial Statements'!$A$1:$R$170,"2009",$R$3:$R$4)</f>
        <v>441978</v>
      </c>
      <c r="N17" s="5">
        <f>DSUM('Financial Statements'!$A$1:$R$170,"2008",$R$3:$R$4)</f>
        <v>445743</v>
      </c>
      <c r="O17" s="5">
        <f>DSUM('Financial Statements'!$A$1:$R$170,"2007",$R$3:$R$4)</f>
        <v>368844</v>
      </c>
      <c r="P17" s="5">
        <f>DSUM('Financial Statements'!$A$1:$R$170,"2006",$R$3:$R$4)</f>
        <v>291885</v>
      </c>
    </row>
    <row r="18" spans="1:16" x14ac:dyDescent="0.25">
      <c r="A18" s="6" t="s">
        <v>239</v>
      </c>
      <c r="B18" s="7">
        <f t="dataTable" ref="B18:P22" dt2D="0" dtr="0" r1="R4" ca="1"/>
        <v>0</v>
      </c>
      <c r="C18" s="7">
        <v>0</v>
      </c>
      <c r="D18" s="7">
        <v>0</v>
      </c>
      <c r="E18" s="7">
        <v>0</v>
      </c>
      <c r="F18" s="7">
        <v>0</v>
      </c>
      <c r="G18" s="7">
        <v>0</v>
      </c>
      <c r="H18" s="7">
        <v>0</v>
      </c>
      <c r="I18" s="7">
        <v>0</v>
      </c>
      <c r="J18" s="7">
        <v>0</v>
      </c>
      <c r="K18" s="7">
        <v>0</v>
      </c>
      <c r="L18" s="7">
        <v>0</v>
      </c>
      <c r="M18" s="7">
        <v>0</v>
      </c>
      <c r="N18" s="7">
        <v>0</v>
      </c>
      <c r="O18" s="7">
        <v>0</v>
      </c>
      <c r="P18" s="7">
        <v>0</v>
      </c>
    </row>
    <row r="19" spans="1:16" x14ac:dyDescent="0.25">
      <c r="A19" s="6" t="s">
        <v>234</v>
      </c>
      <c r="B19" s="7">
        <v>-91538</v>
      </c>
      <c r="C19" s="7">
        <v>-109732</v>
      </c>
      <c r="D19" s="7">
        <v>-98955</v>
      </c>
      <c r="E19" s="7">
        <v>-91178</v>
      </c>
      <c r="F19" s="7">
        <v>-85243</v>
      </c>
      <c r="G19" s="7">
        <v>-76969</v>
      </c>
      <c r="H19" s="7">
        <v>-61799</v>
      </c>
      <c r="I19" s="7">
        <v>-52059</v>
      </c>
      <c r="J19" s="7">
        <v>-48513</v>
      </c>
      <c r="K19" s="7">
        <v>-43486</v>
      </c>
      <c r="L19" s="7">
        <v>-39878</v>
      </c>
      <c r="M19" s="7">
        <v>-38609</v>
      </c>
      <c r="N19" s="7">
        <v>-33819</v>
      </c>
      <c r="O19" s="7">
        <v>-30296</v>
      </c>
      <c r="P19" s="7">
        <v>-27564</v>
      </c>
    </row>
    <row r="20" spans="1:16" x14ac:dyDescent="0.25">
      <c r="A20" s="6" t="s">
        <v>235</v>
      </c>
      <c r="B20" s="7">
        <v>-36952</v>
      </c>
      <c r="C20" s="7">
        <v>-42385</v>
      </c>
      <c r="D20" s="7">
        <v>-38543</v>
      </c>
      <c r="E20" s="7">
        <v>-35634</v>
      </c>
      <c r="F20" s="7">
        <v>-32561</v>
      </c>
      <c r="G20" s="7">
        <v>-29952</v>
      </c>
      <c r="H20" s="7">
        <v>-25048</v>
      </c>
      <c r="I20" s="7">
        <v>-21423</v>
      </c>
      <c r="J20" s="7">
        <v>-19893</v>
      </c>
      <c r="K20" s="7">
        <v>-18505</v>
      </c>
      <c r="L20" s="7">
        <v>-16628</v>
      </c>
      <c r="M20" s="7">
        <v>-17507</v>
      </c>
      <c r="N20" s="7">
        <v>-14484</v>
      </c>
      <c r="O20" s="7">
        <v>-12168</v>
      </c>
      <c r="P20" s="7">
        <v>-10991</v>
      </c>
    </row>
    <row r="21" spans="1:16" x14ac:dyDescent="0.25">
      <c r="A21" s="6" t="s">
        <v>236</v>
      </c>
      <c r="B21" s="7">
        <v>-25953</v>
      </c>
      <c r="C21" s="7">
        <v>-11051</v>
      </c>
      <c r="D21" s="7">
        <v>-9671</v>
      </c>
      <c r="E21" s="7">
        <v>-8488</v>
      </c>
      <c r="F21" s="7">
        <v>-7605</v>
      </c>
      <c r="G21" s="7">
        <v>-6399</v>
      </c>
      <c r="H21" s="7">
        <v>-5045</v>
      </c>
      <c r="I21" s="7">
        <v>-4191</v>
      </c>
      <c r="J21" s="7">
        <v>-3705</v>
      </c>
      <c r="K21" s="7">
        <v>-3262</v>
      </c>
      <c r="L21" s="7">
        <v>-3061</v>
      </c>
      <c r="M21" s="7">
        <v>-2830</v>
      </c>
      <c r="N21" s="7">
        <v>-1856</v>
      </c>
      <c r="O21" s="7">
        <v>-1840</v>
      </c>
      <c r="P21" s="7">
        <v>-1624</v>
      </c>
    </row>
    <row r="22" spans="1:16" x14ac:dyDescent="0.25">
      <c r="A22" s="6" t="s">
        <v>295</v>
      </c>
      <c r="B22" s="7">
        <v>0</v>
      </c>
      <c r="C22" s="7">
        <v>0</v>
      </c>
      <c r="D22" s="7">
        <v>0</v>
      </c>
      <c r="E22" s="7">
        <v>0</v>
      </c>
      <c r="F22" s="7">
        <v>0</v>
      </c>
      <c r="G22" s="7">
        <v>0</v>
      </c>
      <c r="H22" s="7">
        <v>0</v>
      </c>
      <c r="I22" s="7">
        <v>0</v>
      </c>
      <c r="J22" s="7">
        <v>0</v>
      </c>
      <c r="K22" s="7">
        <v>0</v>
      </c>
      <c r="L22" s="7">
        <v>0</v>
      </c>
      <c r="M22" s="7">
        <v>0</v>
      </c>
      <c r="N22" s="7">
        <v>0</v>
      </c>
      <c r="O22" s="7">
        <v>0</v>
      </c>
      <c r="P22" s="7">
        <v>0</v>
      </c>
    </row>
    <row r="24" spans="1:16" x14ac:dyDescent="0.25">
      <c r="A24" s="1" t="s">
        <v>39</v>
      </c>
    </row>
    <row r="25" spans="1:16" x14ac:dyDescent="0.25">
      <c r="B25" s="5">
        <f>DSUM('Financial Statements'!$A$1:$R$170,"2020",$R$3:$R$4)</f>
        <v>1043098</v>
      </c>
      <c r="C25" s="5">
        <f>DSUM('Financial Statements'!$A$1:$R$170,"2019",$R$3:$R$4)</f>
        <v>774831</v>
      </c>
      <c r="D25" s="5">
        <f>DSUM('Financial Statements'!$A$1:$R$170,"2018",$R$3:$R$4)</f>
        <v>765028</v>
      </c>
      <c r="E25" s="5">
        <f>DSUM('Financial Statements'!$A$1:$R$170,"2017",$R$3:$R$4)</f>
        <v>712543</v>
      </c>
      <c r="F25" s="5">
        <f>DSUM('Financial Statements'!$A$1:$R$170,"2016",$R$3:$R$4)</f>
        <v>674732</v>
      </c>
      <c r="G25" s="5">
        <f>DSUM('Financial Statements'!$A$1:$R$170,"2015",$R$3:$R$4)</f>
        <v>629290</v>
      </c>
      <c r="H25" s="5">
        <f>DSUM('Financial Statements'!$A$1:$R$170,"2014",$R$3:$R$4)</f>
        <v>575846</v>
      </c>
      <c r="I25" s="5">
        <f>DSUM('Financial Statements'!$A$1:$R$170,"2013",$R$3:$R$4)</f>
        <v>504785</v>
      </c>
      <c r="J25" s="5">
        <f>DSUM('Financial Statements'!$A$1:$R$170,"2012",$R$3:$R$4)</f>
        <v>473455</v>
      </c>
      <c r="K25" s="5">
        <f>DSUM('Financial Statements'!$A$1:$R$170,"2011",$R$3:$R$4)</f>
        <v>464938</v>
      </c>
      <c r="L25" s="5">
        <f>DSUM('Financial Statements'!$A$1:$R$170,"2010",$R$3:$R$4)</f>
        <v>487175</v>
      </c>
      <c r="M25" s="5">
        <f>DSUM('Financial Statements'!$A$1:$R$170,"2009",$R$3:$R$4)</f>
        <v>441978</v>
      </c>
      <c r="N25" s="5">
        <f>DSUM('Financial Statements'!$A$1:$R$170,"2008",$R$3:$R$4)</f>
        <v>445743</v>
      </c>
      <c r="O25" s="5">
        <f>DSUM('Financial Statements'!$A$1:$R$170,"2007",$R$3:$R$4)</f>
        <v>368844</v>
      </c>
      <c r="P25" s="5">
        <f>DSUM('Financial Statements'!$A$1:$R$170,"2006",$R$3:$R$4)</f>
        <v>291885</v>
      </c>
    </row>
    <row r="26" spans="1:16" x14ac:dyDescent="0.25">
      <c r="A26" s="6" t="s">
        <v>241</v>
      </c>
      <c r="B26" s="7">
        <f t="dataTable" ref="B26:P36" dt2D="0" dtr="0" r1="R4" ca="1"/>
        <v>16540</v>
      </c>
      <c r="C26" s="7">
        <v>12312</v>
      </c>
      <c r="D26" s="7">
        <v>11590</v>
      </c>
      <c r="E26" s="7">
        <v>9718</v>
      </c>
      <c r="F26" s="7">
        <v>9446</v>
      </c>
      <c r="G26" s="7">
        <v>12950</v>
      </c>
      <c r="H26" s="7">
        <v>16693</v>
      </c>
      <c r="I26" s="7">
        <v>17224</v>
      </c>
      <c r="J26" s="7">
        <v>17143</v>
      </c>
      <c r="K26" s="7">
        <v>21277</v>
      </c>
      <c r="L26" s="7">
        <v>24858</v>
      </c>
      <c r="M26" s="7">
        <v>22025</v>
      </c>
      <c r="N26" s="7">
        <v>22726</v>
      </c>
      <c r="O26" s="7">
        <v>20964</v>
      </c>
      <c r="P26" s="7">
        <v>18625</v>
      </c>
    </row>
    <row r="27" spans="1:16" x14ac:dyDescent="0.25">
      <c r="A27" s="6" t="s">
        <v>13</v>
      </c>
      <c r="B27" s="7">
        <v>3086</v>
      </c>
      <c r="C27" s="7">
        <v>5879</v>
      </c>
      <c r="D27" s="7">
        <v>6329</v>
      </c>
      <c r="E27" s="7">
        <v>5297</v>
      </c>
      <c r="F27" s="7">
        <v>4881</v>
      </c>
      <c r="G27" s="7">
        <v>4021</v>
      </c>
      <c r="H27" s="7">
        <v>3659</v>
      </c>
      <c r="I27" s="7">
        <v>3107</v>
      </c>
      <c r="J27" s="7">
        <v>2207</v>
      </c>
      <c r="K27" s="7">
        <v>2337</v>
      </c>
      <c r="L27" s="7">
        <v>2258</v>
      </c>
      <c r="M27" s="7">
        <v>1990</v>
      </c>
      <c r="N27" s="7">
        <v>1991</v>
      </c>
      <c r="O27" s="7">
        <v>1122</v>
      </c>
      <c r="P27" s="7">
        <v>865</v>
      </c>
    </row>
    <row r="28" spans="1:16" x14ac:dyDescent="0.25">
      <c r="A28" s="6" t="s">
        <v>0</v>
      </c>
      <c r="B28" s="7">
        <v>38209</v>
      </c>
      <c r="C28" s="7">
        <v>37823</v>
      </c>
      <c r="D28" s="7">
        <v>37721</v>
      </c>
      <c r="E28" s="7">
        <v>33712</v>
      </c>
      <c r="F28" s="7">
        <v>31732</v>
      </c>
      <c r="G28" s="7">
        <v>24833</v>
      </c>
      <c r="H28" s="7">
        <v>19403</v>
      </c>
      <c r="I28" s="7">
        <v>16695</v>
      </c>
      <c r="J28" s="7">
        <v>15213</v>
      </c>
      <c r="K28" s="7">
        <v>13819</v>
      </c>
      <c r="L28" s="7">
        <v>11487</v>
      </c>
      <c r="M28" s="7">
        <v>10240</v>
      </c>
      <c r="N28" s="7">
        <v>8500</v>
      </c>
      <c r="O28" s="7">
        <v>7969</v>
      </c>
      <c r="P28" s="7">
        <v>7220</v>
      </c>
    </row>
    <row r="29" spans="1:16" x14ac:dyDescent="0.25">
      <c r="A29" s="6" t="s">
        <v>3</v>
      </c>
      <c r="B29" s="7">
        <v>6793</v>
      </c>
      <c r="C29" s="7">
        <v>5597</v>
      </c>
      <c r="D29" s="7">
        <v>5564</v>
      </c>
      <c r="E29" s="7">
        <v>6522</v>
      </c>
      <c r="F29" s="7">
        <v>3756</v>
      </c>
      <c r="G29" s="7">
        <v>3025</v>
      </c>
      <c r="H29" s="7">
        <v>2543</v>
      </c>
      <c r="I29" s="7">
        <v>1976</v>
      </c>
      <c r="J29" s="7">
        <v>2511</v>
      </c>
      <c r="K29" s="7">
        <v>2029</v>
      </c>
      <c r="L29" s="7">
        <v>1872</v>
      </c>
      <c r="M29" s="7">
        <v>1566</v>
      </c>
      <c r="N29" s="7">
        <v>1494</v>
      </c>
      <c r="O29" s="7">
        <v>983</v>
      </c>
      <c r="P29" s="7">
        <v>812</v>
      </c>
    </row>
    <row r="30" spans="1:16" x14ac:dyDescent="0.25">
      <c r="A30" s="6" t="s">
        <v>14</v>
      </c>
      <c r="B30" s="7">
        <v>91365</v>
      </c>
      <c r="C30" s="7">
        <v>41303</v>
      </c>
      <c r="D30" s="7">
        <v>42947</v>
      </c>
      <c r="E30" s="7">
        <v>40410</v>
      </c>
      <c r="F30" s="7">
        <v>39323</v>
      </c>
      <c r="G30" s="7">
        <v>33622</v>
      </c>
      <c r="H30" s="7">
        <v>27457</v>
      </c>
      <c r="I30" s="7">
        <v>22777</v>
      </c>
      <c r="J30" s="7">
        <v>19668</v>
      </c>
      <c r="K30" s="7">
        <v>17978</v>
      </c>
      <c r="L30" s="7">
        <v>16157</v>
      </c>
      <c r="M30" s="7">
        <v>15555</v>
      </c>
      <c r="N30" s="7">
        <v>13100</v>
      </c>
      <c r="O30" s="7">
        <v>9553</v>
      </c>
      <c r="P30" s="7">
        <v>7776</v>
      </c>
    </row>
    <row r="31" spans="1:16" x14ac:dyDescent="0.25">
      <c r="A31" s="6" t="s">
        <v>15</v>
      </c>
      <c r="B31" s="7">
        <v>10241</v>
      </c>
      <c r="C31" s="7">
        <v>11037</v>
      </c>
      <c r="D31" s="7">
        <v>9110</v>
      </c>
      <c r="E31" s="7">
        <v>6451</v>
      </c>
      <c r="F31" s="7">
        <v>4717</v>
      </c>
      <c r="G31" s="7">
        <v>3455</v>
      </c>
      <c r="H31" s="7">
        <v>2453</v>
      </c>
      <c r="I31" s="7">
        <v>1685</v>
      </c>
      <c r="J31" s="7">
        <v>1021</v>
      </c>
      <c r="K31" s="7">
        <v>450</v>
      </c>
      <c r="L31" s="7">
        <v>510</v>
      </c>
      <c r="M31" s="7">
        <v>930</v>
      </c>
      <c r="N31" s="7">
        <v>997</v>
      </c>
      <c r="O31" s="7">
        <v>0</v>
      </c>
      <c r="P31" s="7">
        <v>0</v>
      </c>
    </row>
    <row r="32" spans="1:16" x14ac:dyDescent="0.25">
      <c r="A32" s="6" t="s">
        <v>34</v>
      </c>
      <c r="B32" s="7">
        <v>247</v>
      </c>
      <c r="C32" s="7">
        <v>210</v>
      </c>
      <c r="D32" s="7">
        <v>126</v>
      </c>
      <c r="E32" s="7">
        <v>0</v>
      </c>
      <c r="F32" s="7">
        <v>0</v>
      </c>
      <c r="G32" s="7">
        <v>0</v>
      </c>
      <c r="H32" s="7">
        <v>0</v>
      </c>
      <c r="I32" s="7">
        <v>0</v>
      </c>
      <c r="J32" s="7">
        <v>0</v>
      </c>
      <c r="K32" s="7">
        <v>0</v>
      </c>
      <c r="L32" s="7">
        <v>0</v>
      </c>
      <c r="M32" s="7">
        <v>0</v>
      </c>
      <c r="N32" s="7">
        <v>0</v>
      </c>
      <c r="O32" s="7">
        <v>0</v>
      </c>
      <c r="P32" s="7">
        <v>0</v>
      </c>
    </row>
    <row r="33" spans="1:16" x14ac:dyDescent="0.25">
      <c r="A33" s="6" t="s">
        <v>26</v>
      </c>
      <c r="B33" s="7">
        <v>1446</v>
      </c>
      <c r="C33" s="7">
        <v>1341</v>
      </c>
      <c r="D33" s="7">
        <v>1237</v>
      </c>
      <c r="E33" s="7">
        <v>1039</v>
      </c>
      <c r="F33" s="7">
        <v>1014</v>
      </c>
      <c r="G33" s="7">
        <v>862</v>
      </c>
      <c r="H33" s="7">
        <v>709</v>
      </c>
      <c r="I33" s="7">
        <v>659</v>
      </c>
      <c r="J33" s="7">
        <v>628</v>
      </c>
      <c r="K33" s="7">
        <v>608</v>
      </c>
      <c r="L33" s="7">
        <v>518</v>
      </c>
      <c r="M33" s="7">
        <v>551</v>
      </c>
      <c r="N33" s="7">
        <v>476</v>
      </c>
      <c r="O33" s="7">
        <v>253</v>
      </c>
      <c r="P33" s="7">
        <v>155</v>
      </c>
    </row>
    <row r="34" spans="1:16" x14ac:dyDescent="0.25">
      <c r="A34" s="6" t="s">
        <v>242</v>
      </c>
      <c r="B34" s="7">
        <v>5714</v>
      </c>
      <c r="C34" s="7">
        <v>4322</v>
      </c>
      <c r="D34" s="7">
        <v>3794</v>
      </c>
      <c r="E34" s="7">
        <v>2916</v>
      </c>
      <c r="F34" s="7">
        <v>2862</v>
      </c>
      <c r="G34" s="7">
        <v>2338</v>
      </c>
      <c r="H34" s="7">
        <v>2237</v>
      </c>
      <c r="I34" s="7">
        <v>1367</v>
      </c>
      <c r="J34" s="7">
        <v>1624</v>
      </c>
      <c r="K34" s="7">
        <v>1234</v>
      </c>
      <c r="L34" s="7">
        <v>1065</v>
      </c>
      <c r="M34" s="7">
        <v>1246</v>
      </c>
      <c r="N34" s="7">
        <v>1299</v>
      </c>
      <c r="O34" s="7">
        <v>883</v>
      </c>
      <c r="P34" s="7">
        <v>102</v>
      </c>
    </row>
    <row r="35" spans="1:16" x14ac:dyDescent="0.25">
      <c r="A35" s="6" t="s">
        <v>27</v>
      </c>
      <c r="B35" s="7">
        <v>730</v>
      </c>
      <c r="C35" s="7">
        <v>661</v>
      </c>
      <c r="D35" s="7">
        <v>372</v>
      </c>
      <c r="E35" s="7">
        <v>497</v>
      </c>
      <c r="F35" s="7">
        <v>848</v>
      </c>
      <c r="G35" s="7">
        <v>707</v>
      </c>
      <c r="H35" s="7">
        <v>443</v>
      </c>
      <c r="I35" s="7">
        <v>186</v>
      </c>
      <c r="J35" s="7">
        <v>158</v>
      </c>
      <c r="K35" s="7">
        <v>456</v>
      </c>
      <c r="L35" s="7">
        <v>457</v>
      </c>
      <c r="M35" s="7">
        <v>260</v>
      </c>
      <c r="N35" s="7">
        <v>660</v>
      </c>
      <c r="O35" s="7">
        <v>7</v>
      </c>
      <c r="P35" s="7">
        <v>0</v>
      </c>
    </row>
    <row r="36" spans="1:16" x14ac:dyDescent="0.25">
      <c r="A36" s="6" t="s">
        <v>24</v>
      </c>
      <c r="B36" s="8">
        <v>0</v>
      </c>
      <c r="C36" s="8">
        <v>0</v>
      </c>
      <c r="D36" s="8">
        <v>0</v>
      </c>
      <c r="E36" s="8">
        <v>0</v>
      </c>
      <c r="F36" s="8">
        <v>0</v>
      </c>
      <c r="G36" s="8">
        <v>0</v>
      </c>
      <c r="H36" s="8">
        <v>0</v>
      </c>
      <c r="I36" s="8">
        <v>0</v>
      </c>
      <c r="J36" s="8">
        <v>0</v>
      </c>
      <c r="K36" s="8">
        <v>0</v>
      </c>
      <c r="L36" s="8">
        <v>0</v>
      </c>
      <c r="M36" s="8">
        <v>0</v>
      </c>
      <c r="N36" s="8">
        <v>0</v>
      </c>
      <c r="O36" s="8">
        <v>0</v>
      </c>
      <c r="P36" s="8">
        <v>0</v>
      </c>
    </row>
    <row r="37" spans="1:16" x14ac:dyDescent="0.25">
      <c r="A37" s="6" t="s">
        <v>5</v>
      </c>
      <c r="B37" s="2">
        <f>SUM(B26:B36)</f>
        <v>174371</v>
      </c>
      <c r="C37" s="2">
        <f t="shared" ref="C37:P37" si="1">SUM(C26:C36)</f>
        <v>120485</v>
      </c>
      <c r="D37" s="2">
        <f t="shared" si="1"/>
        <v>118790</v>
      </c>
      <c r="E37" s="2">
        <f t="shared" si="1"/>
        <v>106562</v>
      </c>
      <c r="F37" s="2">
        <f t="shared" si="1"/>
        <v>98579</v>
      </c>
      <c r="G37" s="2">
        <f t="shared" si="1"/>
        <v>85813</v>
      </c>
      <c r="H37" s="2">
        <f t="shared" si="1"/>
        <v>75597</v>
      </c>
      <c r="I37" s="2">
        <f t="shared" si="1"/>
        <v>65676</v>
      </c>
      <c r="J37" s="2">
        <f t="shared" si="1"/>
        <v>60173</v>
      </c>
      <c r="K37" s="2">
        <f t="shared" si="1"/>
        <v>60188</v>
      </c>
      <c r="L37" s="2">
        <f t="shared" si="1"/>
        <v>59182</v>
      </c>
      <c r="M37" s="2">
        <f t="shared" si="1"/>
        <v>54363</v>
      </c>
      <c r="N37" s="2">
        <f t="shared" si="1"/>
        <v>51243</v>
      </c>
      <c r="O37" s="2">
        <f t="shared" si="1"/>
        <v>41734</v>
      </c>
      <c r="P37" s="2">
        <f t="shared" si="1"/>
        <v>35555</v>
      </c>
    </row>
    <row r="39" spans="1:16" x14ac:dyDescent="0.25">
      <c r="A39" s="1" t="s">
        <v>40</v>
      </c>
    </row>
    <row r="40" spans="1:16" x14ac:dyDescent="0.25">
      <c r="B40" s="5">
        <f>DSUM('Financial Statements'!$A$1:$R$170,"2020",$R$3:$R$4)</f>
        <v>1043098</v>
      </c>
      <c r="C40" s="5">
        <f>DSUM('Financial Statements'!$A$1:$R$170,"2019",$R$3:$R$4)</f>
        <v>774831</v>
      </c>
      <c r="D40" s="5">
        <f>DSUM('Financial Statements'!$A$1:$R$170,"2018",$R$3:$R$4)</f>
        <v>765028</v>
      </c>
      <c r="E40" s="5">
        <f>DSUM('Financial Statements'!$A$1:$R$170,"2017",$R$3:$R$4)</f>
        <v>712543</v>
      </c>
      <c r="F40" s="5">
        <f>DSUM('Financial Statements'!$A$1:$R$170,"2016",$R$3:$R$4)</f>
        <v>674732</v>
      </c>
      <c r="G40" s="5">
        <f>DSUM('Financial Statements'!$A$1:$R$170,"2015",$R$3:$R$4)</f>
        <v>629290</v>
      </c>
      <c r="H40" s="5">
        <f>DSUM('Financial Statements'!$A$1:$R$170,"2014",$R$3:$R$4)</f>
        <v>575846</v>
      </c>
      <c r="I40" s="5">
        <f>DSUM('Financial Statements'!$A$1:$R$170,"2013",$R$3:$R$4)</f>
        <v>504785</v>
      </c>
      <c r="J40" s="5">
        <f>DSUM('Financial Statements'!$A$1:$R$170,"2012",$R$3:$R$4)</f>
        <v>473455</v>
      </c>
      <c r="K40" s="5">
        <f>DSUM('Financial Statements'!$A$1:$R$170,"2011",$R$3:$R$4)</f>
        <v>464938</v>
      </c>
      <c r="L40" s="5">
        <f>DSUM('Financial Statements'!$A$1:$R$170,"2010",$R$3:$R$4)</f>
        <v>487175</v>
      </c>
      <c r="M40" s="5">
        <f>DSUM('Financial Statements'!$A$1:$R$170,"2009",$R$3:$R$4)</f>
        <v>441978</v>
      </c>
      <c r="N40" s="5">
        <f>DSUM('Financial Statements'!$A$1:$R$170,"2008",$R$3:$R$4)</f>
        <v>445743</v>
      </c>
      <c r="O40" s="5">
        <f>DSUM('Financial Statements'!$A$1:$R$170,"2007",$R$3:$R$4)</f>
        <v>368844</v>
      </c>
      <c r="P40" s="5">
        <f>DSUM('Financial Statements'!$A$1:$R$170,"2006",$R$3:$R$4)</f>
        <v>291885</v>
      </c>
    </row>
    <row r="41" spans="1:16" x14ac:dyDescent="0.25">
      <c r="A41" s="6" t="s">
        <v>16</v>
      </c>
      <c r="B41" s="7">
        <f t="dataTable" ref="B41:P51" dt2D="0" dtr="0" r1="R4" ca="1"/>
        <v>21174</v>
      </c>
      <c r="C41" s="7">
        <v>7051</v>
      </c>
      <c r="D41" s="7">
        <v>9289</v>
      </c>
      <c r="E41" s="7">
        <v>9870</v>
      </c>
      <c r="F41" s="7">
        <v>2127</v>
      </c>
      <c r="G41" s="7">
        <v>0</v>
      </c>
      <c r="H41" s="7">
        <v>0</v>
      </c>
      <c r="I41" s="7">
        <v>0</v>
      </c>
      <c r="J41" s="7">
        <v>0</v>
      </c>
      <c r="K41" s="7">
        <v>0</v>
      </c>
      <c r="L41" s="7">
        <v>0</v>
      </c>
      <c r="M41" s="7">
        <v>0</v>
      </c>
      <c r="N41" s="7">
        <v>0</v>
      </c>
      <c r="O41" s="7">
        <v>0</v>
      </c>
      <c r="P41" s="7">
        <v>0</v>
      </c>
    </row>
    <row r="42" spans="1:16" x14ac:dyDescent="0.25">
      <c r="A42" s="6" t="s">
        <v>17</v>
      </c>
      <c r="B42" s="7">
        <v>9511</v>
      </c>
      <c r="C42" s="7">
        <v>7838</v>
      </c>
      <c r="D42" s="7">
        <v>6800</v>
      </c>
      <c r="E42" s="7">
        <v>7215</v>
      </c>
      <c r="F42" s="7">
        <v>7262</v>
      </c>
      <c r="G42" s="7">
        <v>6000</v>
      </c>
      <c r="H42" s="7">
        <v>5520</v>
      </c>
      <c r="I42" s="7">
        <v>4870</v>
      </c>
      <c r="J42" s="7">
        <v>4234</v>
      </c>
      <c r="K42" s="7">
        <v>4307</v>
      </c>
      <c r="L42" s="7">
        <v>3965</v>
      </c>
      <c r="M42" s="7">
        <v>3667</v>
      </c>
      <c r="N42" s="7">
        <v>3658</v>
      </c>
      <c r="O42" s="7">
        <v>2483</v>
      </c>
      <c r="P42" s="7">
        <v>1942</v>
      </c>
    </row>
    <row r="43" spans="1:16" x14ac:dyDescent="0.25">
      <c r="A43" s="6" t="s">
        <v>4</v>
      </c>
      <c r="B43" s="7">
        <v>25012</v>
      </c>
      <c r="C43" s="7">
        <v>32468</v>
      </c>
      <c r="D43" s="7">
        <v>27892</v>
      </c>
      <c r="E43" s="7">
        <v>22735</v>
      </c>
      <c r="F43" s="7">
        <v>21140</v>
      </c>
      <c r="G43" s="7">
        <v>16635</v>
      </c>
      <c r="H43" s="7">
        <v>14529</v>
      </c>
      <c r="I43" s="7">
        <v>12242</v>
      </c>
      <c r="J43" s="7">
        <v>9554</v>
      </c>
      <c r="K43" s="7">
        <v>10300</v>
      </c>
      <c r="L43" s="7">
        <v>9706</v>
      </c>
      <c r="M43" s="7">
        <v>7088</v>
      </c>
      <c r="N43" s="7">
        <v>6987</v>
      </c>
      <c r="O43" s="7">
        <v>6219</v>
      </c>
      <c r="P43" s="7">
        <v>5054</v>
      </c>
    </row>
    <row r="44" spans="1:16" x14ac:dyDescent="0.25">
      <c r="A44" s="6" t="s">
        <v>18</v>
      </c>
      <c r="B44" s="7">
        <v>59503</v>
      </c>
      <c r="C44" s="7">
        <v>11157</v>
      </c>
      <c r="D44" s="7">
        <v>10937</v>
      </c>
      <c r="E44" s="7">
        <v>795</v>
      </c>
      <c r="F44" s="7">
        <v>740</v>
      </c>
      <c r="G44" s="7">
        <v>449</v>
      </c>
      <c r="H44" s="7">
        <v>451</v>
      </c>
      <c r="I44" s="7">
        <v>309</v>
      </c>
      <c r="J44" s="7">
        <v>377</v>
      </c>
      <c r="K44" s="7">
        <v>377</v>
      </c>
      <c r="L44" s="7">
        <v>257</v>
      </c>
      <c r="M44" s="7">
        <v>254</v>
      </c>
      <c r="N44" s="7">
        <v>596</v>
      </c>
      <c r="O44" s="7">
        <v>156</v>
      </c>
      <c r="P44" s="7">
        <v>130</v>
      </c>
    </row>
    <row r="45" spans="1:16" x14ac:dyDescent="0.25">
      <c r="A45" s="6" t="s">
        <v>243</v>
      </c>
      <c r="B45" s="7">
        <v>3988</v>
      </c>
      <c r="C45" s="7">
        <v>4423</v>
      </c>
      <c r="D45" s="7">
        <v>5088</v>
      </c>
      <c r="E45" s="7">
        <v>5331</v>
      </c>
      <c r="F45" s="7">
        <v>4898</v>
      </c>
      <c r="G45" s="7">
        <v>4378</v>
      </c>
      <c r="H45" s="7">
        <v>3287</v>
      </c>
      <c r="I45" s="7">
        <v>2722</v>
      </c>
      <c r="J45" s="7">
        <v>1951</v>
      </c>
      <c r="K45" s="7">
        <v>950</v>
      </c>
      <c r="L45" s="7">
        <v>906</v>
      </c>
      <c r="M45" s="7">
        <v>2038</v>
      </c>
      <c r="N45" s="7">
        <v>1818</v>
      </c>
      <c r="O45" s="7">
        <v>651</v>
      </c>
      <c r="P45" s="7">
        <v>650</v>
      </c>
    </row>
    <row r="46" spans="1:16" x14ac:dyDescent="0.25">
      <c r="A46" s="6" t="s">
        <v>28</v>
      </c>
      <c r="B46" s="7">
        <v>560</v>
      </c>
      <c r="C46" s="7">
        <v>479</v>
      </c>
      <c r="D46" s="7">
        <v>238</v>
      </c>
      <c r="E46" s="7">
        <v>903</v>
      </c>
      <c r="F46" s="7">
        <v>1176</v>
      </c>
      <c r="G46" s="7">
        <v>302</v>
      </c>
      <c r="H46" s="7">
        <v>254</v>
      </c>
      <c r="I46" s="7">
        <v>285</v>
      </c>
      <c r="J46" s="7">
        <v>222</v>
      </c>
      <c r="K46" s="7">
        <v>150</v>
      </c>
      <c r="L46" s="7">
        <v>176</v>
      </c>
      <c r="M46" s="7">
        <v>335</v>
      </c>
      <c r="N46" s="7">
        <v>1234</v>
      </c>
      <c r="O46" s="7">
        <v>132</v>
      </c>
      <c r="P46" s="7">
        <v>0</v>
      </c>
    </row>
    <row r="47" spans="1:16" x14ac:dyDescent="0.25">
      <c r="A47" s="6" t="s">
        <v>19</v>
      </c>
      <c r="B47" s="7">
        <v>0</v>
      </c>
      <c r="C47" s="7">
        <v>0</v>
      </c>
      <c r="D47" s="7">
        <v>0</v>
      </c>
      <c r="E47" s="7">
        <v>0</v>
      </c>
      <c r="F47" s="7">
        <v>0</v>
      </c>
      <c r="G47" s="7">
        <v>0</v>
      </c>
      <c r="H47" s="7">
        <v>0</v>
      </c>
      <c r="I47" s="7">
        <v>0</v>
      </c>
      <c r="J47" s="7">
        <v>0</v>
      </c>
      <c r="K47" s="7">
        <v>0</v>
      </c>
      <c r="L47" s="7">
        <v>0</v>
      </c>
      <c r="M47" s="7">
        <v>0</v>
      </c>
      <c r="N47" s="7">
        <v>0</v>
      </c>
      <c r="O47" s="7">
        <v>0</v>
      </c>
      <c r="P47" s="7">
        <v>0</v>
      </c>
    </row>
    <row r="48" spans="1:16" x14ac:dyDescent="0.25">
      <c r="A48" s="6" t="s">
        <v>244</v>
      </c>
      <c r="B48" s="7">
        <v>0</v>
      </c>
      <c r="C48" s="7">
        <v>0</v>
      </c>
      <c r="D48" s="7">
        <v>0</v>
      </c>
      <c r="E48" s="7">
        <v>0</v>
      </c>
      <c r="F48" s="7">
        <v>0</v>
      </c>
      <c r="G48" s="7">
        <v>0</v>
      </c>
      <c r="H48" s="7">
        <v>0</v>
      </c>
      <c r="I48" s="7">
        <v>0</v>
      </c>
      <c r="J48" s="7">
        <v>0</v>
      </c>
      <c r="K48" s="7">
        <v>0</v>
      </c>
      <c r="L48" s="7">
        <v>0</v>
      </c>
      <c r="M48" s="7">
        <v>0</v>
      </c>
      <c r="N48" s="7">
        <v>0</v>
      </c>
      <c r="O48" s="7">
        <v>0</v>
      </c>
      <c r="P48" s="7">
        <v>0</v>
      </c>
    </row>
    <row r="49" spans="1:18" x14ac:dyDescent="0.25">
      <c r="A49" s="6" t="s">
        <v>20</v>
      </c>
      <c r="B49" s="7">
        <v>0</v>
      </c>
      <c r="C49" s="7">
        <v>0</v>
      </c>
      <c r="D49" s="7">
        <v>0</v>
      </c>
      <c r="E49" s="7">
        <v>0</v>
      </c>
      <c r="F49" s="7">
        <v>0</v>
      </c>
      <c r="G49" s="7">
        <v>0</v>
      </c>
      <c r="H49" s="7">
        <v>0</v>
      </c>
      <c r="I49" s="7">
        <v>0</v>
      </c>
      <c r="J49" s="7">
        <v>0</v>
      </c>
      <c r="K49" s="7">
        <v>0</v>
      </c>
      <c r="L49" s="7">
        <v>0</v>
      </c>
      <c r="M49" s="7">
        <v>0</v>
      </c>
      <c r="N49" s="7">
        <v>0</v>
      </c>
      <c r="O49" s="7">
        <v>0</v>
      </c>
      <c r="P49" s="7">
        <v>0</v>
      </c>
    </row>
    <row r="50" spans="1:18" x14ac:dyDescent="0.25">
      <c r="A50" s="6" t="s">
        <v>23</v>
      </c>
      <c r="B50" s="7">
        <v>54623</v>
      </c>
      <c r="C50" s="7">
        <v>57069</v>
      </c>
      <c r="D50" s="7">
        <v>58546</v>
      </c>
      <c r="E50" s="7">
        <v>59713</v>
      </c>
      <c r="F50" s="7">
        <v>61236</v>
      </c>
      <c r="G50" s="7">
        <v>58049</v>
      </c>
      <c r="H50" s="7">
        <v>51556</v>
      </c>
      <c r="I50" s="7">
        <v>45248</v>
      </c>
      <c r="J50" s="7">
        <v>43835</v>
      </c>
      <c r="K50" s="7">
        <v>44104</v>
      </c>
      <c r="L50" s="7">
        <v>44172</v>
      </c>
      <c r="M50" s="7">
        <v>40613</v>
      </c>
      <c r="N50" s="7">
        <v>36950</v>
      </c>
      <c r="O50" s="7">
        <v>32093</v>
      </c>
      <c r="P50" s="7">
        <v>27779</v>
      </c>
    </row>
    <row r="51" spans="1:18" x14ac:dyDescent="0.25">
      <c r="A51" s="6" t="s">
        <v>25</v>
      </c>
      <c r="B51" s="8">
        <v>0</v>
      </c>
      <c r="C51" s="8">
        <v>0</v>
      </c>
      <c r="D51" s="8">
        <v>0</v>
      </c>
      <c r="E51" s="8">
        <v>0</v>
      </c>
      <c r="F51" s="8">
        <v>0</v>
      </c>
      <c r="G51" s="8">
        <v>0</v>
      </c>
      <c r="H51" s="8">
        <v>0</v>
      </c>
      <c r="I51" s="8">
        <v>0</v>
      </c>
      <c r="J51" s="8">
        <v>0</v>
      </c>
      <c r="K51" s="8">
        <v>0</v>
      </c>
      <c r="L51" s="8">
        <v>0</v>
      </c>
      <c r="M51" s="8">
        <v>0</v>
      </c>
      <c r="N51" s="8">
        <v>0</v>
      </c>
      <c r="O51" s="8">
        <v>0</v>
      </c>
      <c r="P51" s="8">
        <v>0</v>
      </c>
    </row>
    <row r="52" spans="1:18" x14ac:dyDescent="0.25">
      <c r="A52" s="6" t="s">
        <v>6</v>
      </c>
      <c r="B52" s="2">
        <f>SUM(B41:B51)</f>
        <v>174371</v>
      </c>
      <c r="C52" s="2">
        <f t="shared" ref="C52:P52" si="2">SUM(C41:C51)</f>
        <v>120485</v>
      </c>
      <c r="D52" s="2">
        <f t="shared" si="2"/>
        <v>118790</v>
      </c>
      <c r="E52" s="2">
        <f t="shared" si="2"/>
        <v>106562</v>
      </c>
      <c r="F52" s="2">
        <f t="shared" si="2"/>
        <v>98579</v>
      </c>
      <c r="G52" s="2">
        <f t="shared" si="2"/>
        <v>85813</v>
      </c>
      <c r="H52" s="2">
        <f t="shared" si="2"/>
        <v>75597</v>
      </c>
      <c r="I52" s="2">
        <f t="shared" si="2"/>
        <v>65676</v>
      </c>
      <c r="J52" s="2">
        <f t="shared" si="2"/>
        <v>60173</v>
      </c>
      <c r="K52" s="2">
        <f t="shared" si="2"/>
        <v>60188</v>
      </c>
      <c r="L52" s="2">
        <f t="shared" si="2"/>
        <v>59182</v>
      </c>
      <c r="M52" s="2">
        <f t="shared" si="2"/>
        <v>53995</v>
      </c>
      <c r="N52" s="2">
        <f t="shared" si="2"/>
        <v>51243</v>
      </c>
      <c r="O52" s="2">
        <f t="shared" si="2"/>
        <v>41734</v>
      </c>
      <c r="P52" s="2">
        <f t="shared" si="2"/>
        <v>35555</v>
      </c>
    </row>
    <row r="54" spans="1:18" x14ac:dyDescent="0.25">
      <c r="A54" s="1" t="s">
        <v>41</v>
      </c>
    </row>
    <row r="55" spans="1:18" x14ac:dyDescent="0.25">
      <c r="B55" s="5">
        <f>DSUM('Financial Statements'!$A$1:$R$170,"2020",$R$3:$R$4)</f>
        <v>1043098</v>
      </c>
      <c r="C55" s="5">
        <f>DSUM('Financial Statements'!$A$1:$R$170,"2019",$R$3:$R$4)</f>
        <v>774831</v>
      </c>
      <c r="D55" s="5">
        <f>DSUM('Financial Statements'!$A$1:$R$170,"2018",$R$3:$R$4)</f>
        <v>765028</v>
      </c>
      <c r="E55" s="5">
        <f>DSUM('Financial Statements'!$A$1:$R$170,"2017",$R$3:$R$4)</f>
        <v>712543</v>
      </c>
      <c r="F55" s="5">
        <f>DSUM('Financial Statements'!$A$1:$R$170,"2016",$R$3:$R$4)</f>
        <v>674732</v>
      </c>
      <c r="G55" s="5">
        <f>DSUM('Financial Statements'!$A$1:$R$170,"2015",$R$3:$R$4)</f>
        <v>629290</v>
      </c>
      <c r="H55" s="5">
        <f>DSUM('Financial Statements'!$A$1:$R$170,"2014",$R$3:$R$4)</f>
        <v>575846</v>
      </c>
      <c r="I55" s="5">
        <f>DSUM('Financial Statements'!$A$1:$R$170,"2013",$R$3:$R$4)</f>
        <v>504785</v>
      </c>
      <c r="J55" s="5">
        <f>DSUM('Financial Statements'!$A$1:$R$170,"2012",$R$3:$R$4)</f>
        <v>473455</v>
      </c>
      <c r="K55" s="5">
        <f>DSUM('Financial Statements'!$A$1:$R$170,"2011",$R$3:$R$4)</f>
        <v>464938</v>
      </c>
      <c r="L55" s="5">
        <f>DSUM('Financial Statements'!$A$1:$R$170,"2010",$R$3:$R$4)</f>
        <v>487175</v>
      </c>
      <c r="M55" s="5">
        <f>DSUM('Financial Statements'!$A$1:$R$170,"2009",$R$3:$R$4)</f>
        <v>441978</v>
      </c>
      <c r="N55" s="5">
        <f>DSUM('Financial Statements'!$A$1:$R$170,"2008",$R$3:$R$4)</f>
        <v>445743</v>
      </c>
      <c r="O55" s="5">
        <f>DSUM('Financial Statements'!$A$1:$R$170,"2007",$R$3:$R$4)</f>
        <v>368844</v>
      </c>
      <c r="P55" s="5">
        <f>DSUM('Financial Statements'!$A$1:$R$170,"2006",$R$3:$R$4)</f>
        <v>291885</v>
      </c>
    </row>
    <row r="56" spans="1:18" x14ac:dyDescent="0.25">
      <c r="A56" s="6" t="s">
        <v>29</v>
      </c>
      <c r="B56" s="7">
        <f t="dataTable" ref="B56:P63" dt2D="0" dtr="0" r1="R4" ca="1"/>
        <v>3106</v>
      </c>
      <c r="C56" s="7">
        <v>17362</v>
      </c>
      <c r="D56" s="7">
        <v>15507</v>
      </c>
      <c r="E56" s="7">
        <v>20582</v>
      </c>
      <c r="F56" s="7">
        <v>23841</v>
      </c>
      <c r="G56" s="7">
        <v>26963</v>
      </c>
      <c r="H56" s="7">
        <v>25609</v>
      </c>
      <c r="I56" s="7">
        <v>22190</v>
      </c>
      <c r="J56" s="7">
        <v>21779</v>
      </c>
      <c r="K56" s="7">
        <v>20408</v>
      </c>
      <c r="L56" s="7">
        <v>24671</v>
      </c>
      <c r="M56" s="7">
        <v>21655</v>
      </c>
      <c r="N56" s="7">
        <v>20148</v>
      </c>
      <c r="O56" s="7">
        <v>18390</v>
      </c>
      <c r="P56" s="7">
        <v>15307</v>
      </c>
      <c r="R56" s="7"/>
    </row>
    <row r="57" spans="1:18" x14ac:dyDescent="0.25">
      <c r="A57" s="6" t="s">
        <v>44</v>
      </c>
      <c r="B57" s="7">
        <v>0</v>
      </c>
      <c r="C57" s="7">
        <v>0</v>
      </c>
      <c r="D57" s="7">
        <v>0</v>
      </c>
      <c r="E57" s="7">
        <v>0</v>
      </c>
      <c r="F57" s="7">
        <v>0</v>
      </c>
      <c r="G57" s="7">
        <v>0</v>
      </c>
      <c r="H57" s="7">
        <v>0</v>
      </c>
      <c r="I57" s="7">
        <v>0</v>
      </c>
      <c r="J57" s="7">
        <v>0</v>
      </c>
      <c r="K57" s="7">
        <v>0</v>
      </c>
      <c r="L57" s="7">
        <v>0</v>
      </c>
      <c r="M57" s="7">
        <v>0</v>
      </c>
      <c r="N57" s="7">
        <v>0</v>
      </c>
      <c r="O57" s="7">
        <v>0</v>
      </c>
      <c r="P57" s="7">
        <v>0</v>
      </c>
      <c r="R57" s="18"/>
    </row>
    <row r="58" spans="1:18" x14ac:dyDescent="0.25">
      <c r="A58" s="6" t="s">
        <v>21</v>
      </c>
      <c r="B58" s="7">
        <v>25975</v>
      </c>
      <c r="C58" s="7">
        <v>11062</v>
      </c>
      <c r="D58" s="7">
        <v>9710</v>
      </c>
      <c r="E58" s="7">
        <v>8477</v>
      </c>
      <c r="F58" s="7">
        <v>7596</v>
      </c>
      <c r="G58" s="7">
        <v>6427</v>
      </c>
      <c r="H58" s="7">
        <v>5025</v>
      </c>
      <c r="I58" s="7">
        <v>4123</v>
      </c>
      <c r="J58" s="7">
        <v>3715</v>
      </c>
      <c r="K58" s="7">
        <v>3382</v>
      </c>
      <c r="L58" s="7">
        <v>3064</v>
      </c>
      <c r="M58" s="7">
        <v>2856</v>
      </c>
      <c r="N58" s="7">
        <v>2274</v>
      </c>
      <c r="O58" s="7">
        <v>1841</v>
      </c>
      <c r="P58" s="7">
        <v>1676</v>
      </c>
    </row>
    <row r="59" spans="1:18" x14ac:dyDescent="0.25">
      <c r="A59" s="6" t="s">
        <v>12</v>
      </c>
      <c r="B59" s="7">
        <v>-3719</v>
      </c>
      <c r="C59" s="7">
        <v>-3700</v>
      </c>
      <c r="D59" s="7">
        <v>-3098</v>
      </c>
      <c r="E59" s="7">
        <v>-6051</v>
      </c>
      <c r="F59" s="7">
        <v>-4470</v>
      </c>
      <c r="G59" s="7">
        <v>-7022</v>
      </c>
      <c r="H59" s="7">
        <v>-5971</v>
      </c>
      <c r="I59" s="7">
        <v>-3059</v>
      </c>
      <c r="J59" s="7">
        <v>-7021</v>
      </c>
      <c r="K59" s="7">
        <v>-5666</v>
      </c>
      <c r="L59" s="7">
        <v>-5451</v>
      </c>
      <c r="M59" s="7">
        <v>-6468</v>
      </c>
      <c r="N59" s="7">
        <v>-5940</v>
      </c>
      <c r="O59" s="7">
        <v>-5557</v>
      </c>
      <c r="P59" s="7">
        <v>-5565</v>
      </c>
    </row>
    <row r="60" spans="1:18" x14ac:dyDescent="0.25">
      <c r="A60" s="6" t="s">
        <v>35</v>
      </c>
      <c r="B60" s="7">
        <v>252</v>
      </c>
      <c r="C60" s="7">
        <v>376</v>
      </c>
      <c r="D60" s="7">
        <v>292</v>
      </c>
      <c r="E60" s="7">
        <v>281</v>
      </c>
      <c r="F60" s="7">
        <v>224</v>
      </c>
      <c r="G60" s="7">
        <v>310</v>
      </c>
      <c r="H60" s="7">
        <v>328</v>
      </c>
      <c r="I60" s="7">
        <v>367</v>
      </c>
      <c r="J60" s="7">
        <v>536</v>
      </c>
      <c r="K60" s="7">
        <v>568</v>
      </c>
      <c r="L60" s="7">
        <v>356</v>
      </c>
      <c r="M60" s="7">
        <v>467</v>
      </c>
      <c r="N60" s="7">
        <v>1060</v>
      </c>
      <c r="O60" s="7">
        <v>793</v>
      </c>
      <c r="P60" s="7">
        <v>515</v>
      </c>
    </row>
    <row r="61" spans="1:18" x14ac:dyDescent="0.25">
      <c r="A61" s="6" t="s">
        <v>31</v>
      </c>
      <c r="B61" s="7">
        <v>0</v>
      </c>
      <c r="C61" s="7">
        <v>0</v>
      </c>
      <c r="D61" s="7">
        <v>0</v>
      </c>
      <c r="E61" s="7">
        <v>0</v>
      </c>
      <c r="F61" s="7">
        <v>0</v>
      </c>
      <c r="G61" s="7">
        <v>0</v>
      </c>
      <c r="H61" s="7">
        <v>0</v>
      </c>
      <c r="I61" s="7">
        <v>0</v>
      </c>
      <c r="J61" s="7">
        <v>0</v>
      </c>
      <c r="K61" s="7">
        <v>0</v>
      </c>
      <c r="L61" s="7">
        <v>0</v>
      </c>
      <c r="M61" s="7">
        <v>0</v>
      </c>
      <c r="N61" s="7">
        <v>0</v>
      </c>
      <c r="O61" s="7">
        <v>0</v>
      </c>
      <c r="P61" s="7">
        <v>0</v>
      </c>
    </row>
    <row r="62" spans="1:18" x14ac:dyDescent="0.25">
      <c r="A62" s="6" t="s">
        <v>7</v>
      </c>
      <c r="B62" s="7">
        <v>1592</v>
      </c>
      <c r="C62" s="7">
        <v>4233</v>
      </c>
      <c r="D62" s="7">
        <v>-964</v>
      </c>
      <c r="E62" s="7">
        <v>-1648</v>
      </c>
      <c r="F62" s="7">
        <v>-3390</v>
      </c>
      <c r="G62" s="7">
        <v>-2580</v>
      </c>
      <c r="H62" s="7">
        <v>-793</v>
      </c>
      <c r="I62" s="7">
        <v>250</v>
      </c>
      <c r="J62" s="7">
        <v>-79</v>
      </c>
      <c r="K62" s="7">
        <v>-1238</v>
      </c>
      <c r="L62" s="7">
        <v>-783</v>
      </c>
      <c r="M62" s="7">
        <v>-518</v>
      </c>
      <c r="N62" s="7">
        <v>442</v>
      </c>
      <c r="O62" s="7">
        <v>-73</v>
      </c>
      <c r="P62" s="7">
        <v>136</v>
      </c>
    </row>
    <row r="63" spans="1:18" ht="30" x14ac:dyDescent="0.25">
      <c r="A63" s="6" t="s">
        <v>245</v>
      </c>
      <c r="B63" s="8">
        <v>-5244</v>
      </c>
      <c r="C63" s="8">
        <v>-10528</v>
      </c>
      <c r="D63" s="8">
        <v>-13152</v>
      </c>
      <c r="E63" s="8">
        <v>-12496</v>
      </c>
      <c r="F63" s="8">
        <v>-13498</v>
      </c>
      <c r="G63" s="8">
        <v>-9610</v>
      </c>
      <c r="H63" s="8">
        <v>-8708</v>
      </c>
      <c r="I63" s="8">
        <v>-8369</v>
      </c>
      <c r="J63" s="8">
        <v>-2901</v>
      </c>
      <c r="K63" s="8">
        <v>-4056</v>
      </c>
      <c r="L63" s="8">
        <v>-10129</v>
      </c>
      <c r="M63" s="8">
        <v>-8755</v>
      </c>
      <c r="N63" s="8">
        <v>-1090</v>
      </c>
      <c r="O63" s="8">
        <v>144</v>
      </c>
      <c r="P63" s="8">
        <v>-4395</v>
      </c>
    </row>
    <row r="64" spans="1:18" x14ac:dyDescent="0.25">
      <c r="A64" s="6" t="s">
        <v>42</v>
      </c>
      <c r="B64" s="2">
        <f>SUM(B56:B63)</f>
        <v>21962</v>
      </c>
      <c r="C64" s="2">
        <f>SUM(C56:C63)</f>
        <v>18805</v>
      </c>
      <c r="D64" s="2">
        <f>SUM(D56:D63)</f>
        <v>8295</v>
      </c>
      <c r="E64" s="2">
        <f t="shared" ref="E64:J64" si="3">SUM(E56:E63)</f>
        <v>9145</v>
      </c>
      <c r="F64" s="2">
        <f t="shared" si="3"/>
        <v>10303</v>
      </c>
      <c r="G64" s="2">
        <f t="shared" si="3"/>
        <v>14488</v>
      </c>
      <c r="H64" s="2">
        <f t="shared" si="3"/>
        <v>15490</v>
      </c>
      <c r="I64" s="2">
        <f t="shared" si="3"/>
        <v>15502</v>
      </c>
      <c r="J64" s="2">
        <f t="shared" si="3"/>
        <v>16029</v>
      </c>
      <c r="K64" s="2">
        <f t="shared" ref="K64:P64" si="4">SUM(K56:K63)</f>
        <v>13398</v>
      </c>
      <c r="L64" s="2">
        <f t="shared" si="4"/>
        <v>11728</v>
      </c>
      <c r="M64" s="2">
        <f t="shared" si="4"/>
        <v>9237</v>
      </c>
      <c r="N64" s="2">
        <f t="shared" si="4"/>
        <v>16894</v>
      </c>
      <c r="O64" s="2">
        <f t="shared" si="4"/>
        <v>15538</v>
      </c>
      <c r="P64" s="2">
        <f t="shared" si="4"/>
        <v>7674</v>
      </c>
    </row>
    <row r="65" spans="1:16" x14ac:dyDescent="0.25">
      <c r="B65" s="5">
        <f>DSUM('Financial Statements'!$A$1:$R$170,"2020",$R$3:$R$4)</f>
        <v>1043098</v>
      </c>
      <c r="C65" s="5">
        <f>DSUM('Financial Statements'!$A$1:$R$170,"2019",$R$3:$R$4)</f>
        <v>774831</v>
      </c>
      <c r="D65" s="5">
        <f>DSUM('Financial Statements'!$A$1:$R$170,"2018",$R$3:$R$4)</f>
        <v>765028</v>
      </c>
      <c r="E65" s="5">
        <f>DSUM('Financial Statements'!$A$1:$R$170,"2017",$R$3:$R$4)</f>
        <v>712543</v>
      </c>
      <c r="F65" s="5">
        <f>DSUM('Financial Statements'!$A$1:$R$170,"2016",$R$3:$R$4)</f>
        <v>674732</v>
      </c>
      <c r="G65" s="5">
        <f>DSUM('Financial Statements'!$A$1:$R$170,"2015",$R$3:$R$4)</f>
        <v>629290</v>
      </c>
      <c r="H65" s="5">
        <f>DSUM('Financial Statements'!$A$1:$R$170,"2014",$R$3:$R$4)</f>
        <v>575846</v>
      </c>
      <c r="I65" s="5">
        <f>DSUM('Financial Statements'!$A$1:$R$170,"2013",$R$3:$R$4)</f>
        <v>504785</v>
      </c>
      <c r="J65" s="5">
        <f>DSUM('Financial Statements'!$A$1:$R$170,"2012",$R$3:$R$4)</f>
        <v>473455</v>
      </c>
      <c r="K65" s="5">
        <f>DSUM('Financial Statements'!$A$1:$R$170,"2011",$R$3:$R$4)</f>
        <v>464938</v>
      </c>
      <c r="L65" s="5">
        <f>DSUM('Financial Statements'!$A$1:$R$170,"2010",$R$3:$R$4)</f>
        <v>487175</v>
      </c>
      <c r="M65" s="5">
        <f>DSUM('Financial Statements'!$A$1:$R$170,"2009",$R$3:$R$4)</f>
        <v>441978</v>
      </c>
      <c r="N65" s="5">
        <f>DSUM('Financial Statements'!$A$1:$R$170,"2008",$R$3:$R$4)</f>
        <v>445743</v>
      </c>
      <c r="O65" s="5">
        <f>DSUM('Financial Statements'!$A$1:$R$170,"2007",$R$3:$R$4)</f>
        <v>368844</v>
      </c>
      <c r="P65" s="5">
        <f>DSUM('Financial Statements'!$A$1:$R$170,"2006",$R$3:$R$4)</f>
        <v>291885</v>
      </c>
    </row>
    <row r="66" spans="1:16" x14ac:dyDescent="0.25">
      <c r="A66" s="6" t="s">
        <v>8</v>
      </c>
      <c r="B66" s="7">
        <f t="dataTable" ref="B66:P69" dt2D="0" dtr="0" r1="R4" ca="1"/>
        <v>-15159</v>
      </c>
      <c r="C66" s="7">
        <v>-2155</v>
      </c>
      <c r="D66" s="7">
        <v>9452</v>
      </c>
      <c r="E66" s="7">
        <v>7620</v>
      </c>
      <c r="F66" s="7">
        <v>2068</v>
      </c>
      <c r="G66" s="7">
        <v>0</v>
      </c>
      <c r="H66" s="7">
        <v>0</v>
      </c>
      <c r="I66" s="7">
        <v>0</v>
      </c>
      <c r="J66" s="7">
        <v>0</v>
      </c>
      <c r="K66" s="7">
        <v>0</v>
      </c>
      <c r="L66" s="7">
        <v>0</v>
      </c>
      <c r="M66" s="7">
        <v>0</v>
      </c>
      <c r="N66" s="7">
        <v>0</v>
      </c>
      <c r="O66" s="7">
        <v>0</v>
      </c>
      <c r="P66" s="7">
        <v>0</v>
      </c>
    </row>
    <row r="67" spans="1:16" x14ac:dyDescent="0.25">
      <c r="A67" s="6" t="s">
        <v>30</v>
      </c>
      <c r="B67" s="7">
        <v>-1306</v>
      </c>
      <c r="C67" s="7">
        <v>-347</v>
      </c>
      <c r="D67" s="7">
        <v>-160</v>
      </c>
      <c r="E67" s="7">
        <v>-54</v>
      </c>
      <c r="F67" s="7">
        <v>-26</v>
      </c>
      <c r="G67" s="7">
        <v>-31</v>
      </c>
      <c r="H67" s="7">
        <v>-42</v>
      </c>
      <c r="I67" s="7">
        <v>-31</v>
      </c>
      <c r="J67" s="7">
        <v>-30</v>
      </c>
      <c r="K67" s="7">
        <v>-34</v>
      </c>
      <c r="L67" s="7">
        <v>-19</v>
      </c>
      <c r="M67" s="7">
        <v>-19</v>
      </c>
      <c r="N67" s="7">
        <v>-18</v>
      </c>
      <c r="O67" s="7">
        <v>-13</v>
      </c>
      <c r="P67" s="7">
        <v>-14</v>
      </c>
    </row>
    <row r="68" spans="1:16" x14ac:dyDescent="0.25">
      <c r="A68" s="6" t="s">
        <v>9</v>
      </c>
      <c r="B68" s="7">
        <v>0</v>
      </c>
      <c r="C68" s="7">
        <v>-16137</v>
      </c>
      <c r="D68" s="7">
        <v>-16137</v>
      </c>
      <c r="E68" s="7">
        <v>-16137</v>
      </c>
      <c r="F68" s="7">
        <v>-16137</v>
      </c>
      <c r="G68" s="7">
        <v>-16137</v>
      </c>
      <c r="H68" s="7">
        <v>-15723</v>
      </c>
      <c r="I68" s="7">
        <v>-15723</v>
      </c>
      <c r="J68" s="7">
        <v>-15723</v>
      </c>
      <c r="K68" s="7">
        <v>-15723</v>
      </c>
      <c r="L68" s="7">
        <v>-13239</v>
      </c>
      <c r="M68" s="7">
        <v>-12825</v>
      </c>
      <c r="N68" s="7">
        <v>-11584</v>
      </c>
      <c r="O68" s="7">
        <v>-9515</v>
      </c>
      <c r="P68" s="7">
        <v>-7861</v>
      </c>
    </row>
    <row r="69" spans="1:16" x14ac:dyDescent="0.25">
      <c r="A69" s="6" t="s">
        <v>22</v>
      </c>
      <c r="B69" s="8">
        <v>0</v>
      </c>
      <c r="C69" s="8">
        <v>0</v>
      </c>
      <c r="D69" s="8">
        <v>0</v>
      </c>
      <c r="E69" s="8">
        <v>0</v>
      </c>
      <c r="F69" s="8">
        <v>0</v>
      </c>
      <c r="G69" s="8">
        <v>0</v>
      </c>
      <c r="H69" s="8">
        <v>0</v>
      </c>
      <c r="I69" s="8">
        <v>0</v>
      </c>
      <c r="J69" s="8">
        <v>0</v>
      </c>
      <c r="K69" s="8">
        <v>0</v>
      </c>
      <c r="L69" s="8">
        <v>0</v>
      </c>
      <c r="M69" s="8">
        <v>0</v>
      </c>
      <c r="N69" s="8">
        <v>0</v>
      </c>
      <c r="O69" s="8">
        <v>0</v>
      </c>
      <c r="P69" s="8">
        <v>0</v>
      </c>
    </row>
    <row r="70" spans="1:16" x14ac:dyDescent="0.25">
      <c r="A70" s="6" t="s">
        <v>43</v>
      </c>
      <c r="B70" s="2">
        <f>B64+SUM(B66:B69)</f>
        <v>5497</v>
      </c>
      <c r="C70" s="2">
        <f>C64+SUM(C66:C69)</f>
        <v>166</v>
      </c>
      <c r="D70" s="2">
        <f>D64+SUM(D66:D69)</f>
        <v>1450</v>
      </c>
      <c r="E70" s="2">
        <f t="shared" ref="E70:J70" si="5">E64+SUM(E66:E69)</f>
        <v>574</v>
      </c>
      <c r="F70" s="2">
        <f t="shared" si="5"/>
        <v>-3792</v>
      </c>
      <c r="G70" s="2">
        <f t="shared" si="5"/>
        <v>-1680</v>
      </c>
      <c r="H70" s="2">
        <f t="shared" si="5"/>
        <v>-275</v>
      </c>
      <c r="I70" s="2">
        <f t="shared" si="5"/>
        <v>-252</v>
      </c>
      <c r="J70" s="2">
        <f t="shared" si="5"/>
        <v>276</v>
      </c>
      <c r="K70" s="2">
        <f t="shared" ref="K70:P70" si="6">K64+SUM(K66:K69)</f>
        <v>-2359</v>
      </c>
      <c r="L70" s="2">
        <f t="shared" si="6"/>
        <v>-1530</v>
      </c>
      <c r="M70" s="2">
        <f t="shared" si="6"/>
        <v>-3607</v>
      </c>
      <c r="N70" s="2">
        <f t="shared" si="6"/>
        <v>5292</v>
      </c>
      <c r="O70" s="2">
        <f t="shared" si="6"/>
        <v>6010</v>
      </c>
      <c r="P70" s="2">
        <f t="shared" si="6"/>
        <v>-201</v>
      </c>
    </row>
  </sheetData>
  <dataValidations count="1">
    <dataValidation type="list" allowBlank="1" showInputMessage="1" showErrorMessage="1" sqref="C22:E22" xr:uid="{00000000-0002-0000-0100-000000000000}">
      <formula1>C$223:C$239</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2"/>
  <sheetViews>
    <sheetView workbookViewId="0">
      <pane xSplit="1" ySplit="1" topLeftCell="B5" activePane="bottomRight" state="frozen"/>
      <selection pane="topRight" activeCell="B1" sqref="B1"/>
      <selection pane="bottomLeft" activeCell="A2" sqref="A2"/>
      <selection pane="bottomRight" activeCell="A17" sqref="A17"/>
    </sheetView>
  </sheetViews>
  <sheetFormatPr defaultRowHeight="15" x14ac:dyDescent="0.25"/>
  <cols>
    <col min="1" max="1" width="54" style="4" customWidth="1"/>
    <col min="2" max="16" width="11.28515625" style="4" customWidth="1"/>
  </cols>
  <sheetData>
    <row r="1" spans="1:18" x14ac:dyDescent="0.2">
      <c r="A1" s="14" t="s">
        <v>90</v>
      </c>
      <c r="B1" s="21">
        <v>2020</v>
      </c>
      <c r="C1" s="21">
        <v>2019</v>
      </c>
      <c r="D1" s="21">
        <v>2018</v>
      </c>
      <c r="E1" s="21">
        <v>2017</v>
      </c>
      <c r="F1" s="21">
        <v>2016</v>
      </c>
      <c r="G1" s="21">
        <v>2015</v>
      </c>
      <c r="H1" s="21">
        <v>2014</v>
      </c>
      <c r="I1" s="21">
        <v>2013</v>
      </c>
      <c r="J1" s="21">
        <v>2012</v>
      </c>
      <c r="K1" s="21">
        <v>2011</v>
      </c>
      <c r="L1" s="21">
        <v>2010</v>
      </c>
      <c r="M1" s="21">
        <v>2009</v>
      </c>
      <c r="N1" s="21">
        <v>2008</v>
      </c>
      <c r="O1" s="21">
        <v>2007</v>
      </c>
      <c r="P1" s="21">
        <v>2006</v>
      </c>
      <c r="R1" s="52" t="s">
        <v>308</v>
      </c>
    </row>
    <row r="2" spans="1:18" x14ac:dyDescent="0.25">
      <c r="A2" s="4" t="s">
        <v>91</v>
      </c>
      <c r="B2" s="4">
        <v>0</v>
      </c>
      <c r="C2" s="4">
        <v>16234</v>
      </c>
      <c r="D2" s="4">
        <v>16234</v>
      </c>
      <c r="E2" s="4">
        <v>16219</v>
      </c>
      <c r="F2" s="4">
        <v>16068</v>
      </c>
      <c r="G2" s="4">
        <v>14626</v>
      </c>
      <c r="H2" s="4">
        <v>13210</v>
      </c>
      <c r="I2" s="4">
        <v>11363</v>
      </c>
      <c r="J2" s="4">
        <v>10080</v>
      </c>
      <c r="K2" s="4">
        <v>9942</v>
      </c>
      <c r="L2" s="4">
        <v>9546</v>
      </c>
      <c r="M2" s="4">
        <v>9383</v>
      </c>
      <c r="N2" s="4">
        <v>8918</v>
      </c>
      <c r="O2" s="4">
        <v>6801</v>
      </c>
      <c r="P2" s="55">
        <v>6169</v>
      </c>
    </row>
    <row r="3" spans="1:18" x14ac:dyDescent="0.25">
      <c r="A3" s="4" t="s">
        <v>92</v>
      </c>
      <c r="B3" s="4">
        <v>0</v>
      </c>
      <c r="C3" s="4">
        <v>36562</v>
      </c>
      <c r="D3" s="4">
        <v>37535</v>
      </c>
      <c r="E3" s="4">
        <v>41788</v>
      </c>
      <c r="F3" s="4">
        <v>41605</v>
      </c>
      <c r="G3" s="4">
        <v>41732</v>
      </c>
      <c r="H3" s="4">
        <v>39680</v>
      </c>
      <c r="I3" s="4">
        <v>31446</v>
      </c>
      <c r="J3" s="4">
        <v>27800</v>
      </c>
      <c r="K3" s="4">
        <v>28085</v>
      </c>
      <c r="L3" s="4">
        <v>27255</v>
      </c>
      <c r="M3" s="4">
        <v>26416</v>
      </c>
      <c r="N3" s="4">
        <v>26368</v>
      </c>
      <c r="O3" s="4">
        <v>19732</v>
      </c>
      <c r="P3" s="4">
        <v>17689</v>
      </c>
    </row>
    <row r="4" spans="1:18" x14ac:dyDescent="0.25">
      <c r="A4" s="4" t="s">
        <v>93</v>
      </c>
      <c r="B4" s="4">
        <v>0</v>
      </c>
      <c r="C4" s="4">
        <v>18110</v>
      </c>
      <c r="D4" s="4">
        <v>16413</v>
      </c>
      <c r="E4" s="4">
        <v>20330</v>
      </c>
      <c r="F4" s="4">
        <v>23820</v>
      </c>
      <c r="G4" s="4">
        <v>28965</v>
      </c>
      <c r="H4" s="4">
        <v>25727</v>
      </c>
      <c r="I4" s="4">
        <v>20831</v>
      </c>
      <c r="J4" s="4">
        <v>17440</v>
      </c>
      <c r="K4" s="4">
        <v>18273</v>
      </c>
      <c r="L4" s="4">
        <v>17878</v>
      </c>
      <c r="M4" s="4">
        <v>18546</v>
      </c>
      <c r="N4" s="4">
        <v>18728</v>
      </c>
      <c r="O4" s="4">
        <v>12478</v>
      </c>
      <c r="P4" s="4">
        <v>11593</v>
      </c>
    </row>
    <row r="6" spans="1:18" x14ac:dyDescent="0.25">
      <c r="A6" s="10" t="s">
        <v>94</v>
      </c>
      <c r="B6" s="31">
        <v>0.02</v>
      </c>
      <c r="C6" s="31">
        <v>0.02</v>
      </c>
      <c r="D6" s="31">
        <v>0.02</v>
      </c>
      <c r="E6" s="31">
        <v>0.02</v>
      </c>
      <c r="F6" s="31">
        <v>2.0500000000000001E-2</v>
      </c>
      <c r="G6" s="31">
        <v>2.1499999999999998E-2</v>
      </c>
      <c r="H6" s="31">
        <v>1.9E-2</v>
      </c>
      <c r="I6" s="31">
        <v>2.1000000000000001E-2</v>
      </c>
      <c r="J6" s="31">
        <v>1.8499999999999999E-2</v>
      </c>
      <c r="K6" s="31">
        <v>3.2000000000000001E-2</v>
      </c>
      <c r="L6" s="31">
        <v>2.8000000000000001E-2</v>
      </c>
      <c r="M6" s="31">
        <v>3.0499999999999999E-2</v>
      </c>
      <c r="N6" s="31">
        <v>5.1499999999999997E-2</v>
      </c>
      <c r="O6" s="31">
        <v>4.7500000000000001E-2</v>
      </c>
      <c r="P6" s="31">
        <v>4.3999999999999997E-2</v>
      </c>
      <c r="R6" s="47" t="s">
        <v>309</v>
      </c>
    </row>
    <row r="7" spans="1:18" x14ac:dyDescent="0.25">
      <c r="A7" s="10" t="s">
        <v>95</v>
      </c>
      <c r="B7" s="4">
        <v>0</v>
      </c>
      <c r="C7" s="4">
        <f>26347-5225</f>
        <v>21122</v>
      </c>
      <c r="D7" s="4">
        <f>24801-4428</f>
        <v>20373</v>
      </c>
      <c r="E7" s="4">
        <v>19126</v>
      </c>
      <c r="F7" s="4">
        <v>20554</v>
      </c>
      <c r="G7" s="4">
        <v>20554</v>
      </c>
      <c r="H7" s="4">
        <v>17176</v>
      </c>
      <c r="I7" s="4">
        <v>15044</v>
      </c>
      <c r="J7" s="4">
        <v>14056</v>
      </c>
      <c r="K7" s="4">
        <v>12993</v>
      </c>
      <c r="L7" s="4">
        <v>12891</v>
      </c>
      <c r="M7" s="4">
        <v>12249</v>
      </c>
      <c r="N7" s="4">
        <v>9776</v>
      </c>
      <c r="O7" s="55">
        <v>8467</v>
      </c>
      <c r="P7" s="4">
        <v>7549</v>
      </c>
      <c r="R7" s="53" t="s">
        <v>310</v>
      </c>
    </row>
    <row r="8" spans="1:18" x14ac:dyDescent="0.25">
      <c r="A8" s="10" t="s">
        <v>96</v>
      </c>
      <c r="B8" s="31">
        <v>0.22</v>
      </c>
      <c r="C8" s="31">
        <v>0.22</v>
      </c>
      <c r="D8" s="31">
        <v>0.22</v>
      </c>
      <c r="E8" s="31">
        <v>0.22</v>
      </c>
      <c r="F8" s="31">
        <v>0.22</v>
      </c>
      <c r="G8" s="31">
        <v>0.22</v>
      </c>
      <c r="H8" s="31">
        <v>0.22</v>
      </c>
      <c r="I8" s="31">
        <v>0.22</v>
      </c>
      <c r="J8" s="31">
        <v>0.26300000000000001</v>
      </c>
      <c r="K8" s="31">
        <v>0.26300000000000001</v>
      </c>
      <c r="L8" s="31">
        <v>0.26300000000000001</v>
      </c>
      <c r="M8" s="31">
        <v>0.28000000000000003</v>
      </c>
      <c r="N8" s="31">
        <v>0.28000000000000003</v>
      </c>
      <c r="O8" s="31">
        <v>0.28000000000000003</v>
      </c>
      <c r="P8" s="31">
        <v>0.28000000000000003</v>
      </c>
    </row>
    <row r="10" spans="1:18" x14ac:dyDescent="0.25">
      <c r="A10" s="4">
        <v>1</v>
      </c>
      <c r="B10" s="12">
        <f t="shared" ref="B10:P10" si="0">B2</f>
        <v>0</v>
      </c>
      <c r="C10" s="12">
        <f t="shared" si="0"/>
        <v>16234</v>
      </c>
      <c r="D10" s="12">
        <f t="shared" si="0"/>
        <v>16234</v>
      </c>
      <c r="E10" s="12">
        <f t="shared" si="0"/>
        <v>16219</v>
      </c>
      <c r="F10" s="12">
        <f t="shared" si="0"/>
        <v>16068</v>
      </c>
      <c r="G10" s="12">
        <f t="shared" si="0"/>
        <v>14626</v>
      </c>
      <c r="H10" s="12">
        <f t="shared" si="0"/>
        <v>13210</v>
      </c>
      <c r="I10" s="12">
        <f t="shared" si="0"/>
        <v>11363</v>
      </c>
      <c r="J10" s="12">
        <f t="shared" si="0"/>
        <v>10080</v>
      </c>
      <c r="K10" s="12">
        <f t="shared" si="0"/>
        <v>9942</v>
      </c>
      <c r="L10" s="12">
        <f t="shared" si="0"/>
        <v>9546</v>
      </c>
      <c r="M10" s="12">
        <f t="shared" si="0"/>
        <v>9383</v>
      </c>
      <c r="N10" s="12">
        <f t="shared" si="0"/>
        <v>8918</v>
      </c>
      <c r="O10" s="12">
        <f t="shared" si="0"/>
        <v>6801</v>
      </c>
      <c r="P10" s="12">
        <f t="shared" si="0"/>
        <v>6169</v>
      </c>
    </row>
    <row r="11" spans="1:18" x14ac:dyDescent="0.25">
      <c r="A11" s="4">
        <v>2</v>
      </c>
      <c r="B11" s="12">
        <f t="shared" ref="B11:P14" si="1">B$3/4</f>
        <v>0</v>
      </c>
      <c r="C11" s="12">
        <f t="shared" si="1"/>
        <v>9140.5</v>
      </c>
      <c r="D11" s="12">
        <f t="shared" si="1"/>
        <v>9383.75</v>
      </c>
      <c r="E11" s="12">
        <f t="shared" si="1"/>
        <v>10447</v>
      </c>
      <c r="F11" s="12">
        <f t="shared" si="1"/>
        <v>10401.25</v>
      </c>
      <c r="G11" s="12">
        <f t="shared" si="1"/>
        <v>10433</v>
      </c>
      <c r="H11" s="12">
        <f t="shared" si="1"/>
        <v>9920</v>
      </c>
      <c r="I11" s="12">
        <f t="shared" si="1"/>
        <v>7861.5</v>
      </c>
      <c r="J11" s="12">
        <f t="shared" si="1"/>
        <v>6950</v>
      </c>
      <c r="K11" s="12">
        <f t="shared" si="1"/>
        <v>7021.25</v>
      </c>
      <c r="L11" s="12">
        <f t="shared" si="1"/>
        <v>6813.75</v>
      </c>
      <c r="M11" s="12">
        <f t="shared" si="1"/>
        <v>6604</v>
      </c>
      <c r="N11" s="12">
        <f t="shared" si="1"/>
        <v>6592</v>
      </c>
      <c r="O11" s="12">
        <f t="shared" si="1"/>
        <v>4933</v>
      </c>
      <c r="P11" s="12">
        <f t="shared" si="1"/>
        <v>4422.25</v>
      </c>
    </row>
    <row r="12" spans="1:18" x14ac:dyDescent="0.25">
      <c r="A12" s="4">
        <v>3</v>
      </c>
      <c r="B12" s="12">
        <f t="shared" si="1"/>
        <v>0</v>
      </c>
      <c r="C12" s="12">
        <f t="shared" si="1"/>
        <v>9140.5</v>
      </c>
      <c r="D12" s="12">
        <f t="shared" si="1"/>
        <v>9383.75</v>
      </c>
      <c r="E12" s="12">
        <f t="shared" si="1"/>
        <v>10447</v>
      </c>
      <c r="F12" s="12">
        <f t="shared" si="1"/>
        <v>10401.25</v>
      </c>
      <c r="G12" s="12">
        <f t="shared" si="1"/>
        <v>10433</v>
      </c>
      <c r="H12" s="12">
        <f t="shared" si="1"/>
        <v>9920</v>
      </c>
      <c r="I12" s="12">
        <f t="shared" si="1"/>
        <v>7861.5</v>
      </c>
      <c r="J12" s="12">
        <f t="shared" si="1"/>
        <v>6950</v>
      </c>
      <c r="K12" s="12">
        <f t="shared" si="1"/>
        <v>7021.25</v>
      </c>
      <c r="L12" s="12">
        <f t="shared" si="1"/>
        <v>6813.75</v>
      </c>
      <c r="M12" s="12">
        <f t="shared" si="1"/>
        <v>6604</v>
      </c>
      <c r="N12" s="12">
        <f t="shared" si="1"/>
        <v>6592</v>
      </c>
      <c r="O12" s="12">
        <f t="shared" si="1"/>
        <v>4933</v>
      </c>
      <c r="P12" s="12">
        <f t="shared" si="1"/>
        <v>4422.25</v>
      </c>
    </row>
    <row r="13" spans="1:18" x14ac:dyDescent="0.25">
      <c r="A13" s="4">
        <v>4</v>
      </c>
      <c r="B13" s="12">
        <f t="shared" si="1"/>
        <v>0</v>
      </c>
      <c r="C13" s="12">
        <f t="shared" si="1"/>
        <v>9140.5</v>
      </c>
      <c r="D13" s="12">
        <f t="shared" si="1"/>
        <v>9383.75</v>
      </c>
      <c r="E13" s="12">
        <f t="shared" si="1"/>
        <v>10447</v>
      </c>
      <c r="F13" s="12">
        <f t="shared" si="1"/>
        <v>10401.25</v>
      </c>
      <c r="G13" s="12">
        <f t="shared" si="1"/>
        <v>10433</v>
      </c>
      <c r="H13" s="12">
        <f t="shared" si="1"/>
        <v>9920</v>
      </c>
      <c r="I13" s="12">
        <f t="shared" si="1"/>
        <v>7861.5</v>
      </c>
      <c r="J13" s="12">
        <f t="shared" si="1"/>
        <v>6950</v>
      </c>
      <c r="K13" s="12">
        <f t="shared" si="1"/>
        <v>7021.25</v>
      </c>
      <c r="L13" s="12">
        <f t="shared" si="1"/>
        <v>6813.75</v>
      </c>
      <c r="M13" s="12">
        <f t="shared" si="1"/>
        <v>6604</v>
      </c>
      <c r="N13" s="12">
        <f t="shared" si="1"/>
        <v>6592</v>
      </c>
      <c r="O13" s="12">
        <f t="shared" si="1"/>
        <v>4933</v>
      </c>
      <c r="P13" s="12">
        <f t="shared" si="1"/>
        <v>4422.25</v>
      </c>
    </row>
    <row r="14" spans="1:18" x14ac:dyDescent="0.25">
      <c r="A14" s="4">
        <v>5</v>
      </c>
      <c r="B14" s="12">
        <f t="shared" si="1"/>
        <v>0</v>
      </c>
      <c r="C14" s="12">
        <f t="shared" si="1"/>
        <v>9140.5</v>
      </c>
      <c r="D14" s="12">
        <f t="shared" si="1"/>
        <v>9383.75</v>
      </c>
      <c r="E14" s="12">
        <f t="shared" si="1"/>
        <v>10447</v>
      </c>
      <c r="F14" s="12">
        <f t="shared" si="1"/>
        <v>10401.25</v>
      </c>
      <c r="G14" s="12">
        <f t="shared" si="1"/>
        <v>10433</v>
      </c>
      <c r="H14" s="12">
        <f t="shared" si="1"/>
        <v>9920</v>
      </c>
      <c r="I14" s="12">
        <f t="shared" si="1"/>
        <v>7861.5</v>
      </c>
      <c r="J14" s="12">
        <f t="shared" si="1"/>
        <v>6950</v>
      </c>
      <c r="K14" s="12">
        <f t="shared" si="1"/>
        <v>7021.25</v>
      </c>
      <c r="L14" s="12">
        <f t="shared" si="1"/>
        <v>6813.75</v>
      </c>
      <c r="M14" s="12">
        <f t="shared" si="1"/>
        <v>6604</v>
      </c>
      <c r="N14" s="12">
        <f t="shared" si="1"/>
        <v>6592</v>
      </c>
      <c r="O14" s="12">
        <f t="shared" si="1"/>
        <v>4933</v>
      </c>
      <c r="P14" s="12">
        <f t="shared" si="1"/>
        <v>4422.25</v>
      </c>
      <c r="R14" s="39"/>
    </row>
    <row r="15" spans="1:18" x14ac:dyDescent="0.25">
      <c r="A15" s="4">
        <v>6</v>
      </c>
      <c r="B15" s="12">
        <f>0</f>
        <v>0</v>
      </c>
      <c r="C15" s="12">
        <f t="shared" ref="C15:O16" si="2">C14</f>
        <v>9140.5</v>
      </c>
      <c r="D15" s="12">
        <f t="shared" si="2"/>
        <v>9383.75</v>
      </c>
      <c r="E15" s="12">
        <f t="shared" si="2"/>
        <v>10447</v>
      </c>
      <c r="F15" s="12">
        <f t="shared" si="2"/>
        <v>10401.25</v>
      </c>
      <c r="G15" s="12">
        <f t="shared" si="2"/>
        <v>10433</v>
      </c>
      <c r="H15" s="12">
        <f t="shared" si="2"/>
        <v>9920</v>
      </c>
      <c r="I15" s="12">
        <f t="shared" si="2"/>
        <v>7861.5</v>
      </c>
      <c r="J15" s="12">
        <f t="shared" si="2"/>
        <v>6950</v>
      </c>
      <c r="K15" s="12">
        <f t="shared" si="2"/>
        <v>7021.25</v>
      </c>
      <c r="L15" s="12">
        <f t="shared" si="2"/>
        <v>6813.75</v>
      </c>
      <c r="M15" s="12">
        <f t="shared" si="2"/>
        <v>6604</v>
      </c>
      <c r="N15" s="12">
        <f t="shared" si="2"/>
        <v>6592</v>
      </c>
      <c r="O15" s="12">
        <f t="shared" si="2"/>
        <v>4933</v>
      </c>
      <c r="P15" s="12">
        <f>P14</f>
        <v>4422.25</v>
      </c>
      <c r="R15" s="54" t="s">
        <v>311</v>
      </c>
    </row>
    <row r="16" spans="1:18" x14ac:dyDescent="0.25">
      <c r="A16" s="4">
        <v>7</v>
      </c>
      <c r="B16" s="12">
        <v>0</v>
      </c>
      <c r="C16" s="12">
        <f>C4-C15</f>
        <v>8969.5</v>
      </c>
      <c r="D16" s="12">
        <f>D4-D15</f>
        <v>7029.25</v>
      </c>
      <c r="E16" s="12">
        <f>E4-E15</f>
        <v>9883</v>
      </c>
      <c r="F16" s="12">
        <f t="shared" si="2"/>
        <v>10401.25</v>
      </c>
      <c r="G16" s="12">
        <f t="shared" si="2"/>
        <v>10433</v>
      </c>
      <c r="H16" s="12">
        <f t="shared" si="2"/>
        <v>9920</v>
      </c>
      <c r="I16" s="12">
        <f t="shared" si="2"/>
        <v>7861.5</v>
      </c>
      <c r="J16" s="12">
        <f t="shared" si="2"/>
        <v>6950</v>
      </c>
      <c r="K16" s="12">
        <f t="shared" si="2"/>
        <v>7021.25</v>
      </c>
      <c r="L16" s="12">
        <f t="shared" si="2"/>
        <v>6813.75</v>
      </c>
      <c r="M16" s="12">
        <f t="shared" si="2"/>
        <v>6604</v>
      </c>
      <c r="N16" s="12">
        <f t="shared" si="2"/>
        <v>6592</v>
      </c>
      <c r="O16" s="12">
        <f t="shared" si="2"/>
        <v>4933</v>
      </c>
      <c r="P16" s="12">
        <f>P15</f>
        <v>4422.25</v>
      </c>
      <c r="R16" s="39"/>
    </row>
    <row r="17" spans="1:18" x14ac:dyDescent="0.25">
      <c r="A17" s="4">
        <v>8</v>
      </c>
      <c r="B17" s="12"/>
      <c r="C17" s="12"/>
      <c r="D17" s="12"/>
      <c r="E17" s="12"/>
      <c r="F17" s="12">
        <f t="shared" ref="F17:O17" si="3">F4-F15-F16</f>
        <v>3017.5</v>
      </c>
      <c r="G17" s="12">
        <f t="shared" si="3"/>
        <v>8099</v>
      </c>
      <c r="H17" s="12">
        <f t="shared" si="3"/>
        <v>5887</v>
      </c>
      <c r="I17" s="12">
        <f t="shared" si="3"/>
        <v>5108</v>
      </c>
      <c r="J17" s="12">
        <f t="shared" si="3"/>
        <v>3540</v>
      </c>
      <c r="K17" s="12">
        <f t="shared" si="3"/>
        <v>4230.5</v>
      </c>
      <c r="L17" s="12">
        <f t="shared" si="3"/>
        <v>4250.5</v>
      </c>
      <c r="M17" s="12">
        <f t="shared" si="3"/>
        <v>5338</v>
      </c>
      <c r="N17" s="12">
        <f t="shared" si="3"/>
        <v>5544</v>
      </c>
      <c r="O17" s="12">
        <f t="shared" si="3"/>
        <v>2612</v>
      </c>
      <c r="P17" s="12">
        <f>P4-P15-P16</f>
        <v>2748.5</v>
      </c>
      <c r="R17" s="39"/>
    </row>
    <row r="18" spans="1:18" x14ac:dyDescent="0.25">
      <c r="B18" s="12"/>
      <c r="C18" s="12"/>
      <c r="D18" s="12"/>
      <c r="E18" s="12"/>
      <c r="F18" s="12"/>
      <c r="G18" s="12"/>
      <c r="H18" s="12"/>
      <c r="I18" s="12"/>
      <c r="J18" s="12"/>
      <c r="K18" s="12"/>
      <c r="L18" s="12"/>
      <c r="M18" s="12"/>
      <c r="N18" s="12"/>
      <c r="O18" s="12"/>
      <c r="P18" s="12"/>
      <c r="R18" s="39"/>
    </row>
    <row r="19" spans="1:18" x14ac:dyDescent="0.25">
      <c r="R19" s="39"/>
    </row>
    <row r="20" spans="1:18" x14ac:dyDescent="0.25">
      <c r="A20" s="14" t="s">
        <v>319</v>
      </c>
      <c r="B20" s="15">
        <f t="shared" ref="B20:O20" si="4">NPV(B6,B10:B17)</f>
        <v>0</v>
      </c>
      <c r="C20" s="15">
        <f t="shared" si="4"/>
        <v>65962.780343138962</v>
      </c>
      <c r="D20" s="15">
        <f t="shared" si="4"/>
        <v>65397.743628586897</v>
      </c>
      <c r="E20" s="15">
        <f t="shared" si="4"/>
        <v>72780.718289695651</v>
      </c>
      <c r="F20" s="15">
        <f t="shared" si="4"/>
        <v>75305.849531665532</v>
      </c>
      <c r="G20" s="15">
        <f t="shared" si="4"/>
        <v>78071.02941591118</v>
      </c>
      <c r="H20" s="15">
        <f t="shared" si="4"/>
        <v>72742.396370077535</v>
      </c>
      <c r="I20" s="15">
        <f t="shared" si="4"/>
        <v>58439.614999107507</v>
      </c>
      <c r="J20" s="15">
        <f t="shared" si="4"/>
        <v>51371.111645969715</v>
      </c>
      <c r="K20" s="15">
        <f t="shared" si="4"/>
        <v>49534.883638509469</v>
      </c>
      <c r="L20" s="15">
        <f t="shared" si="4"/>
        <v>48839.212962919366</v>
      </c>
      <c r="M20" s="15">
        <f t="shared" si="4"/>
        <v>47961.653549560637</v>
      </c>
      <c r="N20" s="15">
        <f t="shared" si="4"/>
        <v>43859.151161611415</v>
      </c>
      <c r="O20" s="15">
        <f t="shared" si="4"/>
        <v>32389.839704452363</v>
      </c>
      <c r="P20" s="15">
        <f>NPV(P6,P10:P17)</f>
        <v>29775.325091278151</v>
      </c>
      <c r="R20" s="15"/>
    </row>
    <row r="21" spans="1:18" x14ac:dyDescent="0.25">
      <c r="A21" s="14" t="s">
        <v>320</v>
      </c>
      <c r="B21" s="15">
        <f t="shared" ref="B21:O21" si="5">NPV(B6,0,B11:B17)</f>
        <v>0</v>
      </c>
      <c r="C21" s="15">
        <f t="shared" si="5"/>
        <v>50047.094068629151</v>
      </c>
      <c r="D21" s="15">
        <f t="shared" si="5"/>
        <v>49482.057354077086</v>
      </c>
      <c r="E21" s="15">
        <f t="shared" si="5"/>
        <v>56879.737897538791</v>
      </c>
      <c r="F21" s="15">
        <f t="shared" si="5"/>
        <v>59560.626601729236</v>
      </c>
      <c r="G21" s="15">
        <f t="shared" si="5"/>
        <v>63752.869846650283</v>
      </c>
      <c r="H21" s="15">
        <f t="shared" si="5"/>
        <v>59778.706478026506</v>
      </c>
      <c r="I21" s="15">
        <f t="shared" si="5"/>
        <v>47310.329984416028</v>
      </c>
      <c r="J21" s="15">
        <f t="shared" si="5"/>
        <v>41474.204429474878</v>
      </c>
      <c r="K21" s="15">
        <f t="shared" si="5"/>
        <v>39901.162708276905</v>
      </c>
      <c r="L21" s="15">
        <f t="shared" si="5"/>
        <v>39553.220745020531</v>
      </c>
      <c r="M21" s="15">
        <f t="shared" si="5"/>
        <v>38856.36485475229</v>
      </c>
      <c r="N21" s="15">
        <f t="shared" si="5"/>
        <v>35377.933853004666</v>
      </c>
      <c r="O21" s="15">
        <f t="shared" si="5"/>
        <v>25897.238272471463</v>
      </c>
      <c r="P21" s="56">
        <f>NPV(P6,0,P11:P17)</f>
        <v>23866.321259860528</v>
      </c>
      <c r="R21" s="51" t="s">
        <v>312</v>
      </c>
    </row>
    <row r="22" spans="1:18" x14ac:dyDescent="0.25">
      <c r="A22" s="4" t="s">
        <v>321</v>
      </c>
      <c r="B22" s="57">
        <f t="shared" ref="B22:O22" si="6">B10-B20*B6</f>
        <v>0</v>
      </c>
      <c r="C22" s="57">
        <f>C10-C20*C6</f>
        <v>14914.74439313722</v>
      </c>
      <c r="D22" s="57">
        <f t="shared" si="6"/>
        <v>14926.045127428262</v>
      </c>
      <c r="E22" s="57">
        <f t="shared" si="6"/>
        <v>14763.385634206086</v>
      </c>
      <c r="F22" s="57">
        <f t="shared" si="6"/>
        <v>14524.230084600857</v>
      </c>
      <c r="G22" s="57">
        <f t="shared" si="6"/>
        <v>12947.47286755791</v>
      </c>
      <c r="H22" s="57">
        <f t="shared" si="6"/>
        <v>11827.894468968527</v>
      </c>
      <c r="I22" s="57">
        <f t="shared" si="6"/>
        <v>10135.768085018743</v>
      </c>
      <c r="J22" s="57">
        <f t="shared" si="6"/>
        <v>9129.63443454956</v>
      </c>
      <c r="K22" s="57">
        <f t="shared" si="6"/>
        <v>8356.8837235676965</v>
      </c>
      <c r="L22" s="57">
        <f t="shared" si="6"/>
        <v>8178.5020370382572</v>
      </c>
      <c r="M22" s="57">
        <f t="shared" si="6"/>
        <v>7920.169566738401</v>
      </c>
      <c r="N22" s="57">
        <f t="shared" si="6"/>
        <v>6659.2537151770121</v>
      </c>
      <c r="O22" s="57">
        <f t="shared" si="6"/>
        <v>5262.482614038513</v>
      </c>
      <c r="P22" s="57">
        <f>P10-P20*P6</f>
        <v>4858.8856959837613</v>
      </c>
      <c r="R22" s="51" t="s">
        <v>313</v>
      </c>
    </row>
    <row r="23" spans="1:18" x14ac:dyDescent="0.25">
      <c r="B23" s="18"/>
      <c r="C23" s="18"/>
      <c r="D23" s="18"/>
      <c r="E23" s="18"/>
      <c r="F23" s="18"/>
      <c r="G23" s="18"/>
      <c r="H23" s="18"/>
      <c r="I23" s="18"/>
      <c r="J23" s="18"/>
      <c r="K23" s="18"/>
      <c r="L23" s="18"/>
    </row>
    <row r="24" spans="1:18" x14ac:dyDescent="0.25">
      <c r="A24" s="6" t="s">
        <v>322</v>
      </c>
      <c r="B24" s="18">
        <v>0</v>
      </c>
      <c r="C24" s="18">
        <f t="shared" ref="C24:O24" si="7">(C20-(1+D6)*D21)+(C7-D2)</f>
        <v>20379.081841980333</v>
      </c>
      <c r="D24" s="18">
        <f t="shared" si="7"/>
        <v>11534.410973097329</v>
      </c>
      <c r="E24" s="18">
        <f t="shared" si="7"/>
        <v>15057.09884263097</v>
      </c>
      <c r="F24" s="18">
        <f t="shared" si="7"/>
        <v>16110.292983312262</v>
      </c>
      <c r="G24" s="18">
        <f t="shared" si="7"/>
        <v>24500.527514802176</v>
      </c>
      <c r="H24" s="18">
        <f t="shared" si="7"/>
        <v>30251.549455988774</v>
      </c>
      <c r="I24" s="18">
        <f t="shared" si="7"/>
        <v>21162.137787687345</v>
      </c>
      <c r="J24" s="18">
        <f t="shared" si="7"/>
        <v>14307.111731027951</v>
      </c>
      <c r="K24" s="18">
        <f t="shared" si="7"/>
        <v>12321.172712628359</v>
      </c>
      <c r="L24" s="18">
        <f t="shared" si="7"/>
        <v>12305.728980097134</v>
      </c>
      <c r="M24" s="18">
        <f t="shared" si="7"/>
        <v>14092.75610312623</v>
      </c>
      <c r="N24" s="18">
        <f t="shared" si="7"/>
        <v>19706.794071197557</v>
      </c>
      <c r="O24" s="58">
        <f t="shared" si="7"/>
        <v>9771.4003091579689</v>
      </c>
      <c r="P24" s="18"/>
      <c r="R24" s="53" t="s">
        <v>314</v>
      </c>
    </row>
    <row r="25" spans="1:18" x14ac:dyDescent="0.25">
      <c r="B25" s="18"/>
      <c r="C25" s="18"/>
      <c r="D25" s="18"/>
      <c r="E25" s="18"/>
      <c r="F25" s="18"/>
      <c r="G25" s="18"/>
      <c r="H25" s="18"/>
      <c r="I25" s="18"/>
      <c r="J25" s="18"/>
      <c r="K25" s="18"/>
      <c r="L25" s="18"/>
      <c r="M25" s="18"/>
      <c r="N25" s="18"/>
      <c r="O25" s="18"/>
    </row>
    <row r="26" spans="1:18" x14ac:dyDescent="0.25">
      <c r="A26" s="4" t="s">
        <v>53</v>
      </c>
      <c r="B26" s="18"/>
      <c r="C26" s="18">
        <f t="shared" ref="C26:N26" si="8">D20*D6</f>
        <v>1307.954872571738</v>
      </c>
      <c r="D26" s="18">
        <f t="shared" si="8"/>
        <v>1455.6143657939131</v>
      </c>
      <c r="E26" s="18">
        <f t="shared" si="8"/>
        <v>1543.7699153991434</v>
      </c>
      <c r="F26" s="18">
        <f t="shared" si="8"/>
        <v>1678.5271324420903</v>
      </c>
      <c r="G26" s="18">
        <f t="shared" si="8"/>
        <v>1382.1055310314732</v>
      </c>
      <c r="H26" s="18">
        <f t="shared" si="8"/>
        <v>1227.2319149812577</v>
      </c>
      <c r="I26" s="18">
        <f t="shared" si="8"/>
        <v>950.3655654504397</v>
      </c>
      <c r="J26" s="18">
        <f t="shared" si="8"/>
        <v>1585.116276432303</v>
      </c>
      <c r="K26" s="18">
        <f t="shared" si="8"/>
        <v>1367.4979629617424</v>
      </c>
      <c r="L26" s="18">
        <f t="shared" si="8"/>
        <v>1462.8304332615994</v>
      </c>
      <c r="M26" s="18">
        <f t="shared" si="8"/>
        <v>2258.7462848229879</v>
      </c>
      <c r="N26" s="18">
        <f t="shared" si="8"/>
        <v>1538.5173859614872</v>
      </c>
      <c r="O26" s="18">
        <f>P20*P6</f>
        <v>1310.1143040162385</v>
      </c>
      <c r="P26" s="18"/>
      <c r="R26" s="51" t="s">
        <v>315</v>
      </c>
    </row>
    <row r="27" spans="1:18" x14ac:dyDescent="0.25">
      <c r="A27" s="4" t="s">
        <v>323</v>
      </c>
      <c r="B27" s="18"/>
      <c r="C27" s="18">
        <f t="shared" ref="C27:K27" si="9">C7-C26</f>
        <v>19814.04512742826</v>
      </c>
      <c r="D27" s="18">
        <f t="shared" si="9"/>
        <v>18917.385634206086</v>
      </c>
      <c r="E27" s="18">
        <f t="shared" si="9"/>
        <v>17582.230084600858</v>
      </c>
      <c r="F27" s="18">
        <f t="shared" si="9"/>
        <v>18875.47286755791</v>
      </c>
      <c r="G27" s="18">
        <f t="shared" si="9"/>
        <v>19171.894468968527</v>
      </c>
      <c r="H27" s="18">
        <f t="shared" si="9"/>
        <v>15948.768085018743</v>
      </c>
      <c r="I27" s="18">
        <f t="shared" si="9"/>
        <v>14093.63443454956</v>
      </c>
      <c r="J27" s="18">
        <f t="shared" si="9"/>
        <v>12470.883723567697</v>
      </c>
      <c r="K27" s="18">
        <f t="shared" si="9"/>
        <v>11625.502037038257</v>
      </c>
      <c r="L27" s="18">
        <f>L7-L26</f>
        <v>11428.169566738401</v>
      </c>
      <c r="M27" s="18">
        <f>M7-M26</f>
        <v>9990.2537151770121</v>
      </c>
      <c r="N27" s="18">
        <f>N7-N26</f>
        <v>8237.4826140385121</v>
      </c>
      <c r="O27" s="18">
        <f>O7-O26</f>
        <v>7156.8856959837613</v>
      </c>
      <c r="R27" s="51" t="s">
        <v>316</v>
      </c>
    </row>
    <row r="28" spans="1:18" x14ac:dyDescent="0.25">
      <c r="A28" s="4" t="s">
        <v>324</v>
      </c>
      <c r="B28" s="18"/>
      <c r="C28" s="18">
        <f t="shared" ref="C28:K28" si="10">C27-D22</f>
        <v>4887.9999999999982</v>
      </c>
      <c r="D28" s="18">
        <f t="shared" si="10"/>
        <v>4154</v>
      </c>
      <c r="E28" s="18">
        <f t="shared" si="10"/>
        <v>3058.0000000000018</v>
      </c>
      <c r="F28" s="18">
        <f t="shared" si="10"/>
        <v>5928</v>
      </c>
      <c r="G28" s="18">
        <f t="shared" si="10"/>
        <v>7344</v>
      </c>
      <c r="H28" s="18">
        <f t="shared" si="10"/>
        <v>5813</v>
      </c>
      <c r="I28" s="18">
        <f t="shared" si="10"/>
        <v>4964</v>
      </c>
      <c r="J28" s="18">
        <f t="shared" si="10"/>
        <v>4114</v>
      </c>
      <c r="K28" s="18">
        <f t="shared" si="10"/>
        <v>3447</v>
      </c>
      <c r="L28" s="18">
        <f>L27-M22</f>
        <v>3508</v>
      </c>
      <c r="M28" s="18">
        <f>M27-N22</f>
        <v>3331</v>
      </c>
      <c r="N28" s="18">
        <f>N27-O22</f>
        <v>2974.9999999999991</v>
      </c>
      <c r="O28" s="18">
        <f>O27-P22</f>
        <v>2298</v>
      </c>
      <c r="R28" s="51" t="s">
        <v>317</v>
      </c>
    </row>
    <row r="29" spans="1:18" x14ac:dyDescent="0.25">
      <c r="A29" s="6" t="s">
        <v>97</v>
      </c>
      <c r="B29" s="18"/>
      <c r="C29" s="18">
        <f t="shared" ref="C29:K29" si="11">C27</f>
        <v>19814.04512742826</v>
      </c>
      <c r="D29" s="18">
        <f t="shared" si="11"/>
        <v>18917.385634206086</v>
      </c>
      <c r="E29" s="18">
        <f t="shared" si="11"/>
        <v>17582.230084600858</v>
      </c>
      <c r="F29" s="18">
        <f t="shared" si="11"/>
        <v>18875.47286755791</v>
      </c>
      <c r="G29" s="18">
        <f t="shared" si="11"/>
        <v>19171.894468968527</v>
      </c>
      <c r="H29" s="18">
        <f t="shared" si="11"/>
        <v>15948.768085018743</v>
      </c>
      <c r="I29" s="18">
        <f t="shared" si="11"/>
        <v>14093.63443454956</v>
      </c>
      <c r="J29" s="18">
        <f t="shared" si="11"/>
        <v>12470.883723567697</v>
      </c>
      <c r="K29" s="18">
        <f t="shared" si="11"/>
        <v>11625.502037038257</v>
      </c>
      <c r="L29" s="18">
        <f>L27</f>
        <v>11428.169566738401</v>
      </c>
      <c r="M29" s="18">
        <f>M27</f>
        <v>9990.2537151770121</v>
      </c>
      <c r="N29" s="18">
        <f>N27</f>
        <v>8237.4826140385121</v>
      </c>
      <c r="O29" s="18">
        <f>O27</f>
        <v>7156.8856959837613</v>
      </c>
      <c r="R29" s="51" t="s">
        <v>318</v>
      </c>
    </row>
    <row r="30" spans="1:18" x14ac:dyDescent="0.25">
      <c r="A30" s="6"/>
      <c r="B30" s="18"/>
      <c r="C30" s="18"/>
      <c r="D30" s="18"/>
      <c r="E30" s="18"/>
      <c r="F30" s="18"/>
      <c r="G30" s="18"/>
      <c r="H30" s="18"/>
      <c r="I30" s="18"/>
      <c r="J30" s="18"/>
      <c r="K30" s="18"/>
      <c r="L30" s="18"/>
      <c r="M30" s="18"/>
      <c r="N30" s="18"/>
      <c r="O30" s="18"/>
    </row>
    <row r="31" spans="1:18" x14ac:dyDescent="0.25">
      <c r="A31" s="10" t="s">
        <v>98</v>
      </c>
    </row>
    <row r="32" spans="1:18" x14ac:dyDescent="0.25">
      <c r="A32" s="6" t="s">
        <v>81</v>
      </c>
      <c r="B32" s="18">
        <v>0</v>
      </c>
      <c r="C32" s="18">
        <f t="shared" ref="C32:O32" si="12">D20+C24-C29</f>
        <v>65962.780343138962</v>
      </c>
      <c r="D32" s="18">
        <f t="shared" si="12"/>
        <v>65397.74362858689</v>
      </c>
      <c r="E32" s="18">
        <f t="shared" si="12"/>
        <v>72780.718289695651</v>
      </c>
      <c r="F32" s="18">
        <f t="shared" si="12"/>
        <v>75305.849531665532</v>
      </c>
      <c r="G32" s="18">
        <f t="shared" si="12"/>
        <v>78071.02941591118</v>
      </c>
      <c r="H32" s="18">
        <f t="shared" si="12"/>
        <v>72742.396370077535</v>
      </c>
      <c r="I32" s="18">
        <f t="shared" si="12"/>
        <v>58439.614999107507</v>
      </c>
      <c r="J32" s="18">
        <f t="shared" si="12"/>
        <v>51371.111645969722</v>
      </c>
      <c r="K32" s="18">
        <f t="shared" si="12"/>
        <v>49534.883638509469</v>
      </c>
      <c r="L32" s="18">
        <f t="shared" si="12"/>
        <v>48839.212962919366</v>
      </c>
      <c r="M32" s="18">
        <f t="shared" si="12"/>
        <v>47961.653549560637</v>
      </c>
      <c r="N32" s="18">
        <f t="shared" si="12"/>
        <v>43859.151161611408</v>
      </c>
      <c r="O32" s="18">
        <f t="shared" si="12"/>
        <v>32389.839704452355</v>
      </c>
      <c r="P32" s="18">
        <f>P20</f>
        <v>29775.325091278151</v>
      </c>
    </row>
    <row r="33" spans="1:16" x14ac:dyDescent="0.25">
      <c r="A33" s="6" t="s">
        <v>86</v>
      </c>
      <c r="B33" s="18">
        <v>0</v>
      </c>
      <c r="C33" s="18">
        <f>C22</f>
        <v>14914.74439313722</v>
      </c>
      <c r="D33" s="18">
        <f t="shared" ref="D33:P33" si="13">D22</f>
        <v>14926.045127428262</v>
      </c>
      <c r="E33" s="18">
        <f t="shared" si="13"/>
        <v>14763.385634206086</v>
      </c>
      <c r="F33" s="18">
        <f t="shared" si="13"/>
        <v>14524.230084600857</v>
      </c>
      <c r="G33" s="18">
        <f t="shared" si="13"/>
        <v>12947.47286755791</v>
      </c>
      <c r="H33" s="18">
        <f t="shared" si="13"/>
        <v>11827.894468968527</v>
      </c>
      <c r="I33" s="18">
        <f t="shared" si="13"/>
        <v>10135.768085018743</v>
      </c>
      <c r="J33" s="18">
        <f t="shared" si="13"/>
        <v>9129.63443454956</v>
      </c>
      <c r="K33" s="18">
        <f t="shared" si="13"/>
        <v>8356.8837235676965</v>
      </c>
      <c r="L33" s="18">
        <f t="shared" si="13"/>
        <v>8178.5020370382572</v>
      </c>
      <c r="M33" s="18">
        <f t="shared" si="13"/>
        <v>7920.169566738401</v>
      </c>
      <c r="N33" s="18">
        <f t="shared" si="13"/>
        <v>6659.2537151770121</v>
      </c>
      <c r="O33" s="18">
        <f t="shared" si="13"/>
        <v>5262.482614038513</v>
      </c>
      <c r="P33" s="18">
        <f t="shared" si="13"/>
        <v>4858.8856959837613</v>
      </c>
    </row>
    <row r="34" spans="1:16" x14ac:dyDescent="0.25">
      <c r="A34" s="4" t="s">
        <v>99</v>
      </c>
      <c r="B34" s="18">
        <v>0</v>
      </c>
      <c r="C34" s="18">
        <f>C20-C33</f>
        <v>51048.035950001744</v>
      </c>
      <c r="D34" s="18">
        <f t="shared" ref="D34:P34" si="14">D20-D33</f>
        <v>50471.698501158637</v>
      </c>
      <c r="E34" s="18">
        <f t="shared" si="14"/>
        <v>58017.332655489561</v>
      </c>
      <c r="F34" s="18">
        <f t="shared" si="14"/>
        <v>60781.619447064673</v>
      </c>
      <c r="G34" s="18">
        <f t="shared" si="14"/>
        <v>65123.55654835327</v>
      </c>
      <c r="H34" s="18">
        <f t="shared" si="14"/>
        <v>60914.501901109004</v>
      </c>
      <c r="I34" s="18">
        <f t="shared" si="14"/>
        <v>48303.846914088761</v>
      </c>
      <c r="J34" s="18">
        <f t="shared" si="14"/>
        <v>42241.477211420155</v>
      </c>
      <c r="K34" s="18">
        <f t="shared" si="14"/>
        <v>41177.999914941771</v>
      </c>
      <c r="L34" s="18">
        <f t="shared" si="14"/>
        <v>40660.710925881111</v>
      </c>
      <c r="M34" s="18">
        <f t="shared" si="14"/>
        <v>40041.483982822232</v>
      </c>
      <c r="N34" s="18">
        <f t="shared" si="14"/>
        <v>37199.897446434406</v>
      </c>
      <c r="O34" s="18">
        <f t="shared" si="14"/>
        <v>27127.357090413851</v>
      </c>
      <c r="P34" s="18">
        <f t="shared" si="14"/>
        <v>24916.43939529439</v>
      </c>
    </row>
    <row r="35" spans="1:16" x14ac:dyDescent="0.25">
      <c r="A35" s="4" t="s">
        <v>100</v>
      </c>
      <c r="B35" s="18">
        <v>0</v>
      </c>
      <c r="C35" s="18">
        <f>-C41</f>
        <v>0</v>
      </c>
      <c r="D35" s="18">
        <f>-D41</f>
        <v>0</v>
      </c>
      <c r="E35" s="18">
        <f>-E41</f>
        <v>-4.0017766878008843E-13</v>
      </c>
      <c r="F35" s="18">
        <f>-F41</f>
        <v>0</v>
      </c>
      <c r="G35" s="18">
        <f>-G41</f>
        <v>0</v>
      </c>
      <c r="H35" s="18">
        <f t="shared" ref="H35:N35" si="15">-H41</f>
        <v>0</v>
      </c>
      <c r="I35" s="18">
        <f t="shared" si="15"/>
        <v>0</v>
      </c>
      <c r="J35" s="18">
        <f t="shared" si="15"/>
        <v>0</v>
      </c>
      <c r="K35" s="18">
        <f t="shared" si="15"/>
        <v>0</v>
      </c>
      <c r="L35" s="18">
        <f t="shared" si="15"/>
        <v>0</v>
      </c>
      <c r="M35" s="18">
        <f t="shared" si="15"/>
        <v>0</v>
      </c>
      <c r="N35" s="18">
        <f t="shared" si="15"/>
        <v>0</v>
      </c>
      <c r="O35" s="18">
        <f>-O41</f>
        <v>0</v>
      </c>
    </row>
    <row r="36" spans="1:16" x14ac:dyDescent="0.25">
      <c r="A36" s="4" t="s">
        <v>101</v>
      </c>
      <c r="B36" s="18">
        <v>0</v>
      </c>
      <c r="C36" s="18">
        <f>C42</f>
        <v>1.5916157281026244E-12</v>
      </c>
      <c r="D36" s="18">
        <f>D42</f>
        <v>6.8212102632969618E-13</v>
      </c>
      <c r="E36" s="18">
        <f>E42</f>
        <v>-1.4188117347657681E-12</v>
      </c>
      <c r="F36" s="18">
        <f>F42</f>
        <v>-2.2737367544323206E-13</v>
      </c>
      <c r="G36" s="18">
        <f>G42</f>
        <v>0</v>
      </c>
      <c r="H36" s="18">
        <f t="shared" ref="H36:N36" si="16">H42</f>
        <v>-2.2737367544323206E-13</v>
      </c>
      <c r="I36" s="18">
        <f t="shared" si="16"/>
        <v>3.4106051316484809E-13</v>
      </c>
      <c r="J36" s="18">
        <f t="shared" si="16"/>
        <v>4.5474735088646412E-13</v>
      </c>
      <c r="K36" s="18">
        <f t="shared" si="16"/>
        <v>4.5474735088646412E-13</v>
      </c>
      <c r="L36" s="18">
        <f t="shared" si="16"/>
        <v>-4.5474735088646412E-13</v>
      </c>
      <c r="M36" s="18">
        <f t="shared" si="16"/>
        <v>0</v>
      </c>
      <c r="N36" s="18">
        <f t="shared" si="16"/>
        <v>6.8212102632969618E-13</v>
      </c>
      <c r="O36" s="18">
        <f>O42</f>
        <v>2.2737367544323206E-13</v>
      </c>
    </row>
    <row r="38" spans="1:16" x14ac:dyDescent="0.25">
      <c r="A38" s="6" t="s">
        <v>102</v>
      </c>
      <c r="B38" s="18">
        <v>0</v>
      </c>
      <c r="C38" s="18">
        <f t="shared" ref="C38:O38" si="17">C7</f>
        <v>21122</v>
      </c>
      <c r="D38" s="18">
        <f t="shared" si="17"/>
        <v>20373</v>
      </c>
      <c r="E38" s="18">
        <f t="shared" si="17"/>
        <v>19126</v>
      </c>
      <c r="F38" s="18">
        <f t="shared" si="17"/>
        <v>20554</v>
      </c>
      <c r="G38" s="18">
        <f t="shared" si="17"/>
        <v>20554</v>
      </c>
      <c r="H38" s="18">
        <f t="shared" si="17"/>
        <v>17176</v>
      </c>
      <c r="I38" s="18">
        <f t="shared" si="17"/>
        <v>15044</v>
      </c>
      <c r="J38" s="18">
        <f t="shared" si="17"/>
        <v>14056</v>
      </c>
      <c r="K38" s="18">
        <f t="shared" si="17"/>
        <v>12993</v>
      </c>
      <c r="L38" s="18">
        <f t="shared" si="17"/>
        <v>12891</v>
      </c>
      <c r="M38" s="18">
        <f t="shared" si="17"/>
        <v>12249</v>
      </c>
      <c r="N38" s="18">
        <f t="shared" si="17"/>
        <v>9776</v>
      </c>
      <c r="O38" s="18">
        <f t="shared" si="17"/>
        <v>8467</v>
      </c>
    </row>
    <row r="39" spans="1:16" x14ac:dyDescent="0.25">
      <c r="A39" s="6" t="s">
        <v>102</v>
      </c>
      <c r="B39" s="18">
        <v>0</v>
      </c>
      <c r="C39" s="18">
        <f t="shared" ref="C39:O39" si="18">-C29</f>
        <v>-19814.04512742826</v>
      </c>
      <c r="D39" s="18">
        <f t="shared" si="18"/>
        <v>-18917.385634206086</v>
      </c>
      <c r="E39" s="18">
        <f t="shared" si="18"/>
        <v>-17582.230084600858</v>
      </c>
      <c r="F39" s="18">
        <f t="shared" si="18"/>
        <v>-18875.47286755791</v>
      </c>
      <c r="G39" s="18">
        <f t="shared" si="18"/>
        <v>-19171.894468968527</v>
      </c>
      <c r="H39" s="18">
        <f t="shared" si="18"/>
        <v>-15948.768085018743</v>
      </c>
      <c r="I39" s="18">
        <f t="shared" si="18"/>
        <v>-14093.63443454956</v>
      </c>
      <c r="J39" s="18">
        <f t="shared" si="18"/>
        <v>-12470.883723567697</v>
      </c>
      <c r="K39" s="18">
        <f t="shared" si="18"/>
        <v>-11625.502037038257</v>
      </c>
      <c r="L39" s="18">
        <f t="shared" si="18"/>
        <v>-11428.169566738401</v>
      </c>
      <c r="M39" s="18">
        <f t="shared" si="18"/>
        <v>-9990.2537151770121</v>
      </c>
      <c r="N39" s="18">
        <f t="shared" si="18"/>
        <v>-8237.4826140385121</v>
      </c>
      <c r="O39" s="18">
        <f t="shared" si="18"/>
        <v>-7156.8856959837613</v>
      </c>
    </row>
    <row r="40" spans="1:16" x14ac:dyDescent="0.25">
      <c r="A40" s="4" t="s">
        <v>53</v>
      </c>
      <c r="B40" s="18">
        <v>0</v>
      </c>
      <c r="C40" s="18">
        <f t="shared" ref="C40:O40" si="19">-C26</f>
        <v>-1307.954872571738</v>
      </c>
      <c r="D40" s="18">
        <f t="shared" si="19"/>
        <v>-1455.6143657939131</v>
      </c>
      <c r="E40" s="18">
        <f t="shared" si="19"/>
        <v>-1543.7699153991434</v>
      </c>
      <c r="F40" s="18">
        <f t="shared" si="19"/>
        <v>-1678.5271324420903</v>
      </c>
      <c r="G40" s="18">
        <f t="shared" si="19"/>
        <v>-1382.1055310314732</v>
      </c>
      <c r="H40" s="18">
        <f t="shared" si="19"/>
        <v>-1227.2319149812577</v>
      </c>
      <c r="I40" s="18">
        <f t="shared" si="19"/>
        <v>-950.3655654504397</v>
      </c>
      <c r="J40" s="18">
        <f t="shared" si="19"/>
        <v>-1585.116276432303</v>
      </c>
      <c r="K40" s="18">
        <f t="shared" si="19"/>
        <v>-1367.4979629617424</v>
      </c>
      <c r="L40" s="18">
        <f t="shared" si="19"/>
        <v>-1462.8304332615994</v>
      </c>
      <c r="M40" s="18">
        <f t="shared" si="19"/>
        <v>-2258.7462848229879</v>
      </c>
      <c r="N40" s="18">
        <f t="shared" si="19"/>
        <v>-1538.5173859614872</v>
      </c>
      <c r="O40" s="18">
        <f t="shared" si="19"/>
        <v>-1310.1143040162385</v>
      </c>
    </row>
    <row r="41" spans="1:16" x14ac:dyDescent="0.25">
      <c r="A41" s="4" t="s">
        <v>55</v>
      </c>
      <c r="B41" s="18">
        <v>0</v>
      </c>
      <c r="C41" s="18">
        <f t="shared" ref="C41:O41" si="20">-C8*SUM(C38:C40)</f>
        <v>0</v>
      </c>
      <c r="D41" s="18">
        <f t="shared" si="20"/>
        <v>0</v>
      </c>
      <c r="E41" s="18">
        <f t="shared" si="20"/>
        <v>4.0017766878008843E-13</v>
      </c>
      <c r="F41" s="18">
        <f t="shared" si="20"/>
        <v>0</v>
      </c>
      <c r="G41" s="18">
        <f t="shared" si="20"/>
        <v>0</v>
      </c>
      <c r="H41" s="18">
        <f t="shared" si="20"/>
        <v>0</v>
      </c>
      <c r="I41" s="18">
        <f t="shared" si="20"/>
        <v>0</v>
      </c>
      <c r="J41" s="18">
        <f t="shared" si="20"/>
        <v>0</v>
      </c>
      <c r="K41" s="18">
        <f t="shared" si="20"/>
        <v>0</v>
      </c>
      <c r="L41" s="18">
        <f t="shared" si="20"/>
        <v>0</v>
      </c>
      <c r="M41" s="18">
        <f t="shared" si="20"/>
        <v>0</v>
      </c>
      <c r="N41" s="18">
        <f t="shared" si="20"/>
        <v>0</v>
      </c>
      <c r="O41" s="18">
        <f t="shared" si="20"/>
        <v>0</v>
      </c>
    </row>
    <row r="42" spans="1:16" x14ac:dyDescent="0.25">
      <c r="A42" s="4" t="s">
        <v>57</v>
      </c>
      <c r="B42" s="18">
        <v>0</v>
      </c>
      <c r="C42" s="18">
        <f>SUM(C38:C41)</f>
        <v>1.5916157281026244E-12</v>
      </c>
      <c r="D42" s="18">
        <f>SUM(D38:D41)</f>
        <v>6.8212102632969618E-13</v>
      </c>
      <c r="E42" s="18">
        <f>SUM(E38:E41)</f>
        <v>-1.4188117347657681E-12</v>
      </c>
      <c r="F42" s="18">
        <f>SUM(F38:F41)</f>
        <v>-2.2737367544323206E-13</v>
      </c>
      <c r="G42" s="18">
        <f>SUM(G38:G41)</f>
        <v>0</v>
      </c>
      <c r="H42" s="18">
        <f t="shared" ref="H42:N42" si="21">SUM(H38:H41)</f>
        <v>-2.2737367544323206E-13</v>
      </c>
      <c r="I42" s="18">
        <f t="shared" si="21"/>
        <v>3.4106051316484809E-13</v>
      </c>
      <c r="J42" s="18">
        <f t="shared" si="21"/>
        <v>4.5474735088646412E-13</v>
      </c>
      <c r="K42" s="18">
        <f t="shared" si="21"/>
        <v>4.5474735088646412E-13</v>
      </c>
      <c r="L42" s="18">
        <f t="shared" si="21"/>
        <v>-4.5474735088646412E-13</v>
      </c>
      <c r="M42" s="18">
        <f t="shared" si="21"/>
        <v>0</v>
      </c>
      <c r="N42" s="18">
        <f t="shared" si="21"/>
        <v>6.8212102632969618E-13</v>
      </c>
      <c r="O42" s="18">
        <f>SUM(O38:O41)</f>
        <v>2.2737367544323206E-13</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X151"/>
  <sheetViews>
    <sheetView workbookViewId="0">
      <pane xSplit="1" ySplit="5" topLeftCell="W106" activePane="bottomRight" state="frozen"/>
      <selection pane="topRight" activeCell="C1" sqref="C1"/>
      <selection pane="bottomLeft" activeCell="A7" sqref="A7"/>
      <selection pane="bottomRight" activeCell="AH114" sqref="AH114"/>
    </sheetView>
  </sheetViews>
  <sheetFormatPr defaultColWidth="9.140625" defaultRowHeight="15" x14ac:dyDescent="0.25"/>
  <cols>
    <col min="1" max="1" width="45.28515625" style="4" customWidth="1"/>
    <col min="2" max="9" width="9.85546875" style="4" bestFit="1" customWidth="1"/>
    <col min="10" max="33" width="9.140625" style="4"/>
    <col min="34" max="41" width="9.85546875" style="4" bestFit="1" customWidth="1"/>
    <col min="42" max="16384" width="9.140625" style="4"/>
  </cols>
  <sheetData>
    <row r="1" spans="1:48" x14ac:dyDescent="0.25">
      <c r="A1" s="10" t="s">
        <v>135</v>
      </c>
      <c r="B1" s="10">
        <v>2020</v>
      </c>
      <c r="C1" s="10">
        <v>2019</v>
      </c>
      <c r="D1" s="10">
        <v>2018</v>
      </c>
      <c r="E1" s="10">
        <v>2017</v>
      </c>
      <c r="F1" s="10">
        <v>2016</v>
      </c>
      <c r="G1" s="10">
        <v>2015</v>
      </c>
      <c r="H1" s="10">
        <v>2014</v>
      </c>
      <c r="I1" s="10">
        <v>2013</v>
      </c>
      <c r="J1" s="10">
        <v>2012</v>
      </c>
      <c r="K1" s="10">
        <v>2011</v>
      </c>
      <c r="L1" s="10">
        <v>2010</v>
      </c>
      <c r="M1" s="10">
        <v>2009</v>
      </c>
      <c r="N1" s="10">
        <v>2008</v>
      </c>
      <c r="O1" s="10">
        <v>2007</v>
      </c>
      <c r="P1" s="10">
        <v>2006</v>
      </c>
      <c r="AH1" s="10">
        <v>2020</v>
      </c>
      <c r="AI1" s="10">
        <v>2019</v>
      </c>
      <c r="AJ1" s="10">
        <v>2018</v>
      </c>
      <c r="AK1" s="10">
        <v>2017</v>
      </c>
      <c r="AL1" s="10">
        <v>2016</v>
      </c>
      <c r="AM1" s="10">
        <v>2015</v>
      </c>
      <c r="AN1" s="10">
        <v>2014</v>
      </c>
      <c r="AO1" s="10">
        <v>2013</v>
      </c>
      <c r="AP1" s="10">
        <v>2012</v>
      </c>
      <c r="AQ1" s="10">
        <v>2011</v>
      </c>
      <c r="AR1" s="10">
        <v>2010</v>
      </c>
      <c r="AS1" s="10">
        <v>2009</v>
      </c>
      <c r="AT1" s="10">
        <v>2008</v>
      </c>
      <c r="AU1" s="10">
        <v>2007</v>
      </c>
      <c r="AV1" s="10">
        <v>2006</v>
      </c>
    </row>
    <row r="2" spans="1:48" x14ac:dyDescent="0.25">
      <c r="A2" s="4" t="s">
        <v>136</v>
      </c>
      <c r="B2" s="40">
        <v>0.05</v>
      </c>
      <c r="C2" s="40">
        <v>0.05</v>
      </c>
      <c r="D2" s="40">
        <v>0.05</v>
      </c>
      <c r="E2" s="40">
        <v>0.05</v>
      </c>
      <c r="F2" s="40">
        <v>0.05</v>
      </c>
      <c r="G2" s="40">
        <v>0.05</v>
      </c>
      <c r="H2" s="40">
        <v>0.05</v>
      </c>
      <c r="I2" s="40">
        <v>0.05</v>
      </c>
      <c r="J2" s="40">
        <v>0.05</v>
      </c>
      <c r="K2" s="40">
        <v>0.05</v>
      </c>
      <c r="L2" s="40">
        <v>0.05</v>
      </c>
      <c r="M2" s="40">
        <v>0.05</v>
      </c>
      <c r="N2" s="40">
        <v>0.05</v>
      </c>
      <c r="O2" s="40">
        <v>0.05</v>
      </c>
      <c r="P2" s="40">
        <v>0.05</v>
      </c>
      <c r="AH2" s="40">
        <f t="shared" ref="AH2:AV2" si="0">B2</f>
        <v>0.05</v>
      </c>
      <c r="AI2" s="40">
        <f t="shared" si="0"/>
        <v>0.05</v>
      </c>
      <c r="AJ2" s="40">
        <f t="shared" si="0"/>
        <v>0.05</v>
      </c>
      <c r="AK2" s="40">
        <f t="shared" si="0"/>
        <v>0.05</v>
      </c>
      <c r="AL2" s="40">
        <f t="shared" si="0"/>
        <v>0.05</v>
      </c>
      <c r="AM2" s="40">
        <f t="shared" si="0"/>
        <v>0.05</v>
      </c>
      <c r="AN2" s="40">
        <f t="shared" si="0"/>
        <v>0.05</v>
      </c>
      <c r="AO2" s="40">
        <f t="shared" si="0"/>
        <v>0.05</v>
      </c>
      <c r="AP2" s="40">
        <f t="shared" si="0"/>
        <v>0.05</v>
      </c>
      <c r="AQ2" s="40">
        <f t="shared" si="0"/>
        <v>0.05</v>
      </c>
      <c r="AR2" s="40">
        <f t="shared" si="0"/>
        <v>0.05</v>
      </c>
      <c r="AS2" s="40">
        <f t="shared" si="0"/>
        <v>0.05</v>
      </c>
      <c r="AT2" s="40">
        <f t="shared" si="0"/>
        <v>0.05</v>
      </c>
      <c r="AU2" s="40">
        <f t="shared" si="0"/>
        <v>0.05</v>
      </c>
      <c r="AV2" s="40">
        <f t="shared" si="0"/>
        <v>0.05</v>
      </c>
    </row>
    <row r="3" spans="1:48" x14ac:dyDescent="0.25">
      <c r="B3" s="40"/>
      <c r="C3" s="40"/>
      <c r="D3" s="40"/>
      <c r="E3" s="40"/>
      <c r="F3" s="40"/>
      <c r="G3" s="40"/>
      <c r="H3" s="40"/>
      <c r="I3" s="40"/>
      <c r="J3" s="40"/>
      <c r="K3" s="40"/>
    </row>
    <row r="4" spans="1:48" ht="15.75" thickBot="1" x14ac:dyDescent="0.3">
      <c r="A4" s="20"/>
      <c r="B4" s="20">
        <v>2</v>
      </c>
      <c r="C4" s="20">
        <v>3</v>
      </c>
      <c r="D4" s="20">
        <v>4</v>
      </c>
      <c r="E4" s="20">
        <v>5</v>
      </c>
      <c r="F4" s="20">
        <v>6</v>
      </c>
      <c r="G4" s="20">
        <v>7</v>
      </c>
      <c r="H4" s="20">
        <v>8</v>
      </c>
      <c r="I4" s="20">
        <v>9</v>
      </c>
      <c r="J4" s="20">
        <v>10</v>
      </c>
      <c r="K4" s="20">
        <v>11</v>
      </c>
      <c r="L4" s="20">
        <v>12</v>
      </c>
      <c r="M4" s="20">
        <v>13</v>
      </c>
      <c r="N4" s="20">
        <v>14</v>
      </c>
      <c r="O4" s="20">
        <v>15</v>
      </c>
      <c r="P4" s="20">
        <v>16</v>
      </c>
      <c r="R4" s="20"/>
      <c r="S4" s="20"/>
      <c r="T4" s="20"/>
      <c r="U4" s="20"/>
      <c r="V4" s="20"/>
      <c r="W4" s="20"/>
      <c r="X4" s="20"/>
      <c r="Y4" s="20"/>
      <c r="Z4" s="20"/>
      <c r="AA4" s="20"/>
      <c r="AB4" s="20"/>
      <c r="AC4" s="20"/>
      <c r="AD4" s="20"/>
      <c r="AE4" s="20"/>
      <c r="AF4" s="20"/>
      <c r="AH4" s="20"/>
      <c r="AI4" s="20"/>
      <c r="AJ4" s="20"/>
      <c r="AK4" s="20"/>
      <c r="AL4" s="20"/>
      <c r="AM4" s="20"/>
      <c r="AN4" s="20"/>
      <c r="AO4" s="20"/>
      <c r="AP4" s="20"/>
      <c r="AQ4" s="20"/>
      <c r="AR4" s="20"/>
      <c r="AS4" s="20"/>
      <c r="AT4" s="20"/>
      <c r="AU4" s="20"/>
      <c r="AV4" s="20"/>
    </row>
    <row r="5" spans="1:48" ht="15.75" thickTop="1" x14ac:dyDescent="0.25">
      <c r="A5" s="14" t="s">
        <v>36</v>
      </c>
      <c r="B5" s="21">
        <v>2020</v>
      </c>
      <c r="C5" s="21">
        <v>2019</v>
      </c>
      <c r="D5" s="21">
        <v>2018</v>
      </c>
      <c r="E5" s="21">
        <v>2017</v>
      </c>
      <c r="F5" s="21">
        <v>2016</v>
      </c>
      <c r="G5" s="21">
        <v>2015</v>
      </c>
      <c r="H5" s="21">
        <v>2014</v>
      </c>
      <c r="I5" s="21">
        <v>2013</v>
      </c>
      <c r="J5" s="21">
        <v>2012</v>
      </c>
      <c r="K5" s="21">
        <v>2011</v>
      </c>
      <c r="L5" s="21">
        <v>2010</v>
      </c>
      <c r="M5" s="21">
        <v>2009</v>
      </c>
      <c r="N5" s="21">
        <v>2008</v>
      </c>
      <c r="O5" s="21">
        <v>2007</v>
      </c>
      <c r="P5" s="21">
        <v>2006</v>
      </c>
      <c r="R5" s="21" t="s">
        <v>297</v>
      </c>
      <c r="S5" s="21" t="s">
        <v>284</v>
      </c>
      <c r="T5" s="21" t="s">
        <v>283</v>
      </c>
      <c r="U5" s="21" t="s">
        <v>222</v>
      </c>
      <c r="V5" s="21" t="s">
        <v>219</v>
      </c>
      <c r="W5" s="21" t="s">
        <v>215</v>
      </c>
      <c r="X5" s="21" t="s">
        <v>150</v>
      </c>
      <c r="Y5" s="21" t="s">
        <v>151</v>
      </c>
      <c r="Z5" s="21" t="s">
        <v>152</v>
      </c>
      <c r="AA5" s="21" t="s">
        <v>137</v>
      </c>
      <c r="AB5" s="21" t="s">
        <v>45</v>
      </c>
      <c r="AC5" s="21" t="s">
        <v>46</v>
      </c>
      <c r="AD5" s="21" t="s">
        <v>47</v>
      </c>
      <c r="AE5" s="21" t="s">
        <v>48</v>
      </c>
      <c r="AF5" s="21" t="s">
        <v>49</v>
      </c>
      <c r="AH5" s="21">
        <v>2020</v>
      </c>
      <c r="AI5" s="21">
        <v>2019</v>
      </c>
      <c r="AJ5" s="21">
        <v>2018</v>
      </c>
      <c r="AK5" s="21">
        <v>2017</v>
      </c>
      <c r="AL5" s="21">
        <v>2016</v>
      </c>
      <c r="AM5" s="21">
        <v>2015</v>
      </c>
      <c r="AN5" s="21">
        <v>2014</v>
      </c>
      <c r="AO5" s="21">
        <v>2013</v>
      </c>
      <c r="AP5" s="21">
        <v>2012</v>
      </c>
      <c r="AQ5" s="21">
        <v>2011</v>
      </c>
      <c r="AR5" s="21">
        <v>2010</v>
      </c>
      <c r="AS5" s="21">
        <v>2009</v>
      </c>
      <c r="AT5" s="21">
        <v>2008</v>
      </c>
      <c r="AU5" s="21">
        <v>2007</v>
      </c>
      <c r="AV5" s="21">
        <v>2006</v>
      </c>
    </row>
    <row r="6" spans="1:48" x14ac:dyDescent="0.25">
      <c r="A6" s="14" t="s">
        <v>231</v>
      </c>
      <c r="B6" s="15">
        <f>VLOOKUP($A6,'Standardized Statements'!$A:$Q,B$4,FALSE)</f>
        <v>187031</v>
      </c>
      <c r="C6" s="15">
        <f>VLOOKUP($A6,'Standardized Statements'!$A:$Q,C$4,FALSE)</f>
        <v>232755</v>
      </c>
      <c r="D6" s="15">
        <f>VLOOKUP($A6,'Standardized Statements'!$A:$Q,D$4,FALSE)</f>
        <v>210400</v>
      </c>
      <c r="E6" s="15">
        <f>VLOOKUP($A6,'Standardized Statements'!$A:$Q,E$4,FALSE)</f>
        <v>200004</v>
      </c>
      <c r="F6" s="15">
        <f>VLOOKUP($A6,'Standardized Statements'!$A:$Q,F$4,FALSE)</f>
        <v>192267</v>
      </c>
      <c r="G6" s="15">
        <f>VLOOKUP($A6,'Standardized Statements'!$A:$Q,G$4,FALSE)</f>
        <v>180861</v>
      </c>
      <c r="H6" s="15">
        <f>VLOOKUP($A6,'Standardized Statements'!$A:$Q,H$4,FALSE)</f>
        <v>151419</v>
      </c>
      <c r="I6" s="15">
        <f>VLOOKUP($A6,'Standardized Statements'!$A:$Q,I$4,FALSE)</f>
        <v>128562</v>
      </c>
      <c r="J6" s="15">
        <f>VLOOKUP($A6,'Standardized Statements'!$A:$Q,J$4,FALSE)</f>
        <v>120799</v>
      </c>
      <c r="K6" s="15">
        <f>VLOOKUP($A6,'Standardized Statements'!$A:$Q,K$4,FALSE)</f>
        <v>109999</v>
      </c>
      <c r="L6" s="15">
        <f>VLOOKUP($A6,'Standardized Statements'!$A:$Q,L$4,FALSE)</f>
        <v>108483</v>
      </c>
      <c r="M6" s="15">
        <f>VLOOKUP($A6,'Standardized Statements'!$A:$Q,M$4,FALSE)</f>
        <v>101393</v>
      </c>
      <c r="N6" s="15">
        <f>VLOOKUP($A6,'Standardized Statements'!$A:$Q,N$4,FALSE)</f>
        <v>88532</v>
      </c>
      <c r="O6" s="15">
        <f>VLOOKUP($A6,'Standardized Statements'!$A:$Q,O$4,FALSE)</f>
        <v>78346</v>
      </c>
      <c r="P6" s="15">
        <f>VLOOKUP($A6,'Standardized Statements'!$A:$Q,P$4,FALSE)</f>
        <v>68400</v>
      </c>
      <c r="R6" s="15"/>
      <c r="S6" s="15"/>
      <c r="T6" s="15"/>
      <c r="U6" s="15"/>
      <c r="V6" s="15"/>
      <c r="W6" s="15"/>
      <c r="X6" s="15"/>
      <c r="Y6" s="15"/>
      <c r="Z6" s="15"/>
      <c r="AA6" s="15"/>
      <c r="AB6" s="15"/>
      <c r="AC6" s="15"/>
      <c r="AD6" s="15"/>
      <c r="AE6" s="15"/>
      <c r="AF6" s="15"/>
      <c r="AH6" s="15">
        <f t="shared" ref="AH6:AI17" si="1">B6+R6</f>
        <v>187031</v>
      </c>
      <c r="AI6" s="15">
        <f t="shared" si="1"/>
        <v>232755</v>
      </c>
      <c r="AJ6" s="15">
        <f t="shared" ref="AJ6:AJ17" si="2">D6+T6</f>
        <v>210400</v>
      </c>
      <c r="AK6" s="15">
        <f t="shared" ref="AK6:AK17" si="3">E6+U6</f>
        <v>200004</v>
      </c>
      <c r="AL6" s="15">
        <f t="shared" ref="AL6:AL17" si="4">F6+V6</f>
        <v>192267</v>
      </c>
      <c r="AM6" s="15">
        <f t="shared" ref="AM6:AM17" si="5">G6+W6</f>
        <v>180861</v>
      </c>
      <c r="AN6" s="15">
        <f t="shared" ref="AN6:AN17" si="6">H6+X6</f>
        <v>151419</v>
      </c>
      <c r="AO6" s="15">
        <f t="shared" ref="AO6:AO17" si="7">I6+Y6</f>
        <v>128562</v>
      </c>
      <c r="AP6" s="15">
        <f t="shared" ref="AP6:AP17" si="8">J6+Z6</f>
        <v>120799</v>
      </c>
      <c r="AQ6" s="15">
        <f t="shared" ref="AQ6:AQ17" si="9">K6+AA6</f>
        <v>109999</v>
      </c>
      <c r="AR6" s="15">
        <f t="shared" ref="AR6:AR17" si="10">L6+AB6</f>
        <v>108483</v>
      </c>
      <c r="AS6" s="15">
        <f t="shared" ref="AS6:AS17" si="11">M6+AC6</f>
        <v>101393</v>
      </c>
      <c r="AT6" s="15">
        <f t="shared" ref="AT6:AT17" si="12">N6+AD6</f>
        <v>88532</v>
      </c>
      <c r="AU6" s="15">
        <f t="shared" ref="AU6:AU17" si="13">O6+AE6</f>
        <v>78346</v>
      </c>
      <c r="AV6" s="15">
        <f t="shared" ref="AV6:AV17" si="14">P6+AF6</f>
        <v>68400</v>
      </c>
    </row>
    <row r="7" spans="1:48" x14ac:dyDescent="0.25">
      <c r="A7" s="4" t="s">
        <v>50</v>
      </c>
      <c r="B7" s="13">
        <f>IF(SUM(B21:B23)&lt;&gt;0,SUM(B21:B23),SUM(B25:B28))</f>
        <v>-183925</v>
      </c>
      <c r="C7" s="13">
        <f>IF(SUM(C21:C23)&lt;&gt;0,SUM(C21:C23),SUM(C25:C28))</f>
        <v>-215393</v>
      </c>
      <c r="D7" s="13">
        <f>IF(SUM(D21:D23)&lt;&gt;0,SUM(D21:D23),SUM(D25:D28))</f>
        <v>-194893</v>
      </c>
      <c r="E7" s="13">
        <f t="shared" ref="E7:J7" si="15">IF(SUM(E21:E23)&lt;&gt;0,SUM(E21:E23),SUM(E25:E28))</f>
        <v>-179422</v>
      </c>
      <c r="F7" s="13">
        <f t="shared" si="15"/>
        <v>-168426</v>
      </c>
      <c r="G7" s="13">
        <f t="shared" si="15"/>
        <v>-153898</v>
      </c>
      <c r="H7" s="13">
        <f t="shared" si="15"/>
        <v>-125810</v>
      </c>
      <c r="I7" s="13">
        <f t="shared" si="15"/>
        <v>-106372</v>
      </c>
      <c r="J7" s="13">
        <f t="shared" si="15"/>
        <v>-99020</v>
      </c>
      <c r="K7" s="13">
        <f t="shared" ref="K7:P7" si="16">IF(SUM(K21:K23)&lt;&gt;0,SUM(K21:K23),SUM(K25:K28))</f>
        <v>-89591</v>
      </c>
      <c r="L7" s="13">
        <f t="shared" si="16"/>
        <v>-83812</v>
      </c>
      <c r="M7" s="13">
        <f t="shared" si="16"/>
        <v>-79738</v>
      </c>
      <c r="N7" s="13">
        <f t="shared" si="16"/>
        <v>-68384</v>
      </c>
      <c r="O7" s="13">
        <f t="shared" si="16"/>
        <v>-59956</v>
      </c>
      <c r="P7" s="13">
        <f t="shared" si="16"/>
        <v>-53093</v>
      </c>
      <c r="R7" s="13">
        <f>IF(SUM(R21:R23)&lt;&gt;0,SUM(R21:R23),SUM(R25:R28))</f>
        <v>0</v>
      </c>
      <c r="S7" s="13">
        <f>IF(SUM(S21:S23)&lt;&gt;0,SUM(S21:S23),SUM(S25:S28))</f>
        <v>1307.9548725717395</v>
      </c>
      <c r="T7" s="13">
        <f>IF(SUM(T21:T23)&lt;&gt;0,SUM(T21:T23),SUM(T25:T28))</f>
        <v>1455.6143657939137</v>
      </c>
      <c r="U7" s="13">
        <f t="shared" ref="U7:Z7" si="17">IF(SUM(U21:U23)&lt;&gt;0,SUM(U21:U23),SUM(U25:U28))</f>
        <v>1543.7699153991416</v>
      </c>
      <c r="V7" s="13">
        <f t="shared" si="17"/>
        <v>1678.5271324420901</v>
      </c>
      <c r="W7" s="13">
        <f t="shared" si="17"/>
        <v>1382.1055310314732</v>
      </c>
      <c r="X7" s="13">
        <f t="shared" si="17"/>
        <v>1227.2319149812574</v>
      </c>
      <c r="Y7" s="13">
        <f t="shared" si="17"/>
        <v>950.36556545044004</v>
      </c>
      <c r="Z7" s="13">
        <f t="shared" si="17"/>
        <v>1585.1162764323035</v>
      </c>
      <c r="AA7" s="13">
        <f t="shared" ref="AA7:AF7" si="18">IF(SUM(AA21:AA23)&lt;&gt;0,SUM(AA21:AA23),SUM(AA25:AA28))</f>
        <v>1367.4979629617428</v>
      </c>
      <c r="AB7" s="13">
        <f t="shared" si="18"/>
        <v>1462.830433261599</v>
      </c>
      <c r="AC7" s="13">
        <f t="shared" si="18"/>
        <v>2258.7462848229879</v>
      </c>
      <c r="AD7" s="13">
        <f t="shared" si="18"/>
        <v>1538.5173859614879</v>
      </c>
      <c r="AE7" s="13">
        <f t="shared" si="18"/>
        <v>1310.1143040162387</v>
      </c>
      <c r="AF7" s="13">
        <f t="shared" si="18"/>
        <v>0</v>
      </c>
      <c r="AH7" s="13">
        <f t="shared" si="1"/>
        <v>-183925</v>
      </c>
      <c r="AI7" s="13">
        <f t="shared" si="1"/>
        <v>-214085.04512742825</v>
      </c>
      <c r="AJ7" s="13">
        <f t="shared" si="2"/>
        <v>-193437.38563420609</v>
      </c>
      <c r="AK7" s="13">
        <f t="shared" si="3"/>
        <v>-177878.23008460086</v>
      </c>
      <c r="AL7" s="13">
        <f t="shared" si="4"/>
        <v>-166747.4728675579</v>
      </c>
      <c r="AM7" s="13">
        <f t="shared" si="5"/>
        <v>-152515.89446896853</v>
      </c>
      <c r="AN7" s="13">
        <f t="shared" si="6"/>
        <v>-124582.76808501875</v>
      </c>
      <c r="AO7" s="13">
        <f t="shared" si="7"/>
        <v>-105421.63443454956</v>
      </c>
      <c r="AP7" s="13">
        <f t="shared" si="8"/>
        <v>-97434.883723567691</v>
      </c>
      <c r="AQ7" s="13">
        <f t="shared" si="9"/>
        <v>-88223.502037038255</v>
      </c>
      <c r="AR7" s="13">
        <f t="shared" si="10"/>
        <v>-82349.169566738405</v>
      </c>
      <c r="AS7" s="13">
        <f t="shared" si="11"/>
        <v>-77479.253715177008</v>
      </c>
      <c r="AT7" s="13">
        <f t="shared" si="12"/>
        <v>-66845.482614038512</v>
      </c>
      <c r="AU7" s="13">
        <f t="shared" si="13"/>
        <v>-58645.885695983758</v>
      </c>
      <c r="AV7" s="13">
        <f t="shared" si="14"/>
        <v>-53093</v>
      </c>
    </row>
    <row r="8" spans="1:48" x14ac:dyDescent="0.25">
      <c r="A8" s="1" t="s">
        <v>11</v>
      </c>
      <c r="B8" s="18">
        <f>SUM(B6:B7)</f>
        <v>3106</v>
      </c>
      <c r="C8" s="18">
        <f>SUM(C6:C7)</f>
        <v>17362</v>
      </c>
      <c r="D8" s="18">
        <f>SUM(D6:D7)</f>
        <v>15507</v>
      </c>
      <c r="E8" s="18">
        <f t="shared" ref="E8:J8" si="19">SUM(E6:E7)</f>
        <v>20582</v>
      </c>
      <c r="F8" s="18">
        <f t="shared" si="19"/>
        <v>23841</v>
      </c>
      <c r="G8" s="18">
        <f t="shared" si="19"/>
        <v>26963</v>
      </c>
      <c r="H8" s="18">
        <f t="shared" si="19"/>
        <v>25609</v>
      </c>
      <c r="I8" s="18">
        <f t="shared" si="19"/>
        <v>22190</v>
      </c>
      <c r="J8" s="18">
        <f t="shared" si="19"/>
        <v>21779</v>
      </c>
      <c r="K8" s="18">
        <f t="shared" ref="K8:P8" si="20">SUM(K6:K7)</f>
        <v>20408</v>
      </c>
      <c r="L8" s="18">
        <f t="shared" si="20"/>
        <v>24671</v>
      </c>
      <c r="M8" s="18">
        <f t="shared" si="20"/>
        <v>21655</v>
      </c>
      <c r="N8" s="18">
        <f t="shared" si="20"/>
        <v>20148</v>
      </c>
      <c r="O8" s="18">
        <f t="shared" si="20"/>
        <v>18390</v>
      </c>
      <c r="P8" s="18">
        <f t="shared" si="20"/>
        <v>15307</v>
      </c>
      <c r="R8" s="18">
        <f>SUM(R6:R7)</f>
        <v>0</v>
      </c>
      <c r="S8" s="18">
        <f>SUM(S6:S7)</f>
        <v>1307.9548725717395</v>
      </c>
      <c r="T8" s="18">
        <f>SUM(T6:T7)</f>
        <v>1455.6143657939137</v>
      </c>
      <c r="U8" s="18">
        <f t="shared" ref="U8:Z8" si="21">SUM(U6:U7)</f>
        <v>1543.7699153991416</v>
      </c>
      <c r="V8" s="18">
        <f t="shared" si="21"/>
        <v>1678.5271324420901</v>
      </c>
      <c r="W8" s="18">
        <f t="shared" si="21"/>
        <v>1382.1055310314732</v>
      </c>
      <c r="X8" s="18">
        <f t="shared" si="21"/>
        <v>1227.2319149812574</v>
      </c>
      <c r="Y8" s="18">
        <f t="shared" si="21"/>
        <v>950.36556545044004</v>
      </c>
      <c r="Z8" s="18">
        <f t="shared" si="21"/>
        <v>1585.1162764323035</v>
      </c>
      <c r="AA8" s="18">
        <f t="shared" ref="AA8:AF8" si="22">SUM(AA6:AA7)</f>
        <v>1367.4979629617428</v>
      </c>
      <c r="AB8" s="18">
        <f t="shared" si="22"/>
        <v>1462.830433261599</v>
      </c>
      <c r="AC8" s="18">
        <f t="shared" si="22"/>
        <v>2258.7462848229879</v>
      </c>
      <c r="AD8" s="18">
        <f t="shared" si="22"/>
        <v>1538.5173859614879</v>
      </c>
      <c r="AE8" s="18">
        <f t="shared" si="22"/>
        <v>1310.1143040162387</v>
      </c>
      <c r="AF8" s="18">
        <f t="shared" si="22"/>
        <v>0</v>
      </c>
      <c r="AH8" s="18">
        <f t="shared" si="1"/>
        <v>3106</v>
      </c>
      <c r="AI8" s="18">
        <f t="shared" si="1"/>
        <v>18669.95487257174</v>
      </c>
      <c r="AJ8" s="18">
        <f t="shared" si="2"/>
        <v>16962.614365793914</v>
      </c>
      <c r="AK8" s="18">
        <f t="shared" si="3"/>
        <v>22125.769915399142</v>
      </c>
      <c r="AL8" s="18">
        <f t="shared" si="4"/>
        <v>25519.52713244209</v>
      </c>
      <c r="AM8" s="18">
        <f t="shared" si="5"/>
        <v>28345.105531031473</v>
      </c>
      <c r="AN8" s="18">
        <f t="shared" si="6"/>
        <v>26836.231914981257</v>
      </c>
      <c r="AO8" s="18">
        <f t="shared" si="7"/>
        <v>23140.36556545044</v>
      </c>
      <c r="AP8" s="18">
        <f t="shared" si="8"/>
        <v>23364.116276432302</v>
      </c>
      <c r="AQ8" s="18">
        <f t="shared" si="9"/>
        <v>21775.497962961745</v>
      </c>
      <c r="AR8" s="18">
        <f t="shared" si="10"/>
        <v>26133.830433261599</v>
      </c>
      <c r="AS8" s="18">
        <f t="shared" si="11"/>
        <v>23913.746284822988</v>
      </c>
      <c r="AT8" s="18">
        <f t="shared" si="12"/>
        <v>21686.517385961488</v>
      </c>
      <c r="AU8" s="18">
        <f t="shared" si="13"/>
        <v>19700.114304016239</v>
      </c>
      <c r="AV8" s="18">
        <f t="shared" si="14"/>
        <v>15307</v>
      </c>
    </row>
    <row r="9" spans="1:48" x14ac:dyDescent="0.25">
      <c r="A9" s="4" t="s">
        <v>296</v>
      </c>
      <c r="B9" s="12">
        <f>VLOOKUP($A9,'Standardized Statements'!$A:$Q,B$4,FALSE)</f>
        <v>0</v>
      </c>
      <c r="C9" s="12">
        <f>VLOOKUP($A9,'Standardized Statements'!$A:$Q,C$4,FALSE)</f>
        <v>0</v>
      </c>
      <c r="D9" s="12">
        <f>VLOOKUP($A9,'Standardized Statements'!$A:$Q,D$4,FALSE)</f>
        <v>0</v>
      </c>
      <c r="E9" s="12">
        <f>VLOOKUP($A9,'Standardized Statements'!$A:$Q,E$4,FALSE)</f>
        <v>0</v>
      </c>
      <c r="F9" s="12">
        <f>VLOOKUP($A9,'Standardized Statements'!$A:$Q,F$4,FALSE)</f>
        <v>0</v>
      </c>
      <c r="G9" s="12">
        <f>VLOOKUP($A9,'Standardized Statements'!$A:$Q,G$4,FALSE)</f>
        <v>0</v>
      </c>
      <c r="H9" s="12">
        <f>VLOOKUP($A9,'Standardized Statements'!$A:$Q,H$4,FALSE)</f>
        <v>0</v>
      </c>
      <c r="I9" s="12">
        <f>VLOOKUP($A9,'Standardized Statements'!$A:$Q,I$4,FALSE)</f>
        <v>0</v>
      </c>
      <c r="J9" s="12">
        <f>VLOOKUP($A9,'Standardized Statements'!$A:$Q,J$4,FALSE)</f>
        <v>0</v>
      </c>
      <c r="K9" s="12">
        <f>VLOOKUP($A9,'Standardized Statements'!$A:$Q,K$4,FALSE)</f>
        <v>0</v>
      </c>
      <c r="L9" s="12">
        <f>VLOOKUP($A9,'Standardized Statements'!$A:$Q,L$4,FALSE)</f>
        <v>0</v>
      </c>
      <c r="M9" s="12">
        <f>VLOOKUP($A9,'Standardized Statements'!$A:$Q,M$4,FALSE)</f>
        <v>0</v>
      </c>
      <c r="N9" s="12">
        <f>VLOOKUP($A9,'Standardized Statements'!$A:$Q,N$4,FALSE)</f>
        <v>0</v>
      </c>
      <c r="O9" s="12">
        <f>VLOOKUP($A9,'Standardized Statements'!$A:$Q,O$4,FALSE)</f>
        <v>0</v>
      </c>
      <c r="P9" s="12">
        <f>VLOOKUP($A9,'Standardized Statements'!$A:$Q,P$4,FALSE)</f>
        <v>0</v>
      </c>
      <c r="R9" s="12"/>
      <c r="S9" s="12"/>
      <c r="T9" s="12"/>
      <c r="U9" s="12"/>
      <c r="V9" s="12"/>
      <c r="W9" s="12"/>
      <c r="X9" s="12"/>
      <c r="Y9" s="12"/>
      <c r="Z9" s="12"/>
      <c r="AA9" s="12"/>
      <c r="AB9" s="12"/>
      <c r="AC9" s="12"/>
      <c r="AD9" s="12"/>
      <c r="AE9" s="12"/>
      <c r="AF9" s="12"/>
      <c r="AH9" s="12">
        <f t="shared" si="1"/>
        <v>0</v>
      </c>
      <c r="AI9" s="12">
        <f t="shared" si="1"/>
        <v>0</v>
      </c>
      <c r="AJ9" s="12">
        <f t="shared" si="2"/>
        <v>0</v>
      </c>
      <c r="AK9" s="12">
        <f t="shared" si="3"/>
        <v>0</v>
      </c>
      <c r="AL9" s="12">
        <f t="shared" si="4"/>
        <v>0</v>
      </c>
      <c r="AM9" s="12">
        <f t="shared" si="5"/>
        <v>0</v>
      </c>
      <c r="AN9" s="12">
        <f t="shared" si="6"/>
        <v>0</v>
      </c>
      <c r="AO9" s="12">
        <f t="shared" si="7"/>
        <v>0</v>
      </c>
      <c r="AP9" s="12">
        <f t="shared" si="8"/>
        <v>0</v>
      </c>
      <c r="AQ9" s="12">
        <f t="shared" si="9"/>
        <v>0</v>
      </c>
      <c r="AR9" s="12">
        <f t="shared" si="10"/>
        <v>0</v>
      </c>
      <c r="AS9" s="12">
        <f t="shared" si="11"/>
        <v>0</v>
      </c>
      <c r="AT9" s="12">
        <f t="shared" si="12"/>
        <v>0</v>
      </c>
      <c r="AU9" s="12">
        <f t="shared" si="13"/>
        <v>0</v>
      </c>
      <c r="AV9" s="12">
        <f t="shared" si="14"/>
        <v>0</v>
      </c>
    </row>
    <row r="10" spans="1:48" x14ac:dyDescent="0.25">
      <c r="A10" s="4" t="s">
        <v>246</v>
      </c>
      <c r="B10" s="12">
        <f>VLOOKUP($A10,'Standardized Statements'!$A:$Q,B$4,FALSE)</f>
        <v>0</v>
      </c>
      <c r="C10" s="12">
        <f>VLOOKUP($A10,'Standardized Statements'!$A:$Q,C$4,FALSE)</f>
        <v>0</v>
      </c>
      <c r="D10" s="12">
        <f>VLOOKUP($A10,'Standardized Statements'!$A:$Q,D$4,FALSE)</f>
        <v>0</v>
      </c>
      <c r="E10" s="12">
        <f>VLOOKUP($A10,'Standardized Statements'!$A:$Q,E$4,FALSE)</f>
        <v>0</v>
      </c>
      <c r="F10" s="12">
        <f>VLOOKUP($A10,'Standardized Statements'!$A:$Q,F$4,FALSE)</f>
        <v>0</v>
      </c>
      <c r="G10" s="12">
        <f>VLOOKUP($A10,'Standardized Statements'!$A:$Q,G$4,FALSE)</f>
        <v>0</v>
      </c>
      <c r="H10" s="12">
        <f>VLOOKUP($A10,'Standardized Statements'!$A:$Q,H$4,FALSE)</f>
        <v>0</v>
      </c>
      <c r="I10" s="12">
        <f>VLOOKUP($A10,'Standardized Statements'!$A:$Q,I$4,FALSE)</f>
        <v>0</v>
      </c>
      <c r="J10" s="12">
        <f>VLOOKUP($A10,'Standardized Statements'!$A:$Q,J$4,FALSE)</f>
        <v>0</v>
      </c>
      <c r="K10" s="12">
        <f>VLOOKUP($A10,'Standardized Statements'!$A:$Q,K$4,FALSE)</f>
        <v>0</v>
      </c>
      <c r="L10" s="12">
        <f>VLOOKUP($A10,'Standardized Statements'!$A:$Q,L$4,FALSE)</f>
        <v>0</v>
      </c>
      <c r="M10" s="12">
        <f>VLOOKUP($A10,'Standardized Statements'!$A:$Q,M$4,FALSE)</f>
        <v>0</v>
      </c>
      <c r="N10" s="12">
        <f>VLOOKUP($A10,'Standardized Statements'!$A:$Q,N$4,FALSE)</f>
        <v>0</v>
      </c>
      <c r="O10" s="12">
        <f>VLOOKUP($A10,'Standardized Statements'!$A:$Q,O$4,FALSE)</f>
        <v>0</v>
      </c>
      <c r="P10" s="12">
        <f>VLOOKUP($A10,'Standardized Statements'!$A:$Q,P$4,FALSE)</f>
        <v>0</v>
      </c>
      <c r="R10" s="12"/>
      <c r="S10" s="12"/>
      <c r="T10" s="12"/>
      <c r="U10" s="12"/>
      <c r="V10" s="12"/>
      <c r="W10" s="12"/>
      <c r="X10" s="12"/>
      <c r="Y10" s="12"/>
      <c r="Z10" s="12"/>
      <c r="AA10" s="12"/>
      <c r="AB10" s="12"/>
      <c r="AC10" s="12"/>
      <c r="AD10" s="12"/>
      <c r="AE10" s="12"/>
      <c r="AF10" s="12"/>
      <c r="AH10" s="12">
        <f t="shared" si="1"/>
        <v>0</v>
      </c>
      <c r="AI10" s="12">
        <f t="shared" si="1"/>
        <v>0</v>
      </c>
      <c r="AJ10" s="12">
        <f t="shared" si="2"/>
        <v>0</v>
      </c>
      <c r="AK10" s="12">
        <f t="shared" si="3"/>
        <v>0</v>
      </c>
      <c r="AL10" s="12">
        <f t="shared" si="4"/>
        <v>0</v>
      </c>
      <c r="AM10" s="12">
        <f t="shared" si="5"/>
        <v>0</v>
      </c>
      <c r="AN10" s="12">
        <f t="shared" si="6"/>
        <v>0</v>
      </c>
      <c r="AO10" s="12">
        <f t="shared" si="7"/>
        <v>0</v>
      </c>
      <c r="AP10" s="12">
        <f t="shared" si="8"/>
        <v>0</v>
      </c>
      <c r="AQ10" s="12">
        <f t="shared" si="9"/>
        <v>0</v>
      </c>
      <c r="AR10" s="12">
        <f t="shared" si="10"/>
        <v>0</v>
      </c>
      <c r="AS10" s="12">
        <f t="shared" si="11"/>
        <v>0</v>
      </c>
      <c r="AT10" s="12">
        <f t="shared" si="12"/>
        <v>0</v>
      </c>
      <c r="AU10" s="12">
        <f t="shared" si="13"/>
        <v>0</v>
      </c>
      <c r="AV10" s="12">
        <f t="shared" si="14"/>
        <v>0</v>
      </c>
    </row>
    <row r="11" spans="1:48" x14ac:dyDescent="0.25">
      <c r="A11" s="48" t="s">
        <v>52</v>
      </c>
      <c r="B11" s="12">
        <f>VLOOKUP($A11,'Standardized Statements'!$A:$Q,B$4,FALSE)</f>
        <v>252</v>
      </c>
      <c r="C11" s="12">
        <f>VLOOKUP($A11,'Standardized Statements'!$A:$Q,C$4,FALSE)</f>
        <v>376</v>
      </c>
      <c r="D11" s="12">
        <f>VLOOKUP($A11,'Standardized Statements'!$A:$Q,D$4,FALSE)</f>
        <v>292</v>
      </c>
      <c r="E11" s="12">
        <f>VLOOKUP($A11,'Standardized Statements'!$A:$Q,E$4,FALSE)</f>
        <v>281</v>
      </c>
      <c r="F11" s="12">
        <f>VLOOKUP($A11,'Standardized Statements'!$A:$Q,F$4,FALSE)</f>
        <v>224</v>
      </c>
      <c r="G11" s="12">
        <f>VLOOKUP($A11,'Standardized Statements'!$A:$Q,G$4,FALSE)</f>
        <v>310</v>
      </c>
      <c r="H11" s="12">
        <f>VLOOKUP($A11,'Standardized Statements'!$A:$Q,H$4,FALSE)</f>
        <v>328</v>
      </c>
      <c r="I11" s="12">
        <f>VLOOKUP($A11,'Standardized Statements'!$A:$Q,I$4,FALSE)</f>
        <v>367</v>
      </c>
      <c r="J11" s="12">
        <f>VLOOKUP($A11,'Standardized Statements'!$A:$Q,J$4,FALSE)</f>
        <v>536</v>
      </c>
      <c r="K11" s="12">
        <f>VLOOKUP($A11,'Standardized Statements'!$A:$Q,K$4,FALSE)</f>
        <v>568</v>
      </c>
      <c r="L11" s="12">
        <f>VLOOKUP($A11,'Standardized Statements'!$A:$Q,L$4,FALSE)</f>
        <v>356</v>
      </c>
      <c r="M11" s="12">
        <f>VLOOKUP($A11,'Standardized Statements'!$A:$Q,M$4,FALSE)</f>
        <v>467</v>
      </c>
      <c r="N11" s="12">
        <f>VLOOKUP($A11,'Standardized Statements'!$A:$Q,N$4,FALSE)</f>
        <v>1060</v>
      </c>
      <c r="O11" s="12">
        <f>VLOOKUP($A11,'Standardized Statements'!$A:$Q,O$4,FALSE)</f>
        <v>793</v>
      </c>
      <c r="P11" s="12">
        <f>VLOOKUP($A11,'Standardized Statements'!$A:$Q,P$4,FALSE)</f>
        <v>515</v>
      </c>
      <c r="R11" s="12"/>
      <c r="S11" s="12"/>
      <c r="T11" s="12"/>
      <c r="U11" s="12"/>
      <c r="V11" s="12"/>
      <c r="W11" s="12"/>
      <c r="X11" s="12"/>
      <c r="Y11" s="12"/>
      <c r="Z11" s="12"/>
      <c r="AA11" s="12"/>
      <c r="AB11" s="12"/>
      <c r="AC11" s="12"/>
      <c r="AD11" s="12"/>
      <c r="AE11" s="12"/>
      <c r="AF11" s="12"/>
      <c r="AH11" s="12">
        <f t="shared" si="1"/>
        <v>252</v>
      </c>
      <c r="AI11" s="12">
        <f t="shared" si="1"/>
        <v>376</v>
      </c>
      <c r="AJ11" s="12">
        <f t="shared" si="2"/>
        <v>292</v>
      </c>
      <c r="AK11" s="12">
        <f t="shared" si="3"/>
        <v>281</v>
      </c>
      <c r="AL11" s="12">
        <f t="shared" si="4"/>
        <v>224</v>
      </c>
      <c r="AM11" s="12">
        <f t="shared" si="5"/>
        <v>310</v>
      </c>
      <c r="AN11" s="12">
        <f t="shared" si="6"/>
        <v>328</v>
      </c>
      <c r="AO11" s="12">
        <f t="shared" si="7"/>
        <v>367</v>
      </c>
      <c r="AP11" s="12">
        <f t="shared" si="8"/>
        <v>536</v>
      </c>
      <c r="AQ11" s="12">
        <f t="shared" si="9"/>
        <v>568</v>
      </c>
      <c r="AR11" s="12">
        <f t="shared" si="10"/>
        <v>356</v>
      </c>
      <c r="AS11" s="12">
        <f t="shared" si="11"/>
        <v>467</v>
      </c>
      <c r="AT11" s="12">
        <f t="shared" si="12"/>
        <v>1060</v>
      </c>
      <c r="AU11" s="12">
        <f t="shared" si="13"/>
        <v>793</v>
      </c>
      <c r="AV11" s="12">
        <f t="shared" si="14"/>
        <v>515</v>
      </c>
    </row>
    <row r="12" spans="1:48" x14ac:dyDescent="0.25">
      <c r="A12" s="48" t="s">
        <v>53</v>
      </c>
      <c r="B12" s="13">
        <f>VLOOKUP($A12,'Standardized Statements'!$A:$Q,B$4,FALSE)</f>
        <v>-1306</v>
      </c>
      <c r="C12" s="13">
        <f>VLOOKUP($A12,'Standardized Statements'!$A:$Q,C$4,FALSE)</f>
        <v>-347</v>
      </c>
      <c r="D12" s="13">
        <f>VLOOKUP($A12,'Standardized Statements'!$A:$Q,D$4,FALSE)</f>
        <v>-160</v>
      </c>
      <c r="E12" s="13">
        <f>VLOOKUP($A12,'Standardized Statements'!$A:$Q,E$4,FALSE)</f>
        <v>-54</v>
      </c>
      <c r="F12" s="13">
        <f>VLOOKUP($A12,'Standardized Statements'!$A:$Q,F$4,FALSE)</f>
        <v>-26</v>
      </c>
      <c r="G12" s="13">
        <f>VLOOKUP($A12,'Standardized Statements'!$A:$Q,G$4,FALSE)</f>
        <v>-31</v>
      </c>
      <c r="H12" s="13">
        <f>VLOOKUP($A12,'Standardized Statements'!$A:$Q,H$4,FALSE)</f>
        <v>-42</v>
      </c>
      <c r="I12" s="13">
        <f>VLOOKUP($A12,'Standardized Statements'!$A:$Q,I$4,FALSE)</f>
        <v>-31</v>
      </c>
      <c r="J12" s="13">
        <f>VLOOKUP($A12,'Standardized Statements'!$A:$Q,J$4,FALSE)</f>
        <v>-30</v>
      </c>
      <c r="K12" s="13">
        <f>VLOOKUP($A12,'Standardized Statements'!$A:$Q,K$4,FALSE)</f>
        <v>-34</v>
      </c>
      <c r="L12" s="13">
        <f>VLOOKUP($A12,'Standardized Statements'!$A:$Q,L$4,FALSE)</f>
        <v>-19</v>
      </c>
      <c r="M12" s="13">
        <f>VLOOKUP($A12,'Standardized Statements'!$A:$Q,M$4,FALSE)</f>
        <v>-19</v>
      </c>
      <c r="N12" s="13">
        <f>VLOOKUP($A12,'Standardized Statements'!$A:$Q,N$4,FALSE)</f>
        <v>-18</v>
      </c>
      <c r="O12" s="13">
        <f>VLOOKUP($A12,'Standardized Statements'!$A:$Q,O$4,FALSE)</f>
        <v>-13</v>
      </c>
      <c r="P12" s="13">
        <f>VLOOKUP($A12,'Standardized Statements'!$A:$Q,P$4,FALSE)</f>
        <v>-14</v>
      </c>
      <c r="R12" s="13">
        <f>'Lease adjustments'!B40</f>
        <v>0</v>
      </c>
      <c r="S12" s="13">
        <f>'Lease adjustments'!C40</f>
        <v>-1307.954872571738</v>
      </c>
      <c r="T12" s="13">
        <f>'Lease adjustments'!D40</f>
        <v>-1455.6143657939131</v>
      </c>
      <c r="U12" s="13">
        <f>'Lease adjustments'!E40</f>
        <v>-1543.7699153991434</v>
      </c>
      <c r="V12" s="13">
        <f>'Lease adjustments'!F40</f>
        <v>-1678.5271324420903</v>
      </c>
      <c r="W12" s="13">
        <f>'Lease adjustments'!G40</f>
        <v>-1382.1055310314732</v>
      </c>
      <c r="X12" s="13">
        <f>'Lease adjustments'!H40</f>
        <v>-1227.2319149812577</v>
      </c>
      <c r="Y12" s="13">
        <f>'Lease adjustments'!I40</f>
        <v>-950.3655654504397</v>
      </c>
      <c r="Z12" s="13">
        <f>'Lease adjustments'!J40</f>
        <v>-1585.116276432303</v>
      </c>
      <c r="AA12" s="13">
        <f>'Lease adjustments'!K40</f>
        <v>-1367.4979629617424</v>
      </c>
      <c r="AB12" s="13">
        <f>'Lease adjustments'!L40</f>
        <v>-1462.8304332615994</v>
      </c>
      <c r="AC12" s="13">
        <f>'Lease adjustments'!M40</f>
        <v>-2258.7462848229879</v>
      </c>
      <c r="AD12" s="13">
        <f>'Lease adjustments'!N40</f>
        <v>-1538.5173859614872</v>
      </c>
      <c r="AE12" s="13">
        <f>'Lease adjustments'!O40</f>
        <v>-1310.1143040162385</v>
      </c>
      <c r="AF12" s="13">
        <f>'Lease adjustments'!P40</f>
        <v>0</v>
      </c>
      <c r="AH12" s="13">
        <f t="shared" si="1"/>
        <v>-1306</v>
      </c>
      <c r="AI12" s="13">
        <f t="shared" si="1"/>
        <v>-1654.954872571738</v>
      </c>
      <c r="AJ12" s="13">
        <f t="shared" si="2"/>
        <v>-1615.6143657939131</v>
      </c>
      <c r="AK12" s="13">
        <f t="shared" si="3"/>
        <v>-1597.7699153991434</v>
      </c>
      <c r="AL12" s="13">
        <f t="shared" si="4"/>
        <v>-1704.5271324420903</v>
      </c>
      <c r="AM12" s="13">
        <f t="shared" si="5"/>
        <v>-1413.1055310314732</v>
      </c>
      <c r="AN12" s="13">
        <f t="shared" si="6"/>
        <v>-1269.2319149812577</v>
      </c>
      <c r="AO12" s="13">
        <f t="shared" si="7"/>
        <v>-981.3655654504397</v>
      </c>
      <c r="AP12" s="13">
        <f t="shared" si="8"/>
        <v>-1615.116276432303</v>
      </c>
      <c r="AQ12" s="13">
        <f t="shared" si="9"/>
        <v>-1401.4979629617424</v>
      </c>
      <c r="AR12" s="13">
        <f t="shared" si="10"/>
        <v>-1481.8304332615994</v>
      </c>
      <c r="AS12" s="13">
        <f t="shared" si="11"/>
        <v>-2277.7462848229879</v>
      </c>
      <c r="AT12" s="13">
        <f t="shared" si="12"/>
        <v>-1556.5173859614872</v>
      </c>
      <c r="AU12" s="13">
        <f t="shared" si="13"/>
        <v>-1323.1143040162385</v>
      </c>
      <c r="AV12" s="13">
        <f t="shared" si="14"/>
        <v>-14</v>
      </c>
    </row>
    <row r="13" spans="1:48" x14ac:dyDescent="0.25">
      <c r="A13" s="1" t="s">
        <v>54</v>
      </c>
      <c r="B13" s="22">
        <f>SUM(B8:B12)</f>
        <v>2052</v>
      </c>
      <c r="C13" s="22">
        <f>SUM(C8:C12)</f>
        <v>17391</v>
      </c>
      <c r="D13" s="22">
        <f>SUM(D8:D12)</f>
        <v>15639</v>
      </c>
      <c r="E13" s="22">
        <f t="shared" ref="E13:P13" si="23">SUM(E8:E12)</f>
        <v>20809</v>
      </c>
      <c r="F13" s="22">
        <f t="shared" si="23"/>
        <v>24039</v>
      </c>
      <c r="G13" s="22">
        <f t="shared" si="23"/>
        <v>27242</v>
      </c>
      <c r="H13" s="22">
        <f t="shared" si="23"/>
        <v>25895</v>
      </c>
      <c r="I13" s="22">
        <f t="shared" si="23"/>
        <v>22526</v>
      </c>
      <c r="J13" s="22">
        <f t="shared" si="23"/>
        <v>22285</v>
      </c>
      <c r="K13" s="22">
        <f t="shared" si="23"/>
        <v>20942</v>
      </c>
      <c r="L13" s="22">
        <f t="shared" si="23"/>
        <v>25008</v>
      </c>
      <c r="M13" s="22">
        <f t="shared" si="23"/>
        <v>22103</v>
      </c>
      <c r="N13" s="22">
        <f t="shared" si="23"/>
        <v>21190</v>
      </c>
      <c r="O13" s="22">
        <f t="shared" si="23"/>
        <v>19170</v>
      </c>
      <c r="P13" s="22">
        <f t="shared" si="23"/>
        <v>15808</v>
      </c>
      <c r="R13" s="22">
        <f>SUM(R8:R12)</f>
        <v>0</v>
      </c>
      <c r="S13" s="22">
        <f>SUM(S8:S12)</f>
        <v>0</v>
      </c>
      <c r="T13" s="22">
        <f>SUM(T8:T12)</f>
        <v>0</v>
      </c>
      <c r="U13" s="22">
        <f t="shared" ref="U13:AF13" si="24">SUM(U8:U12)</f>
        <v>-1.8189894035458565E-12</v>
      </c>
      <c r="V13" s="22">
        <f t="shared" si="24"/>
        <v>0</v>
      </c>
      <c r="W13" s="22">
        <f t="shared" si="24"/>
        <v>0</v>
      </c>
      <c r="X13" s="22">
        <f t="shared" si="24"/>
        <v>0</v>
      </c>
      <c r="Y13" s="22">
        <f t="shared" si="24"/>
        <v>0</v>
      </c>
      <c r="Z13" s="22">
        <f t="shared" si="24"/>
        <v>0</v>
      </c>
      <c r="AA13" s="22">
        <f t="shared" si="24"/>
        <v>0</v>
      </c>
      <c r="AB13" s="22">
        <f t="shared" si="24"/>
        <v>0</v>
      </c>
      <c r="AC13" s="22">
        <f t="shared" si="24"/>
        <v>0</v>
      </c>
      <c r="AD13" s="22">
        <f t="shared" si="24"/>
        <v>0</v>
      </c>
      <c r="AE13" s="22">
        <f t="shared" si="24"/>
        <v>0</v>
      </c>
      <c r="AF13" s="22">
        <f t="shared" si="24"/>
        <v>0</v>
      </c>
      <c r="AH13" s="22">
        <f t="shared" si="1"/>
        <v>2052</v>
      </c>
      <c r="AI13" s="22">
        <f t="shared" si="1"/>
        <v>17391</v>
      </c>
      <c r="AJ13" s="22">
        <f t="shared" si="2"/>
        <v>15639</v>
      </c>
      <c r="AK13" s="22">
        <f t="shared" si="3"/>
        <v>20809</v>
      </c>
      <c r="AL13" s="22">
        <f t="shared" si="4"/>
        <v>24039</v>
      </c>
      <c r="AM13" s="22">
        <f t="shared" si="5"/>
        <v>27242</v>
      </c>
      <c r="AN13" s="22">
        <f t="shared" si="6"/>
        <v>25895</v>
      </c>
      <c r="AO13" s="22">
        <f t="shared" si="7"/>
        <v>22526</v>
      </c>
      <c r="AP13" s="22">
        <f t="shared" si="8"/>
        <v>22285</v>
      </c>
      <c r="AQ13" s="22">
        <f t="shared" si="9"/>
        <v>20942</v>
      </c>
      <c r="AR13" s="22">
        <f t="shared" si="10"/>
        <v>25008</v>
      </c>
      <c r="AS13" s="22">
        <f t="shared" si="11"/>
        <v>22103</v>
      </c>
      <c r="AT13" s="22">
        <f t="shared" si="12"/>
        <v>21190</v>
      </c>
      <c r="AU13" s="22">
        <f t="shared" si="13"/>
        <v>19170</v>
      </c>
      <c r="AV13" s="22">
        <f t="shared" si="14"/>
        <v>15808</v>
      </c>
    </row>
    <row r="14" spans="1:48" x14ac:dyDescent="0.25">
      <c r="A14" s="4" t="s">
        <v>55</v>
      </c>
      <c r="B14" s="13">
        <f>VLOOKUP($A14,'Standardized Statements'!$A:$Q,B$4,FALSE)</f>
        <v>-809</v>
      </c>
      <c r="C14" s="13">
        <f>VLOOKUP($A14,'Standardized Statements'!$A:$Q,C$4,FALSE)</f>
        <v>-3948</v>
      </c>
      <c r="D14" s="13">
        <f>VLOOKUP($A14,'Standardized Statements'!$A:$Q,D$4,FALSE)</f>
        <v>-2987</v>
      </c>
      <c r="E14" s="13">
        <f>VLOOKUP($A14,'Standardized Statements'!$A:$Q,E$4,FALSE)</f>
        <v>-4625</v>
      </c>
      <c r="F14" s="13">
        <f>VLOOKUP($A14,'Standardized Statements'!$A:$Q,F$4,FALSE)</f>
        <v>-5403</v>
      </c>
      <c r="G14" s="13">
        <f>VLOOKUP($A14,'Standardized Statements'!$A:$Q,G$4,FALSE)</f>
        <v>-6344</v>
      </c>
      <c r="H14" s="13">
        <f>VLOOKUP($A14,'Standardized Statements'!$A:$Q,H$4,FALSE)</f>
        <v>-5919</v>
      </c>
      <c r="I14" s="13">
        <f>VLOOKUP($A14,'Standardized Statements'!$A:$Q,I$4,FALSE)</f>
        <v>-5374</v>
      </c>
      <c r="J14" s="13">
        <f>VLOOKUP($A14,'Standardized Statements'!$A:$Q,J$4,FALSE)</f>
        <v>-5418</v>
      </c>
      <c r="K14" s="13">
        <f>VLOOKUP($A14,'Standardized Statements'!$A:$Q,K$4,FALSE)</f>
        <v>-5121</v>
      </c>
      <c r="L14" s="13">
        <f>VLOOKUP($A14,'Standardized Statements'!$A:$Q,L$4,FALSE)</f>
        <v>-6327</v>
      </c>
      <c r="M14" s="13">
        <f>VLOOKUP($A14,'Standardized Statements'!$A:$Q,M$4,FALSE)</f>
        <v>-5719</v>
      </c>
      <c r="N14" s="13">
        <f>VLOOKUP($A14,'Standardized Statements'!$A:$Q,N$4,FALSE)</f>
        <v>-5896</v>
      </c>
      <c r="O14" s="13">
        <f>VLOOKUP($A14,'Standardized Statements'!$A:$Q,O$4,FALSE)</f>
        <v>-5582</v>
      </c>
      <c r="P14" s="13">
        <f>VLOOKUP($A14,'Standardized Statements'!$A:$Q,P$4,FALSE)</f>
        <v>-5011</v>
      </c>
      <c r="R14" s="13">
        <f>'Lease adjustments'!B41</f>
        <v>0</v>
      </c>
      <c r="S14" s="13">
        <f>'Lease adjustments'!C41</f>
        <v>0</v>
      </c>
      <c r="T14" s="13">
        <f>'Lease adjustments'!D41</f>
        <v>0</v>
      </c>
      <c r="U14" s="13">
        <f>'Lease adjustments'!E41</f>
        <v>4.0017766878008843E-13</v>
      </c>
      <c r="V14" s="13">
        <f>'Lease adjustments'!F41</f>
        <v>0</v>
      </c>
      <c r="W14" s="13">
        <f>'Lease adjustments'!G41</f>
        <v>0</v>
      </c>
      <c r="X14" s="13">
        <f>'Lease adjustments'!H41</f>
        <v>0</v>
      </c>
      <c r="Y14" s="13">
        <f>'Lease adjustments'!I41</f>
        <v>0</v>
      </c>
      <c r="Z14" s="13">
        <f>'Lease adjustments'!J41</f>
        <v>0</v>
      </c>
      <c r="AA14" s="13">
        <f>'Lease adjustments'!K41</f>
        <v>0</v>
      </c>
      <c r="AB14" s="13">
        <f>'Lease adjustments'!L41</f>
        <v>0</v>
      </c>
      <c r="AC14" s="13">
        <f>'Lease adjustments'!M41</f>
        <v>0</v>
      </c>
      <c r="AD14" s="13">
        <f>'Lease adjustments'!N41</f>
        <v>0</v>
      </c>
      <c r="AE14" s="13">
        <f>'Lease adjustments'!O41</f>
        <v>0</v>
      </c>
      <c r="AF14" s="13">
        <f>'Lease adjustments'!P41</f>
        <v>0</v>
      </c>
      <c r="AH14" s="13">
        <f t="shared" si="1"/>
        <v>-809</v>
      </c>
      <c r="AI14" s="13">
        <f t="shared" si="1"/>
        <v>-3948</v>
      </c>
      <c r="AJ14" s="13">
        <f t="shared" si="2"/>
        <v>-2987</v>
      </c>
      <c r="AK14" s="13">
        <f t="shared" si="3"/>
        <v>-4625</v>
      </c>
      <c r="AL14" s="13">
        <f t="shared" si="4"/>
        <v>-5403</v>
      </c>
      <c r="AM14" s="13">
        <f t="shared" si="5"/>
        <v>-6344</v>
      </c>
      <c r="AN14" s="13">
        <f t="shared" si="6"/>
        <v>-5919</v>
      </c>
      <c r="AO14" s="13">
        <f t="shared" si="7"/>
        <v>-5374</v>
      </c>
      <c r="AP14" s="13">
        <f t="shared" si="8"/>
        <v>-5418</v>
      </c>
      <c r="AQ14" s="13">
        <f t="shared" si="9"/>
        <v>-5121</v>
      </c>
      <c r="AR14" s="13">
        <f t="shared" si="10"/>
        <v>-6327</v>
      </c>
      <c r="AS14" s="13">
        <f t="shared" si="11"/>
        <v>-5719</v>
      </c>
      <c r="AT14" s="13">
        <f t="shared" si="12"/>
        <v>-5896</v>
      </c>
      <c r="AU14" s="13">
        <f t="shared" si="13"/>
        <v>-5582</v>
      </c>
      <c r="AV14" s="13">
        <f t="shared" si="14"/>
        <v>-5011</v>
      </c>
    </row>
    <row r="15" spans="1:48" x14ac:dyDescent="0.25">
      <c r="A15" s="1" t="s">
        <v>56</v>
      </c>
      <c r="B15" s="22">
        <f>SUM(B13:B14)</f>
        <v>1243</v>
      </c>
      <c r="C15" s="22">
        <f>SUM(C13:C14)</f>
        <v>13443</v>
      </c>
      <c r="D15" s="22">
        <f>SUM(D13:D14)</f>
        <v>12652</v>
      </c>
      <c r="E15" s="22">
        <f t="shared" ref="E15:J15" si="25">SUM(E13:E14)</f>
        <v>16184</v>
      </c>
      <c r="F15" s="22">
        <f t="shared" si="25"/>
        <v>18636</v>
      </c>
      <c r="G15" s="22">
        <f t="shared" si="25"/>
        <v>20898</v>
      </c>
      <c r="H15" s="22">
        <f t="shared" si="25"/>
        <v>19976</v>
      </c>
      <c r="I15" s="22">
        <f t="shared" si="25"/>
        <v>17152</v>
      </c>
      <c r="J15" s="22">
        <f t="shared" si="25"/>
        <v>16867</v>
      </c>
      <c r="K15" s="22">
        <f t="shared" ref="K15:P15" si="26">SUM(K13:K14)</f>
        <v>15821</v>
      </c>
      <c r="L15" s="22">
        <f t="shared" si="26"/>
        <v>18681</v>
      </c>
      <c r="M15" s="22">
        <f t="shared" si="26"/>
        <v>16384</v>
      </c>
      <c r="N15" s="22">
        <f t="shared" si="26"/>
        <v>15294</v>
      </c>
      <c r="O15" s="22">
        <f t="shared" si="26"/>
        <v>13588</v>
      </c>
      <c r="P15" s="22">
        <f t="shared" si="26"/>
        <v>10797</v>
      </c>
      <c r="R15" s="22">
        <f>SUM(R13:R14)</f>
        <v>0</v>
      </c>
      <c r="S15" s="22">
        <f>SUM(S13:S14)</f>
        <v>0</v>
      </c>
      <c r="T15" s="22">
        <f>SUM(T13:T14)</f>
        <v>0</v>
      </c>
      <c r="U15" s="22">
        <f t="shared" ref="U15:Z15" si="27">SUM(U13:U14)</f>
        <v>-1.4188117347657681E-12</v>
      </c>
      <c r="V15" s="22">
        <f t="shared" si="27"/>
        <v>0</v>
      </c>
      <c r="W15" s="22">
        <f t="shared" si="27"/>
        <v>0</v>
      </c>
      <c r="X15" s="22">
        <f t="shared" si="27"/>
        <v>0</v>
      </c>
      <c r="Y15" s="22">
        <f t="shared" si="27"/>
        <v>0</v>
      </c>
      <c r="Z15" s="22">
        <f t="shared" si="27"/>
        <v>0</v>
      </c>
      <c r="AA15" s="22">
        <f t="shared" ref="AA15:AF15" si="28">SUM(AA13:AA14)</f>
        <v>0</v>
      </c>
      <c r="AB15" s="22">
        <f t="shared" si="28"/>
        <v>0</v>
      </c>
      <c r="AC15" s="22">
        <f t="shared" si="28"/>
        <v>0</v>
      </c>
      <c r="AD15" s="22">
        <f t="shared" si="28"/>
        <v>0</v>
      </c>
      <c r="AE15" s="22">
        <f t="shared" si="28"/>
        <v>0</v>
      </c>
      <c r="AF15" s="22">
        <f t="shared" si="28"/>
        <v>0</v>
      </c>
      <c r="AH15" s="22">
        <f t="shared" si="1"/>
        <v>1243</v>
      </c>
      <c r="AI15" s="22">
        <f t="shared" si="1"/>
        <v>13443</v>
      </c>
      <c r="AJ15" s="22">
        <f t="shared" si="2"/>
        <v>12652</v>
      </c>
      <c r="AK15" s="22">
        <f t="shared" si="3"/>
        <v>16183.999999999998</v>
      </c>
      <c r="AL15" s="22">
        <f t="shared" si="4"/>
        <v>18636</v>
      </c>
      <c r="AM15" s="22">
        <f t="shared" si="5"/>
        <v>20898</v>
      </c>
      <c r="AN15" s="22">
        <f t="shared" si="6"/>
        <v>19976</v>
      </c>
      <c r="AO15" s="22">
        <f t="shared" si="7"/>
        <v>17152</v>
      </c>
      <c r="AP15" s="22">
        <f t="shared" si="8"/>
        <v>16867</v>
      </c>
      <c r="AQ15" s="22">
        <f t="shared" si="9"/>
        <v>15821</v>
      </c>
      <c r="AR15" s="22">
        <f t="shared" si="10"/>
        <v>18681</v>
      </c>
      <c r="AS15" s="22">
        <f t="shared" si="11"/>
        <v>16384</v>
      </c>
      <c r="AT15" s="22">
        <f t="shared" si="12"/>
        <v>15294</v>
      </c>
      <c r="AU15" s="22">
        <f t="shared" si="13"/>
        <v>13588</v>
      </c>
      <c r="AV15" s="22">
        <f t="shared" si="14"/>
        <v>10797</v>
      </c>
    </row>
    <row r="16" spans="1:48" x14ac:dyDescent="0.25">
      <c r="A16" s="4" t="s">
        <v>247</v>
      </c>
      <c r="B16" s="13">
        <f>VLOOKUP($A16,'Standardized Statements'!$A:$Q,B$4,FALSE)</f>
        <v>0</v>
      </c>
      <c r="C16" s="13">
        <f>VLOOKUP($A16,'Standardized Statements'!$A:$Q,C$4,FALSE)</f>
        <v>0</v>
      </c>
      <c r="D16" s="13">
        <f>VLOOKUP($A16,'Standardized Statements'!$A:$Q,D$4,FALSE)</f>
        <v>0</v>
      </c>
      <c r="E16" s="13">
        <f>VLOOKUP($A16,'Standardized Statements'!$A:$Q,E$4,FALSE)</f>
        <v>0</v>
      </c>
      <c r="F16" s="13">
        <f>VLOOKUP($A16,'Standardized Statements'!$A:$Q,F$4,FALSE)</f>
        <v>0</v>
      </c>
      <c r="G16" s="13">
        <f>VLOOKUP($A16,'Standardized Statements'!$A:$Q,G$4,FALSE)</f>
        <v>0</v>
      </c>
      <c r="H16" s="13">
        <f>VLOOKUP($A16,'Standardized Statements'!$A:$Q,H$4,FALSE)</f>
        <v>0</v>
      </c>
      <c r="I16" s="13">
        <f>VLOOKUP($A16,'Standardized Statements'!$A:$Q,I$4,FALSE)</f>
        <v>0</v>
      </c>
      <c r="J16" s="13">
        <f>VLOOKUP($A16,'Standardized Statements'!$A:$Q,J$4,FALSE)</f>
        <v>0</v>
      </c>
      <c r="K16" s="13">
        <f>VLOOKUP($A16,'Standardized Statements'!$A:$Q,K$4,FALSE)</f>
        <v>0</v>
      </c>
      <c r="L16" s="13">
        <f>VLOOKUP($A16,'Standardized Statements'!$A:$Q,L$4,FALSE)</f>
        <v>0</v>
      </c>
      <c r="M16" s="13">
        <f>VLOOKUP($A16,'Standardized Statements'!$A:$Q,M$4,FALSE)</f>
        <v>0</v>
      </c>
      <c r="N16" s="13">
        <f>VLOOKUP($A16,'Standardized Statements'!$A:$Q,N$4,FALSE)</f>
        <v>0</v>
      </c>
      <c r="O16" s="13">
        <f>VLOOKUP($A16,'Standardized Statements'!$A:$Q,O$4,FALSE)</f>
        <v>0</v>
      </c>
      <c r="P16" s="13">
        <f>VLOOKUP($A16,'Standardized Statements'!$A:$Q,P$4,FALSE)</f>
        <v>0</v>
      </c>
      <c r="R16" s="13"/>
      <c r="S16" s="13"/>
      <c r="T16" s="13"/>
      <c r="U16" s="13"/>
      <c r="V16" s="13"/>
      <c r="W16" s="13"/>
      <c r="X16" s="13"/>
      <c r="Y16" s="13"/>
      <c r="Z16" s="13"/>
      <c r="AA16" s="13"/>
      <c r="AB16" s="13"/>
      <c r="AC16" s="13"/>
      <c r="AD16" s="13"/>
      <c r="AE16" s="13"/>
      <c r="AF16" s="13"/>
      <c r="AH16" s="13">
        <f t="shared" si="1"/>
        <v>0</v>
      </c>
      <c r="AI16" s="13">
        <f t="shared" si="1"/>
        <v>0</v>
      </c>
      <c r="AJ16" s="13">
        <f t="shared" si="2"/>
        <v>0</v>
      </c>
      <c r="AK16" s="13">
        <f t="shared" si="3"/>
        <v>0</v>
      </c>
      <c r="AL16" s="13">
        <f t="shared" si="4"/>
        <v>0</v>
      </c>
      <c r="AM16" s="13">
        <f t="shared" si="5"/>
        <v>0</v>
      </c>
      <c r="AN16" s="13">
        <f t="shared" si="6"/>
        <v>0</v>
      </c>
      <c r="AO16" s="13">
        <f t="shared" si="7"/>
        <v>0</v>
      </c>
      <c r="AP16" s="13">
        <f t="shared" si="8"/>
        <v>0</v>
      </c>
      <c r="AQ16" s="13">
        <f t="shared" si="9"/>
        <v>0</v>
      </c>
      <c r="AR16" s="13">
        <f t="shared" si="10"/>
        <v>0</v>
      </c>
      <c r="AS16" s="13">
        <f t="shared" si="11"/>
        <v>0</v>
      </c>
      <c r="AT16" s="13">
        <f t="shared" si="12"/>
        <v>0</v>
      </c>
      <c r="AU16" s="13">
        <f t="shared" si="13"/>
        <v>0</v>
      </c>
      <c r="AV16" s="13">
        <f t="shared" si="14"/>
        <v>0</v>
      </c>
    </row>
    <row r="17" spans="1:48" ht="15.75" thickBot="1" x14ac:dyDescent="0.3">
      <c r="A17" s="23" t="s">
        <v>248</v>
      </c>
      <c r="B17" s="24">
        <f>SUM(B15:B16)</f>
        <v>1243</v>
      </c>
      <c r="C17" s="24">
        <f>SUM(C15:C16)</f>
        <v>13443</v>
      </c>
      <c r="D17" s="24">
        <f>SUM(D15:D16)</f>
        <v>12652</v>
      </c>
      <c r="E17" s="24">
        <f t="shared" ref="E17:J17" si="29">SUM(E15:E16)</f>
        <v>16184</v>
      </c>
      <c r="F17" s="24">
        <f t="shared" si="29"/>
        <v>18636</v>
      </c>
      <c r="G17" s="24">
        <f t="shared" si="29"/>
        <v>20898</v>
      </c>
      <c r="H17" s="24">
        <f t="shared" si="29"/>
        <v>19976</v>
      </c>
      <c r="I17" s="24">
        <f t="shared" si="29"/>
        <v>17152</v>
      </c>
      <c r="J17" s="24">
        <f t="shared" si="29"/>
        <v>16867</v>
      </c>
      <c r="K17" s="24">
        <f t="shared" ref="K17:P17" si="30">SUM(K15:K16)</f>
        <v>15821</v>
      </c>
      <c r="L17" s="24">
        <f t="shared" si="30"/>
        <v>18681</v>
      </c>
      <c r="M17" s="24">
        <f t="shared" si="30"/>
        <v>16384</v>
      </c>
      <c r="N17" s="24">
        <f t="shared" si="30"/>
        <v>15294</v>
      </c>
      <c r="O17" s="24">
        <f t="shared" si="30"/>
        <v>13588</v>
      </c>
      <c r="P17" s="24">
        <f t="shared" si="30"/>
        <v>10797</v>
      </c>
      <c r="R17" s="24">
        <f>SUM(R15:R16)</f>
        <v>0</v>
      </c>
      <c r="S17" s="24">
        <f>SUM(S15:S16)</f>
        <v>0</v>
      </c>
      <c r="T17" s="24">
        <f>SUM(T15:T16)</f>
        <v>0</v>
      </c>
      <c r="U17" s="24">
        <f t="shared" ref="U17:Z17" si="31">SUM(U15:U16)</f>
        <v>-1.4188117347657681E-12</v>
      </c>
      <c r="V17" s="24">
        <f t="shared" si="31"/>
        <v>0</v>
      </c>
      <c r="W17" s="24">
        <f t="shared" si="31"/>
        <v>0</v>
      </c>
      <c r="X17" s="24">
        <f t="shared" si="31"/>
        <v>0</v>
      </c>
      <c r="Y17" s="24">
        <f t="shared" si="31"/>
        <v>0</v>
      </c>
      <c r="Z17" s="24">
        <f t="shared" si="31"/>
        <v>0</v>
      </c>
      <c r="AA17" s="24">
        <f t="shared" ref="AA17:AF17" si="32">SUM(AA15:AA16)</f>
        <v>0</v>
      </c>
      <c r="AB17" s="24">
        <f t="shared" si="32"/>
        <v>0</v>
      </c>
      <c r="AC17" s="24">
        <f t="shared" si="32"/>
        <v>0</v>
      </c>
      <c r="AD17" s="24">
        <f t="shared" si="32"/>
        <v>0</v>
      </c>
      <c r="AE17" s="24">
        <f t="shared" si="32"/>
        <v>0</v>
      </c>
      <c r="AF17" s="24">
        <f t="shared" si="32"/>
        <v>0</v>
      </c>
      <c r="AH17" s="24">
        <f t="shared" si="1"/>
        <v>1243</v>
      </c>
      <c r="AI17" s="24">
        <f t="shared" si="1"/>
        <v>13443</v>
      </c>
      <c r="AJ17" s="24">
        <f t="shared" si="2"/>
        <v>12652</v>
      </c>
      <c r="AK17" s="24">
        <f t="shared" si="3"/>
        <v>16183.999999999998</v>
      </c>
      <c r="AL17" s="24">
        <f t="shared" si="4"/>
        <v>18636</v>
      </c>
      <c r="AM17" s="24">
        <f t="shared" si="5"/>
        <v>20898</v>
      </c>
      <c r="AN17" s="24">
        <f t="shared" si="6"/>
        <v>19976</v>
      </c>
      <c r="AO17" s="24">
        <f t="shared" si="7"/>
        <v>17152</v>
      </c>
      <c r="AP17" s="24">
        <f t="shared" si="8"/>
        <v>16867</v>
      </c>
      <c r="AQ17" s="24">
        <f t="shared" si="9"/>
        <v>15821</v>
      </c>
      <c r="AR17" s="24">
        <f t="shared" si="10"/>
        <v>18681</v>
      </c>
      <c r="AS17" s="24">
        <f t="shared" si="11"/>
        <v>16384</v>
      </c>
      <c r="AT17" s="24">
        <f t="shared" si="12"/>
        <v>15294</v>
      </c>
      <c r="AU17" s="24">
        <f t="shared" si="13"/>
        <v>13588</v>
      </c>
      <c r="AV17" s="24">
        <f t="shared" si="14"/>
        <v>10797</v>
      </c>
    </row>
    <row r="18" spans="1:48" ht="16.5" thickTop="1" thickBot="1" x14ac:dyDescent="0.3">
      <c r="A18" s="25"/>
      <c r="B18" s="25"/>
      <c r="C18" s="25"/>
      <c r="D18" s="25"/>
      <c r="E18" s="25"/>
      <c r="F18" s="25"/>
      <c r="G18" s="25"/>
      <c r="H18" s="25"/>
      <c r="I18" s="25"/>
      <c r="J18" s="25"/>
      <c r="K18" s="25"/>
      <c r="L18" s="25"/>
      <c r="M18" s="25"/>
      <c r="N18" s="25"/>
      <c r="O18" s="25"/>
      <c r="P18" s="25"/>
      <c r="R18" s="25"/>
      <c r="S18" s="25"/>
      <c r="T18" s="25"/>
      <c r="U18" s="25"/>
      <c r="V18" s="25"/>
      <c r="W18" s="25"/>
      <c r="X18" s="25"/>
      <c r="Y18" s="25"/>
      <c r="Z18" s="25"/>
      <c r="AA18" s="25"/>
      <c r="AB18" s="25"/>
      <c r="AC18" s="25"/>
      <c r="AD18" s="25"/>
      <c r="AE18" s="25"/>
      <c r="AF18" s="25"/>
      <c r="AH18" s="25"/>
      <c r="AI18" s="25"/>
      <c r="AJ18" s="25"/>
      <c r="AK18" s="25"/>
      <c r="AL18" s="25"/>
      <c r="AM18" s="25"/>
      <c r="AN18" s="25"/>
      <c r="AO18" s="25"/>
      <c r="AP18" s="25"/>
      <c r="AQ18" s="25"/>
      <c r="AR18" s="25"/>
      <c r="AS18" s="25"/>
      <c r="AT18" s="25"/>
      <c r="AU18" s="25"/>
      <c r="AV18" s="25"/>
    </row>
    <row r="19" spans="1:48" ht="15.75" thickTop="1" x14ac:dyDescent="0.25">
      <c r="A19" s="1" t="s">
        <v>58</v>
      </c>
      <c r="B19" s="21">
        <v>2020</v>
      </c>
      <c r="C19" s="21">
        <v>2019</v>
      </c>
      <c r="D19" s="21">
        <v>2018</v>
      </c>
      <c r="E19" s="21">
        <v>2017</v>
      </c>
      <c r="F19" s="21">
        <v>2016</v>
      </c>
      <c r="G19" s="21">
        <v>2015</v>
      </c>
      <c r="H19" s="21">
        <v>2014</v>
      </c>
      <c r="I19" s="21">
        <v>2013</v>
      </c>
      <c r="J19" s="21">
        <v>2012</v>
      </c>
      <c r="K19" s="21">
        <v>2011</v>
      </c>
      <c r="L19" s="21">
        <v>2010</v>
      </c>
      <c r="M19" s="21">
        <v>2009</v>
      </c>
      <c r="N19" s="21">
        <v>2008</v>
      </c>
      <c r="O19" s="21">
        <v>2007</v>
      </c>
      <c r="P19" s="21">
        <v>2006</v>
      </c>
      <c r="R19" s="21"/>
      <c r="S19" s="21"/>
      <c r="T19" s="21"/>
      <c r="U19" s="21"/>
      <c r="V19" s="21"/>
      <c r="W19" s="21"/>
      <c r="X19" s="21"/>
      <c r="Y19" s="21"/>
      <c r="Z19" s="21"/>
      <c r="AA19" s="21"/>
      <c r="AB19" s="21"/>
      <c r="AC19" s="21"/>
      <c r="AD19" s="21"/>
      <c r="AE19" s="21"/>
      <c r="AF19" s="21"/>
      <c r="AH19" s="21">
        <v>2020</v>
      </c>
      <c r="AI19" s="21">
        <v>2019</v>
      </c>
      <c r="AJ19" s="21">
        <v>2018</v>
      </c>
      <c r="AK19" s="21">
        <v>2017</v>
      </c>
      <c r="AL19" s="21">
        <v>2016</v>
      </c>
      <c r="AM19" s="21">
        <v>2015</v>
      </c>
      <c r="AN19" s="21">
        <v>2014</v>
      </c>
      <c r="AO19" s="21">
        <v>2013</v>
      </c>
      <c r="AP19" s="21">
        <v>2012</v>
      </c>
      <c r="AQ19" s="21">
        <v>2011</v>
      </c>
      <c r="AR19" s="21">
        <v>2010</v>
      </c>
      <c r="AS19" s="21">
        <v>2009</v>
      </c>
      <c r="AT19" s="21">
        <v>2008</v>
      </c>
      <c r="AU19" s="21">
        <v>2007</v>
      </c>
      <c r="AV19" s="21">
        <v>2006</v>
      </c>
    </row>
    <row r="20" spans="1:48" x14ac:dyDescent="0.25">
      <c r="A20" s="4" t="s">
        <v>59</v>
      </c>
      <c r="B20" s="21"/>
      <c r="C20" s="21"/>
      <c r="D20" s="21"/>
      <c r="E20" s="21"/>
      <c r="F20" s="21"/>
      <c r="G20" s="21"/>
      <c r="H20" s="21"/>
      <c r="I20" s="21"/>
      <c r="J20" s="21"/>
      <c r="K20" s="21"/>
      <c r="L20" s="21"/>
      <c r="M20" s="21"/>
      <c r="N20" s="21"/>
      <c r="O20" s="21"/>
      <c r="P20" s="21"/>
      <c r="R20" s="21"/>
      <c r="S20" s="21"/>
      <c r="T20" s="21"/>
      <c r="U20" s="21"/>
      <c r="V20" s="21"/>
      <c r="W20" s="21"/>
      <c r="X20" s="21"/>
      <c r="Y20" s="21"/>
      <c r="Z20" s="21"/>
      <c r="AA20" s="21"/>
      <c r="AB20" s="21"/>
      <c r="AC20" s="21"/>
      <c r="AD20" s="21"/>
      <c r="AE20" s="21"/>
      <c r="AF20" s="21"/>
      <c r="AH20" s="21"/>
      <c r="AI20" s="21"/>
      <c r="AJ20" s="21"/>
      <c r="AK20" s="21"/>
      <c r="AL20" s="21"/>
      <c r="AM20" s="21"/>
      <c r="AN20" s="21"/>
      <c r="AO20" s="21"/>
      <c r="AP20" s="21"/>
      <c r="AQ20" s="21"/>
      <c r="AR20" s="21"/>
      <c r="AS20" s="21"/>
      <c r="AT20" s="21"/>
      <c r="AU20" s="21"/>
      <c r="AV20" s="21"/>
    </row>
    <row r="21" spans="1:48" x14ac:dyDescent="0.25">
      <c r="A21" s="26" t="s">
        <v>232</v>
      </c>
      <c r="B21" s="12">
        <f>VLOOKUP($A21,'Standardized Statements'!$A:$Q,B$4,FALSE)</f>
        <v>-93487</v>
      </c>
      <c r="C21" s="12">
        <f>VLOOKUP($A21,'Standardized Statements'!$A:$Q,C$4,FALSE)</f>
        <v>-110302</v>
      </c>
      <c r="D21" s="12">
        <f>VLOOKUP($A21,'Standardized Statements'!$A:$Q,D$4,FALSE)</f>
        <v>-99513</v>
      </c>
      <c r="E21" s="12">
        <f>VLOOKUP($A21,'Standardized Statements'!$A:$Q,E$4,FALSE)</f>
        <v>-91914</v>
      </c>
      <c r="F21" s="12">
        <f>VLOOKUP($A21,'Standardized Statements'!$A:$Q,F$4,FALSE)</f>
        <v>-86090</v>
      </c>
      <c r="G21" s="12">
        <f>VLOOKUP($A21,'Standardized Statements'!$A:$Q,G$4,FALSE)</f>
        <v>-77694</v>
      </c>
      <c r="H21" s="12">
        <f>VLOOKUP($A21,'Standardized Statements'!$A:$Q,H$4,FALSE)</f>
        <v>-62367</v>
      </c>
      <c r="I21" s="12">
        <f>VLOOKUP($A21,'Standardized Statements'!$A:$Q,I$4,FALSE)</f>
        <v>-52529</v>
      </c>
      <c r="J21" s="12">
        <f>VLOOKUP($A21,'Standardized Statements'!$A:$Q,J$4,FALSE)</f>
        <v>-48928</v>
      </c>
      <c r="K21" s="12">
        <f>VLOOKUP($A21,'Standardized Statements'!$A:$Q,K$4,FALSE)</f>
        <v>-43852</v>
      </c>
      <c r="L21" s="12">
        <f>VLOOKUP($A21,'Standardized Statements'!$A:$Q,L$4,FALSE)</f>
        <v>-40214</v>
      </c>
      <c r="M21" s="12">
        <f>VLOOKUP($A21,'Standardized Statements'!$A:$Q,M$4,FALSE)</f>
        <v>-38919</v>
      </c>
      <c r="N21" s="12">
        <f>VLOOKUP($A21,'Standardized Statements'!$A:$Q,N$4,FALSE)</f>
        <v>-34064</v>
      </c>
      <c r="O21" s="12">
        <f>VLOOKUP($A21,'Standardized Statements'!$A:$Q,O$4,FALSE)</f>
        <v>-30499</v>
      </c>
      <c r="P21" s="12">
        <f>VLOOKUP($A21,'Standardized Statements'!$A:$Q,P$4,FALSE)</f>
        <v>-27736</v>
      </c>
      <c r="R21" s="12"/>
      <c r="S21" s="12"/>
      <c r="T21" s="12"/>
      <c r="U21" s="12"/>
      <c r="V21" s="12"/>
      <c r="W21" s="12"/>
      <c r="X21" s="12"/>
      <c r="Y21" s="12"/>
      <c r="Z21" s="12"/>
      <c r="AA21" s="12"/>
      <c r="AB21" s="12"/>
      <c r="AC21" s="12"/>
      <c r="AD21" s="12"/>
      <c r="AE21" s="12"/>
      <c r="AF21" s="12"/>
      <c r="AH21" s="12">
        <f t="shared" ref="AH21:AV23" si="33">B21+R21</f>
        <v>-93487</v>
      </c>
      <c r="AI21" s="12">
        <f t="shared" si="33"/>
        <v>-110302</v>
      </c>
      <c r="AJ21" s="12">
        <f t="shared" si="33"/>
        <v>-99513</v>
      </c>
      <c r="AK21" s="12">
        <f t="shared" si="33"/>
        <v>-91914</v>
      </c>
      <c r="AL21" s="12">
        <f t="shared" si="33"/>
        <v>-86090</v>
      </c>
      <c r="AM21" s="12">
        <f t="shared" si="33"/>
        <v>-77694</v>
      </c>
      <c r="AN21" s="12">
        <f t="shared" si="33"/>
        <v>-62367</v>
      </c>
      <c r="AO21" s="12">
        <f t="shared" si="33"/>
        <v>-52529</v>
      </c>
      <c r="AP21" s="12">
        <f t="shared" si="33"/>
        <v>-48928</v>
      </c>
      <c r="AQ21" s="12">
        <f t="shared" si="33"/>
        <v>-43852</v>
      </c>
      <c r="AR21" s="12">
        <f t="shared" si="33"/>
        <v>-40214</v>
      </c>
      <c r="AS21" s="12">
        <f t="shared" si="33"/>
        <v>-38919</v>
      </c>
      <c r="AT21" s="12">
        <f t="shared" si="33"/>
        <v>-34064</v>
      </c>
      <c r="AU21" s="12">
        <f t="shared" si="33"/>
        <v>-30499</v>
      </c>
      <c r="AV21" s="12">
        <f t="shared" si="33"/>
        <v>-27736</v>
      </c>
    </row>
    <row r="22" spans="1:48" x14ac:dyDescent="0.25">
      <c r="A22" s="26" t="s">
        <v>233</v>
      </c>
      <c r="B22" s="12">
        <f>VLOOKUP($A22,'Standardized Statements'!$A:$Q,B$4,FALSE)</f>
        <v>-90438</v>
      </c>
      <c r="C22" s="12">
        <f>VLOOKUP($A22,'Standardized Statements'!$A:$Q,C$4,FALSE)</f>
        <v>-105091</v>
      </c>
      <c r="D22" s="12">
        <f>VLOOKUP($A22,'Standardized Statements'!$A:$Q,D$4,FALSE)</f>
        <v>-95380</v>
      </c>
      <c r="E22" s="12">
        <f>VLOOKUP($A22,'Standardized Statements'!$A:$Q,E$4,FALSE)</f>
        <v>-87508</v>
      </c>
      <c r="F22" s="12">
        <f>VLOOKUP($A22,'Standardized Statements'!$A:$Q,F$4,FALSE)</f>
        <v>-82336</v>
      </c>
      <c r="G22" s="12">
        <f>VLOOKUP($A22,'Standardized Statements'!$A:$Q,G$4,FALSE)</f>
        <v>-76204</v>
      </c>
      <c r="H22" s="12">
        <f>VLOOKUP($A22,'Standardized Statements'!$A:$Q,H$4,FALSE)</f>
        <v>-63443</v>
      </c>
      <c r="I22" s="12">
        <f>VLOOKUP($A22,'Standardized Statements'!$A:$Q,I$4,FALSE)</f>
        <v>-53843</v>
      </c>
      <c r="J22" s="12">
        <f>VLOOKUP($A22,'Standardized Statements'!$A:$Q,J$4,FALSE)</f>
        <v>-50092</v>
      </c>
      <c r="K22" s="12">
        <f>VLOOKUP($A22,'Standardized Statements'!$A:$Q,K$4,FALSE)</f>
        <v>-45739</v>
      </c>
      <c r="L22" s="12">
        <f>VLOOKUP($A22,'Standardized Statements'!$A:$Q,L$4,FALSE)</f>
        <v>-43598</v>
      </c>
      <c r="M22" s="12">
        <f>VLOOKUP($A22,'Standardized Statements'!$A:$Q,M$4,FALSE)</f>
        <v>-40819</v>
      </c>
      <c r="N22" s="12">
        <f>VLOOKUP($A22,'Standardized Statements'!$A:$Q,N$4,FALSE)</f>
        <v>-34320</v>
      </c>
      <c r="O22" s="12">
        <f>VLOOKUP($A22,'Standardized Statements'!$A:$Q,O$4,FALSE)</f>
        <v>-29457</v>
      </c>
      <c r="P22" s="12">
        <f>VLOOKUP($A22,'Standardized Statements'!$A:$Q,P$4,FALSE)</f>
        <v>-25357</v>
      </c>
      <c r="R22" s="12">
        <f>SUM(R27:R28)</f>
        <v>0</v>
      </c>
      <c r="S22" s="12">
        <f t="shared" ref="S22:X22" si="34">SUM(S27:S28)</f>
        <v>1307.9548725717395</v>
      </c>
      <c r="T22" s="12">
        <f t="shared" si="34"/>
        <v>1455.6143657939137</v>
      </c>
      <c r="U22" s="12">
        <f t="shared" si="34"/>
        <v>1543.7699153991416</v>
      </c>
      <c r="V22" s="12">
        <f t="shared" si="34"/>
        <v>1678.5271324420901</v>
      </c>
      <c r="W22" s="12">
        <f t="shared" si="34"/>
        <v>1382.1055310314732</v>
      </c>
      <c r="X22" s="12">
        <f t="shared" si="34"/>
        <v>1227.2319149812574</v>
      </c>
      <c r="Y22" s="12">
        <f t="shared" ref="Y22:AF22" si="35">SUM(Y27:Y28)</f>
        <v>950.36556545044004</v>
      </c>
      <c r="Z22" s="12">
        <f t="shared" si="35"/>
        <v>1585.1162764323035</v>
      </c>
      <c r="AA22" s="12">
        <f t="shared" si="35"/>
        <v>1367.4979629617428</v>
      </c>
      <c r="AB22" s="12">
        <f t="shared" si="35"/>
        <v>1462.830433261599</v>
      </c>
      <c r="AC22" s="12">
        <f t="shared" si="35"/>
        <v>2258.7462848229879</v>
      </c>
      <c r="AD22" s="12">
        <f t="shared" si="35"/>
        <v>1538.5173859614879</v>
      </c>
      <c r="AE22" s="12">
        <f t="shared" si="35"/>
        <v>1310.1143040162387</v>
      </c>
      <c r="AF22" s="12">
        <f t="shared" si="35"/>
        <v>0</v>
      </c>
      <c r="AH22" s="12">
        <f t="shared" si="33"/>
        <v>-90438</v>
      </c>
      <c r="AI22" s="12">
        <f t="shared" si="33"/>
        <v>-103783.04512742825</v>
      </c>
      <c r="AJ22" s="12">
        <f t="shared" si="33"/>
        <v>-93924.38563420609</v>
      </c>
      <c r="AK22" s="12">
        <f t="shared" si="33"/>
        <v>-85964.230084600858</v>
      </c>
      <c r="AL22" s="12">
        <f t="shared" si="33"/>
        <v>-80657.47286755791</v>
      </c>
      <c r="AM22" s="12">
        <f t="shared" si="33"/>
        <v>-74821.89446896853</v>
      </c>
      <c r="AN22" s="12">
        <f t="shared" si="33"/>
        <v>-62215.768085018746</v>
      </c>
      <c r="AO22" s="12">
        <f t="shared" si="33"/>
        <v>-52892.63443454956</v>
      </c>
      <c r="AP22" s="12">
        <f t="shared" si="33"/>
        <v>-48506.883723567698</v>
      </c>
      <c r="AQ22" s="12">
        <f t="shared" si="33"/>
        <v>-44371.502037038255</v>
      </c>
      <c r="AR22" s="12">
        <f t="shared" si="33"/>
        <v>-42135.169566738405</v>
      </c>
      <c r="AS22" s="12">
        <f t="shared" si="33"/>
        <v>-38560.253715177008</v>
      </c>
      <c r="AT22" s="12">
        <f t="shared" si="33"/>
        <v>-32781.482614038512</v>
      </c>
      <c r="AU22" s="12">
        <f t="shared" si="33"/>
        <v>-28146.885695983761</v>
      </c>
      <c r="AV22" s="12">
        <f t="shared" si="33"/>
        <v>-25357</v>
      </c>
    </row>
    <row r="23" spans="1:48" ht="28.9" customHeight="1" x14ac:dyDescent="0.25">
      <c r="A23" s="26" t="s">
        <v>294</v>
      </c>
      <c r="B23" s="12">
        <f>VLOOKUP($A23,'Standardized Statements'!$A:$Q,B$4,FALSE)</f>
        <v>0</v>
      </c>
      <c r="C23" s="12">
        <f>VLOOKUP($A23,'Standardized Statements'!$A:$Q,C$4,FALSE)</f>
        <v>0</v>
      </c>
      <c r="D23" s="12">
        <f>VLOOKUP($A23,'Standardized Statements'!$A:$Q,D$4,FALSE)</f>
        <v>0</v>
      </c>
      <c r="E23" s="12">
        <f>VLOOKUP($A23,'Standardized Statements'!$A:$Q,E$4,FALSE)</f>
        <v>0</v>
      </c>
      <c r="F23" s="12">
        <f>VLOOKUP($A23,'Standardized Statements'!$A:$Q,F$4,FALSE)</f>
        <v>0</v>
      </c>
      <c r="G23" s="12">
        <f>VLOOKUP($A23,'Standardized Statements'!$A:$Q,G$4,FALSE)</f>
        <v>0</v>
      </c>
      <c r="H23" s="12">
        <f>VLOOKUP($A23,'Standardized Statements'!$A:$Q,H$4,FALSE)</f>
        <v>0</v>
      </c>
      <c r="I23" s="12">
        <f>VLOOKUP($A23,'Standardized Statements'!$A:$Q,I$4,FALSE)</f>
        <v>0</v>
      </c>
      <c r="J23" s="12">
        <f>VLOOKUP($A23,'Standardized Statements'!$A:$Q,J$4,FALSE)</f>
        <v>0</v>
      </c>
      <c r="K23" s="12">
        <f>VLOOKUP($A23,'Standardized Statements'!$A:$Q,K$4,FALSE)</f>
        <v>0</v>
      </c>
      <c r="L23" s="12">
        <f>VLOOKUP($A23,'Standardized Statements'!$A:$Q,L$4,FALSE)</f>
        <v>0</v>
      </c>
      <c r="M23" s="12">
        <f>VLOOKUP($A23,'Standardized Statements'!$A:$Q,M$4,FALSE)</f>
        <v>0</v>
      </c>
      <c r="N23" s="12">
        <f>VLOOKUP($A23,'Standardized Statements'!$A:$Q,N$4,FALSE)</f>
        <v>0</v>
      </c>
      <c r="O23" s="12">
        <f>VLOOKUP($A23,'Standardized Statements'!$A:$Q,O$4,FALSE)</f>
        <v>0</v>
      </c>
      <c r="P23" s="12">
        <f>VLOOKUP($A23,'Standardized Statements'!$A:$Q,P$4,FALSE)</f>
        <v>0</v>
      </c>
      <c r="R23" s="12"/>
      <c r="S23" s="12"/>
      <c r="T23" s="12"/>
      <c r="U23" s="12"/>
      <c r="V23" s="12"/>
      <c r="W23" s="12"/>
      <c r="X23" s="12"/>
      <c r="Y23" s="12"/>
      <c r="Z23" s="12"/>
      <c r="AA23" s="12"/>
      <c r="AB23" s="12"/>
      <c r="AC23" s="12"/>
      <c r="AD23" s="12"/>
      <c r="AE23" s="12"/>
      <c r="AF23" s="12"/>
      <c r="AH23" s="12">
        <f t="shared" si="33"/>
        <v>0</v>
      </c>
      <c r="AI23" s="12">
        <f t="shared" si="33"/>
        <v>0</v>
      </c>
      <c r="AJ23" s="12">
        <f t="shared" si="33"/>
        <v>0</v>
      </c>
      <c r="AK23" s="12">
        <f t="shared" si="33"/>
        <v>0</v>
      </c>
      <c r="AL23" s="12">
        <f t="shared" si="33"/>
        <v>0</v>
      </c>
      <c r="AM23" s="12">
        <f t="shared" si="33"/>
        <v>0</v>
      </c>
      <c r="AN23" s="12">
        <f t="shared" si="33"/>
        <v>0</v>
      </c>
      <c r="AO23" s="12">
        <f t="shared" si="33"/>
        <v>0</v>
      </c>
      <c r="AP23" s="12">
        <f t="shared" si="33"/>
        <v>0</v>
      </c>
      <c r="AQ23" s="12">
        <f t="shared" si="33"/>
        <v>0</v>
      </c>
      <c r="AR23" s="12">
        <f t="shared" si="33"/>
        <v>0</v>
      </c>
      <c r="AS23" s="12">
        <f t="shared" si="33"/>
        <v>0</v>
      </c>
      <c r="AT23" s="12">
        <f t="shared" si="33"/>
        <v>0</v>
      </c>
      <c r="AU23" s="12">
        <f t="shared" si="33"/>
        <v>0</v>
      </c>
      <c r="AV23" s="12">
        <f t="shared" si="33"/>
        <v>0</v>
      </c>
    </row>
    <row r="24" spans="1:48" x14ac:dyDescent="0.25">
      <c r="A24" s="4" t="s">
        <v>60</v>
      </c>
    </row>
    <row r="25" spans="1:48" x14ac:dyDescent="0.25">
      <c r="A25" s="26" t="s">
        <v>234</v>
      </c>
      <c r="B25" s="12">
        <f>IF(VLOOKUP($A25,'Standardized Statements'!$A:$Q,B$4,FALSE)=0,B$21,VLOOKUP($A25,'Standardized Statements'!$A:$Q,B$4,FALSE))</f>
        <v>-91538</v>
      </c>
      <c r="C25" s="12">
        <f>IF(VLOOKUP($A25,'Standardized Statements'!$A:$Q,C$4,FALSE)=0,C$21,VLOOKUP($A25,'Standardized Statements'!$A:$Q,C$4,FALSE))</f>
        <v>-109732</v>
      </c>
      <c r="D25" s="12">
        <f>IF(VLOOKUP($A25,'Standardized Statements'!$A:$Q,D$4,FALSE)=0,D$21,VLOOKUP($A25,'Standardized Statements'!$A:$Q,D$4,FALSE))</f>
        <v>-98955</v>
      </c>
      <c r="E25" s="12">
        <f>IF(VLOOKUP($A25,'Standardized Statements'!$A:$Q,E$4,FALSE)=0,E$21,VLOOKUP($A25,'Standardized Statements'!$A:$Q,E$4,FALSE))</f>
        <v>-91178</v>
      </c>
      <c r="F25" s="12">
        <f>IF(VLOOKUP($A25,'Standardized Statements'!$A:$Q,F$4,FALSE)=0,F$21,VLOOKUP($A25,'Standardized Statements'!$A:$Q,F$4,FALSE))</f>
        <v>-85243</v>
      </c>
      <c r="G25" s="12">
        <f>IF(VLOOKUP($A25,'Standardized Statements'!$A:$Q,G$4,FALSE)=0,G$21,VLOOKUP($A25,'Standardized Statements'!$A:$Q,G$4,FALSE))</f>
        <v>-76969</v>
      </c>
      <c r="H25" s="12">
        <f>IF(VLOOKUP($A25,'Standardized Statements'!$A:$Q,H$4,FALSE)=0,H$21,VLOOKUP($A25,'Standardized Statements'!$A:$Q,H$4,FALSE))</f>
        <v>-61799</v>
      </c>
      <c r="I25" s="12">
        <f>IF(VLOOKUP($A25,'Standardized Statements'!$A:$Q,I$4,FALSE)=0,I$21,VLOOKUP($A25,'Standardized Statements'!$A:$Q,I$4,FALSE))</f>
        <v>-52059</v>
      </c>
      <c r="J25" s="12">
        <f>IF(VLOOKUP($A25,'Standardized Statements'!$A:$Q,J$4,FALSE)=0,J$21,VLOOKUP($A25,'Standardized Statements'!$A:$Q,J$4,FALSE))</f>
        <v>-48513</v>
      </c>
      <c r="K25" s="12">
        <f>IF(VLOOKUP($A25,'Standardized Statements'!$A:$Q,K$4,FALSE)=0,K$21,VLOOKUP($A25,'Standardized Statements'!$A:$Q,K$4,FALSE))</f>
        <v>-43486</v>
      </c>
      <c r="L25" s="12">
        <f>IF(VLOOKUP($A25,'Standardized Statements'!$A:$Q,L$4,FALSE)=0,L$21,VLOOKUP($A25,'Standardized Statements'!$A:$Q,L$4,FALSE))</f>
        <v>-39878</v>
      </c>
      <c r="M25" s="12">
        <f>IF(VLOOKUP($A25,'Standardized Statements'!$A:$Q,M$4,FALSE)=0,M$21,VLOOKUP($A25,'Standardized Statements'!$A:$Q,M$4,FALSE))</f>
        <v>-38609</v>
      </c>
      <c r="N25" s="12">
        <f>IF(VLOOKUP($A25,'Standardized Statements'!$A:$Q,N$4,FALSE)=0,N$21,VLOOKUP($A25,'Standardized Statements'!$A:$Q,N$4,FALSE))</f>
        <v>-33819</v>
      </c>
      <c r="O25" s="12">
        <f>IF(VLOOKUP($A25,'Standardized Statements'!$A:$Q,O$4,FALSE)=0,O$21,VLOOKUP($A25,'Standardized Statements'!$A:$Q,O$4,FALSE))</f>
        <v>-30296</v>
      </c>
      <c r="P25" s="12">
        <f>IF(VLOOKUP($A25,'Standardized Statements'!$A:$Q,P$4,FALSE)=0,P$21,VLOOKUP($A25,'Standardized Statements'!$A:$Q,P$4,FALSE))</f>
        <v>-27564</v>
      </c>
      <c r="R25" s="12"/>
      <c r="S25" s="12"/>
      <c r="T25" s="12"/>
      <c r="U25" s="12"/>
      <c r="V25" s="12"/>
      <c r="W25" s="12"/>
      <c r="X25" s="12"/>
      <c r="Y25" s="12"/>
      <c r="Z25" s="12"/>
      <c r="AA25" s="12"/>
      <c r="AB25" s="12"/>
      <c r="AC25" s="12"/>
      <c r="AD25" s="12"/>
      <c r="AE25" s="12"/>
      <c r="AF25" s="12"/>
      <c r="AH25" s="12">
        <f t="shared" ref="AH25:AV28" si="36">B25+R25</f>
        <v>-91538</v>
      </c>
      <c r="AI25" s="12">
        <f t="shared" si="36"/>
        <v>-109732</v>
      </c>
      <c r="AJ25" s="12">
        <f t="shared" si="36"/>
        <v>-98955</v>
      </c>
      <c r="AK25" s="12">
        <f t="shared" si="36"/>
        <v>-91178</v>
      </c>
      <c r="AL25" s="12">
        <f t="shared" si="36"/>
        <v>-85243</v>
      </c>
      <c r="AM25" s="12">
        <f t="shared" si="36"/>
        <v>-76969</v>
      </c>
      <c r="AN25" s="12">
        <f t="shared" si="36"/>
        <v>-61799</v>
      </c>
      <c r="AO25" s="12">
        <f t="shared" si="36"/>
        <v>-52059</v>
      </c>
      <c r="AP25" s="12">
        <f t="shared" si="36"/>
        <v>-48513</v>
      </c>
      <c r="AQ25" s="12">
        <f t="shared" si="36"/>
        <v>-43486</v>
      </c>
      <c r="AR25" s="12">
        <f t="shared" si="36"/>
        <v>-39878</v>
      </c>
      <c r="AS25" s="12">
        <f t="shared" si="36"/>
        <v>-38609</v>
      </c>
      <c r="AT25" s="12">
        <f t="shared" si="36"/>
        <v>-33819</v>
      </c>
      <c r="AU25" s="12">
        <f t="shared" si="36"/>
        <v>-30296</v>
      </c>
      <c r="AV25" s="12">
        <f t="shared" si="36"/>
        <v>-27564</v>
      </c>
    </row>
    <row r="26" spans="1:48" x14ac:dyDescent="0.25">
      <c r="A26" s="26" t="s">
        <v>235</v>
      </c>
      <c r="B26" s="12">
        <f>VLOOKUP($A26,'Standardized Statements'!$A:$Q,B$4,FALSE)</f>
        <v>-36952</v>
      </c>
      <c r="C26" s="12">
        <f>VLOOKUP($A26,'Standardized Statements'!$A:$Q,C$4,FALSE)</f>
        <v>-42385</v>
      </c>
      <c r="D26" s="12">
        <f>VLOOKUP($A26,'Standardized Statements'!$A:$Q,D$4,FALSE)</f>
        <v>-38543</v>
      </c>
      <c r="E26" s="12">
        <f>VLOOKUP($A26,'Standardized Statements'!$A:$Q,E$4,FALSE)</f>
        <v>-35634</v>
      </c>
      <c r="F26" s="12">
        <f>VLOOKUP($A26,'Standardized Statements'!$A:$Q,F$4,FALSE)</f>
        <v>-32561</v>
      </c>
      <c r="G26" s="12">
        <f>VLOOKUP($A26,'Standardized Statements'!$A:$Q,G$4,FALSE)</f>
        <v>-29952</v>
      </c>
      <c r="H26" s="12">
        <f>VLOOKUP($A26,'Standardized Statements'!$A:$Q,H$4,FALSE)</f>
        <v>-25048</v>
      </c>
      <c r="I26" s="12">
        <f>VLOOKUP($A26,'Standardized Statements'!$A:$Q,I$4,FALSE)</f>
        <v>-21423</v>
      </c>
      <c r="J26" s="12">
        <f>VLOOKUP($A26,'Standardized Statements'!$A:$Q,J$4,FALSE)</f>
        <v>-19893</v>
      </c>
      <c r="K26" s="12">
        <f>VLOOKUP($A26,'Standardized Statements'!$A:$Q,K$4,FALSE)</f>
        <v>-18505</v>
      </c>
      <c r="L26" s="12">
        <f>VLOOKUP($A26,'Standardized Statements'!$A:$Q,L$4,FALSE)</f>
        <v>-16628</v>
      </c>
      <c r="M26" s="12">
        <f>VLOOKUP($A26,'Standardized Statements'!$A:$Q,M$4,FALSE)</f>
        <v>-17507</v>
      </c>
      <c r="N26" s="12">
        <f>VLOOKUP($A26,'Standardized Statements'!$A:$Q,N$4,FALSE)</f>
        <v>-14484</v>
      </c>
      <c r="O26" s="12">
        <f>VLOOKUP($A26,'Standardized Statements'!$A:$Q,O$4,FALSE)</f>
        <v>-12168</v>
      </c>
      <c r="P26" s="12">
        <f>VLOOKUP($A26,'Standardized Statements'!$A:$Q,P$4,FALSE)</f>
        <v>-10991</v>
      </c>
      <c r="R26" s="12"/>
      <c r="S26" s="12"/>
      <c r="T26" s="12"/>
      <c r="U26" s="12"/>
      <c r="V26" s="12"/>
      <c r="W26" s="12"/>
      <c r="X26" s="12"/>
      <c r="Y26" s="12"/>
      <c r="Z26" s="12"/>
      <c r="AA26" s="12"/>
      <c r="AB26" s="12"/>
      <c r="AC26" s="12"/>
      <c r="AD26" s="12"/>
      <c r="AE26" s="12"/>
      <c r="AF26" s="12"/>
      <c r="AH26" s="12">
        <f t="shared" si="36"/>
        <v>-36952</v>
      </c>
      <c r="AI26" s="12">
        <f t="shared" si="36"/>
        <v>-42385</v>
      </c>
      <c r="AJ26" s="12">
        <f t="shared" si="36"/>
        <v>-38543</v>
      </c>
      <c r="AK26" s="12">
        <f t="shared" si="36"/>
        <v>-35634</v>
      </c>
      <c r="AL26" s="12">
        <f t="shared" si="36"/>
        <v>-32561</v>
      </c>
      <c r="AM26" s="12">
        <f t="shared" si="36"/>
        <v>-29952</v>
      </c>
      <c r="AN26" s="12">
        <f t="shared" si="36"/>
        <v>-25048</v>
      </c>
      <c r="AO26" s="12">
        <f t="shared" si="36"/>
        <v>-21423</v>
      </c>
      <c r="AP26" s="12">
        <f t="shared" si="36"/>
        <v>-19893</v>
      </c>
      <c r="AQ26" s="12">
        <f t="shared" si="36"/>
        <v>-18505</v>
      </c>
      <c r="AR26" s="12">
        <f t="shared" si="36"/>
        <v>-16628</v>
      </c>
      <c r="AS26" s="12">
        <f t="shared" si="36"/>
        <v>-17507</v>
      </c>
      <c r="AT26" s="12">
        <f t="shared" si="36"/>
        <v>-14484</v>
      </c>
      <c r="AU26" s="12">
        <f t="shared" si="36"/>
        <v>-12168</v>
      </c>
      <c r="AV26" s="12">
        <f t="shared" si="36"/>
        <v>-10991</v>
      </c>
    </row>
    <row r="27" spans="1:48" ht="14.45" customHeight="1" x14ac:dyDescent="0.25">
      <c r="A27" s="26" t="s">
        <v>236</v>
      </c>
      <c r="B27" s="12">
        <f>VLOOKUP($A27,'Standardized Statements'!$A:$Q,B$4,FALSE)</f>
        <v>-25953</v>
      </c>
      <c r="C27" s="12">
        <f>VLOOKUP($A27,'Standardized Statements'!$A:$Q,C$4,FALSE)</f>
        <v>-11051</v>
      </c>
      <c r="D27" s="12">
        <f>VLOOKUP($A27,'Standardized Statements'!$A:$Q,D$4,FALSE)</f>
        <v>-9671</v>
      </c>
      <c r="E27" s="12">
        <f>VLOOKUP($A27,'Standardized Statements'!$A:$Q,E$4,FALSE)</f>
        <v>-8488</v>
      </c>
      <c r="F27" s="12">
        <f>VLOOKUP($A27,'Standardized Statements'!$A:$Q,F$4,FALSE)</f>
        <v>-7605</v>
      </c>
      <c r="G27" s="12">
        <f>VLOOKUP($A27,'Standardized Statements'!$A:$Q,G$4,FALSE)</f>
        <v>-6399</v>
      </c>
      <c r="H27" s="12">
        <f>VLOOKUP($A27,'Standardized Statements'!$A:$Q,H$4,FALSE)</f>
        <v>-5045</v>
      </c>
      <c r="I27" s="12">
        <f>VLOOKUP($A27,'Standardized Statements'!$A:$Q,I$4,FALSE)</f>
        <v>-4191</v>
      </c>
      <c r="J27" s="12">
        <f>VLOOKUP($A27,'Standardized Statements'!$A:$Q,J$4,FALSE)</f>
        <v>-3705</v>
      </c>
      <c r="K27" s="12">
        <f>VLOOKUP($A27,'Standardized Statements'!$A:$Q,K$4,FALSE)</f>
        <v>-3262</v>
      </c>
      <c r="L27" s="12">
        <f>VLOOKUP($A27,'Standardized Statements'!$A:$Q,L$4,FALSE)</f>
        <v>-3061</v>
      </c>
      <c r="M27" s="12">
        <f>VLOOKUP($A27,'Standardized Statements'!$A:$Q,M$4,FALSE)</f>
        <v>-2830</v>
      </c>
      <c r="N27" s="12">
        <f>VLOOKUP($A27,'Standardized Statements'!$A:$Q,N$4,FALSE)</f>
        <v>-1856</v>
      </c>
      <c r="O27" s="12">
        <f>VLOOKUP($A27,'Standardized Statements'!$A:$Q,O$4,FALSE)</f>
        <v>-1840</v>
      </c>
      <c r="P27" s="12">
        <f>VLOOKUP($A27,'Standardized Statements'!$A:$Q,P$4,FALSE)</f>
        <v>-1624</v>
      </c>
      <c r="R27" s="12">
        <f>'Lease adjustments'!B39</f>
        <v>0</v>
      </c>
      <c r="S27" s="12">
        <f>'Lease adjustments'!C39</f>
        <v>-19814.04512742826</v>
      </c>
      <c r="T27" s="12">
        <f>'Lease adjustments'!D39</f>
        <v>-18917.385634206086</v>
      </c>
      <c r="U27" s="12">
        <f>'Lease adjustments'!E39</f>
        <v>-17582.230084600858</v>
      </c>
      <c r="V27" s="12">
        <f>'Lease adjustments'!F39</f>
        <v>-18875.47286755791</v>
      </c>
      <c r="W27" s="12">
        <f>'Lease adjustments'!G39</f>
        <v>-19171.894468968527</v>
      </c>
      <c r="X27" s="12">
        <f>'Lease adjustments'!H39</f>
        <v>-15948.768085018743</v>
      </c>
      <c r="Y27" s="12">
        <f>'Lease adjustments'!I39</f>
        <v>-14093.63443454956</v>
      </c>
      <c r="Z27" s="12">
        <f>'Lease adjustments'!J39</f>
        <v>-12470.883723567697</v>
      </c>
      <c r="AA27" s="12">
        <f>'Lease adjustments'!K39</f>
        <v>-11625.502037038257</v>
      </c>
      <c r="AB27" s="12">
        <f>'Lease adjustments'!L39</f>
        <v>-11428.169566738401</v>
      </c>
      <c r="AC27" s="12">
        <f>'Lease adjustments'!M39</f>
        <v>-9990.2537151770121</v>
      </c>
      <c r="AD27" s="12">
        <f>'Lease adjustments'!N39</f>
        <v>-8237.4826140385121</v>
      </c>
      <c r="AE27" s="12">
        <f>'Lease adjustments'!O39</f>
        <v>-7156.8856959837613</v>
      </c>
      <c r="AF27" s="12">
        <f>'Lease adjustments'!P39</f>
        <v>0</v>
      </c>
      <c r="AH27" s="12">
        <f t="shared" si="36"/>
        <v>-25953</v>
      </c>
      <c r="AI27" s="12">
        <f t="shared" si="36"/>
        <v>-30865.04512742826</v>
      </c>
      <c r="AJ27" s="12">
        <f t="shared" si="36"/>
        <v>-28588.385634206086</v>
      </c>
      <c r="AK27" s="12">
        <f t="shared" si="36"/>
        <v>-26070.230084600858</v>
      </c>
      <c r="AL27" s="12">
        <f t="shared" si="36"/>
        <v>-26480.47286755791</v>
      </c>
      <c r="AM27" s="12">
        <f t="shared" si="36"/>
        <v>-25570.894468968527</v>
      </c>
      <c r="AN27" s="12">
        <f t="shared" si="36"/>
        <v>-20993.768085018743</v>
      </c>
      <c r="AO27" s="12">
        <f t="shared" si="36"/>
        <v>-18284.63443454956</v>
      </c>
      <c r="AP27" s="12">
        <f t="shared" si="36"/>
        <v>-16175.883723567697</v>
      </c>
      <c r="AQ27" s="12">
        <f t="shared" si="36"/>
        <v>-14887.502037038257</v>
      </c>
      <c r="AR27" s="12">
        <f t="shared" si="36"/>
        <v>-14489.169566738401</v>
      </c>
      <c r="AS27" s="12">
        <f t="shared" si="36"/>
        <v>-12820.253715177012</v>
      </c>
      <c r="AT27" s="12">
        <f t="shared" si="36"/>
        <v>-10093.482614038512</v>
      </c>
      <c r="AU27" s="12">
        <f t="shared" si="36"/>
        <v>-8996.8856959837613</v>
      </c>
      <c r="AV27" s="12">
        <f t="shared" si="36"/>
        <v>-1624</v>
      </c>
    </row>
    <row r="28" spans="1:48" ht="30.75" thickBot="1" x14ac:dyDescent="0.3">
      <c r="A28" s="49" t="s">
        <v>295</v>
      </c>
      <c r="B28" s="27">
        <f>IF(SUM(B21:B23)&lt;&gt;0,SUM(B21:B23)-SUM(B25:B27),VLOOKUP($A28,'Standardized Statements'!$A:$Q,B$4,FALSE))</f>
        <v>-29482</v>
      </c>
      <c r="C28" s="27">
        <f>IF(SUM(C21:C23)&lt;&gt;0,SUM(C21:C23)-SUM(C25:C27),VLOOKUP($A28,'Standardized Statements'!$A:$Q,C$4,FALSE))</f>
        <v>-52225</v>
      </c>
      <c r="D28" s="27">
        <f>IF(SUM(D21:D23)&lt;&gt;0,SUM(D21:D23)-SUM(D25:D27),VLOOKUP($A28,'Standardized Statements'!$A:$Q,D$4,FALSE))</f>
        <v>-47724</v>
      </c>
      <c r="E28" s="27">
        <f>IF(SUM(E21:E23)&lt;&gt;0,SUM(E21:E23)-SUM(E25:E27),VLOOKUP($A28,'Standardized Statements'!$A:$Q,E$4,FALSE))</f>
        <v>-44122</v>
      </c>
      <c r="F28" s="27">
        <f>IF(SUM(F21:F23)&lt;&gt;0,SUM(F21:F23)-SUM(F25:F27),VLOOKUP($A28,'Standardized Statements'!$A:$Q,F$4,FALSE))</f>
        <v>-43017</v>
      </c>
      <c r="G28" s="27">
        <f>IF(SUM(G21:G23)&lt;&gt;0,SUM(G21:G23)-SUM(G25:G27),VLOOKUP($A28,'Standardized Statements'!$A:$Q,G$4,FALSE))</f>
        <v>-40578</v>
      </c>
      <c r="H28" s="27">
        <f>IF(SUM(H21:H23)&lt;&gt;0,SUM(H21:H23)-SUM(H25:H27),VLOOKUP($A28,'Standardized Statements'!$A:$Q,H$4,FALSE))</f>
        <v>-33918</v>
      </c>
      <c r="I28" s="27">
        <f>IF(SUM(I21:I23)&lt;&gt;0,SUM(I21:I23)-SUM(I25:I27),VLOOKUP($A28,'Standardized Statements'!$A:$Q,I$4,FALSE))</f>
        <v>-28699</v>
      </c>
      <c r="J28" s="27">
        <f>IF(SUM(J21:J23)&lt;&gt;0,SUM(J21:J23)-SUM(J25:J27),VLOOKUP($A28,'Standardized Statements'!$A:$Q,J$4,FALSE))</f>
        <v>-26909</v>
      </c>
      <c r="K28" s="27">
        <f>IF(SUM(K21:K23)&lt;&gt;0,SUM(K21:K23)-SUM(K25:K27),VLOOKUP($A28,'Standardized Statements'!$A:$Q,K$4,FALSE))</f>
        <v>-24338</v>
      </c>
      <c r="L28" s="27">
        <f>IF(SUM(L21:L23)&lt;&gt;0,SUM(L21:L23)-SUM(L25:L27),VLOOKUP($A28,'Standardized Statements'!$A:$Q,L$4,FALSE))</f>
        <v>-24245</v>
      </c>
      <c r="M28" s="27">
        <f>IF(SUM(M21:M23)&lt;&gt;0,SUM(M21:M23)-SUM(M25:M27),VLOOKUP($A28,'Standardized Statements'!$A:$Q,M$4,FALSE))</f>
        <v>-20792</v>
      </c>
      <c r="N28" s="27">
        <f>IF(SUM(N21:N23)&lt;&gt;0,SUM(N21:N23)-SUM(N25:N27),VLOOKUP($A28,'Standardized Statements'!$A:$Q,N$4,FALSE))</f>
        <v>-18225</v>
      </c>
      <c r="O28" s="27">
        <f>IF(SUM(O21:O23)&lt;&gt;0,SUM(O21:O23)-SUM(O25:O27),VLOOKUP($A28,'Standardized Statements'!$A:$Q,O$4,FALSE))</f>
        <v>-15652</v>
      </c>
      <c r="P28" s="27">
        <f>IF(SUM(P21:P23)&lt;&gt;0,SUM(P21:P23)-SUM(P25:P27),VLOOKUP($A28,'Standardized Statements'!$A:$Q,P$4,FALSE))</f>
        <v>-12914</v>
      </c>
      <c r="R28" s="27">
        <f>'Lease adjustments'!B38</f>
        <v>0</v>
      </c>
      <c r="S28" s="27">
        <f>'Lease adjustments'!C38</f>
        <v>21122</v>
      </c>
      <c r="T28" s="27">
        <f>'Lease adjustments'!D38</f>
        <v>20373</v>
      </c>
      <c r="U28" s="27">
        <f>'Lease adjustments'!E38</f>
        <v>19126</v>
      </c>
      <c r="V28" s="27">
        <f>'Lease adjustments'!F38</f>
        <v>20554</v>
      </c>
      <c r="W28" s="27">
        <f>'Lease adjustments'!G38</f>
        <v>20554</v>
      </c>
      <c r="X28" s="27">
        <f>'Lease adjustments'!H38</f>
        <v>17176</v>
      </c>
      <c r="Y28" s="27">
        <f>'Lease adjustments'!I38</f>
        <v>15044</v>
      </c>
      <c r="Z28" s="27">
        <f>'Lease adjustments'!J38</f>
        <v>14056</v>
      </c>
      <c r="AA28" s="27">
        <f>'Lease adjustments'!K38</f>
        <v>12993</v>
      </c>
      <c r="AB28" s="27">
        <f>'Lease adjustments'!L38</f>
        <v>12891</v>
      </c>
      <c r="AC28" s="27">
        <f>'Lease adjustments'!M38</f>
        <v>12249</v>
      </c>
      <c r="AD28" s="27">
        <f>'Lease adjustments'!N38</f>
        <v>9776</v>
      </c>
      <c r="AE28" s="27">
        <f>'Lease adjustments'!O38</f>
        <v>8467</v>
      </c>
      <c r="AF28" s="27">
        <f>'Lease adjustments'!P38</f>
        <v>0</v>
      </c>
      <c r="AH28" s="27">
        <f t="shared" si="36"/>
        <v>-29482</v>
      </c>
      <c r="AI28" s="27">
        <f t="shared" si="36"/>
        <v>-31103</v>
      </c>
      <c r="AJ28" s="27">
        <f t="shared" si="36"/>
        <v>-27351</v>
      </c>
      <c r="AK28" s="27">
        <f t="shared" si="36"/>
        <v>-24996</v>
      </c>
      <c r="AL28" s="27">
        <f t="shared" si="36"/>
        <v>-22463</v>
      </c>
      <c r="AM28" s="27">
        <f t="shared" si="36"/>
        <v>-20024</v>
      </c>
      <c r="AN28" s="27">
        <f t="shared" si="36"/>
        <v>-16742</v>
      </c>
      <c r="AO28" s="27">
        <f t="shared" si="36"/>
        <v>-13655</v>
      </c>
      <c r="AP28" s="27">
        <f t="shared" si="36"/>
        <v>-12853</v>
      </c>
      <c r="AQ28" s="27">
        <f t="shared" si="36"/>
        <v>-11345</v>
      </c>
      <c r="AR28" s="27">
        <f t="shared" si="36"/>
        <v>-11354</v>
      </c>
      <c r="AS28" s="27">
        <f t="shared" si="36"/>
        <v>-8543</v>
      </c>
      <c r="AT28" s="27">
        <f t="shared" si="36"/>
        <v>-8449</v>
      </c>
      <c r="AU28" s="27">
        <f t="shared" si="36"/>
        <v>-7185</v>
      </c>
      <c r="AV28" s="27">
        <f t="shared" si="36"/>
        <v>-12914</v>
      </c>
    </row>
    <row r="29" spans="1:48" ht="16.5" thickTop="1" thickBot="1" x14ac:dyDescent="0.3">
      <c r="A29" s="20"/>
      <c r="B29" s="20"/>
      <c r="C29" s="20"/>
      <c r="D29" s="20"/>
      <c r="E29" s="20"/>
      <c r="F29" s="20"/>
      <c r="G29" s="20"/>
      <c r="H29" s="20"/>
      <c r="I29" s="20"/>
      <c r="J29" s="20"/>
      <c r="K29" s="20"/>
      <c r="L29" s="20"/>
      <c r="M29" s="20"/>
      <c r="N29" s="20"/>
      <c r="O29" s="20"/>
      <c r="P29" s="20"/>
      <c r="R29" s="20"/>
      <c r="S29" s="20"/>
      <c r="T29" s="20"/>
      <c r="U29" s="20"/>
      <c r="V29" s="20"/>
      <c r="W29" s="20"/>
      <c r="X29" s="20"/>
      <c r="Y29" s="20"/>
      <c r="Z29" s="20"/>
      <c r="AA29" s="20"/>
      <c r="AB29" s="20"/>
      <c r="AC29" s="20"/>
      <c r="AD29" s="20"/>
      <c r="AE29" s="20"/>
      <c r="AF29" s="20"/>
      <c r="AH29" s="20"/>
      <c r="AI29" s="20"/>
      <c r="AJ29" s="20"/>
      <c r="AK29" s="20"/>
      <c r="AL29" s="20"/>
      <c r="AM29" s="20"/>
      <c r="AN29" s="20"/>
      <c r="AO29" s="20"/>
      <c r="AP29" s="20"/>
      <c r="AQ29" s="20"/>
      <c r="AR29" s="20"/>
      <c r="AS29" s="20"/>
      <c r="AT29" s="20"/>
      <c r="AU29" s="20"/>
      <c r="AV29" s="20"/>
    </row>
    <row r="30" spans="1:48" ht="15.75" thickTop="1" x14ac:dyDescent="0.25">
      <c r="A30" s="1" t="s">
        <v>61</v>
      </c>
      <c r="B30" s="21">
        <v>2020</v>
      </c>
      <c r="C30" s="21">
        <v>2019</v>
      </c>
      <c r="D30" s="21">
        <v>2018</v>
      </c>
      <c r="E30" s="21">
        <v>2017</v>
      </c>
      <c r="F30" s="21">
        <v>2016</v>
      </c>
      <c r="G30" s="21">
        <v>2015</v>
      </c>
      <c r="H30" s="21">
        <v>2014</v>
      </c>
      <c r="I30" s="21">
        <v>2013</v>
      </c>
      <c r="J30" s="21">
        <v>2012</v>
      </c>
      <c r="K30" s="21">
        <v>2011</v>
      </c>
      <c r="L30" s="21">
        <v>2010</v>
      </c>
      <c r="M30" s="21">
        <v>2009</v>
      </c>
      <c r="N30" s="21">
        <v>2008</v>
      </c>
      <c r="O30" s="21">
        <v>2007</v>
      </c>
      <c r="P30" s="21">
        <v>2006</v>
      </c>
      <c r="R30" s="21"/>
      <c r="S30" s="21"/>
      <c r="T30" s="21"/>
      <c r="U30" s="21"/>
      <c r="V30" s="21"/>
      <c r="W30" s="21"/>
      <c r="X30" s="21"/>
      <c r="Y30" s="21"/>
      <c r="Z30" s="21"/>
      <c r="AA30" s="21"/>
      <c r="AB30" s="21"/>
      <c r="AC30" s="21"/>
      <c r="AD30" s="21"/>
      <c r="AE30" s="21"/>
      <c r="AF30" s="21"/>
      <c r="AH30" s="21">
        <v>2020</v>
      </c>
      <c r="AI30" s="21">
        <v>2019</v>
      </c>
      <c r="AJ30" s="21">
        <v>2018</v>
      </c>
      <c r="AK30" s="21">
        <v>2017</v>
      </c>
      <c r="AL30" s="21">
        <v>2016</v>
      </c>
      <c r="AM30" s="21">
        <v>2015</v>
      </c>
      <c r="AN30" s="21">
        <v>2014</v>
      </c>
      <c r="AO30" s="21">
        <v>2013</v>
      </c>
      <c r="AP30" s="21">
        <v>2012</v>
      </c>
      <c r="AQ30" s="21">
        <v>2011</v>
      </c>
      <c r="AR30" s="21">
        <v>2010</v>
      </c>
      <c r="AS30" s="21">
        <v>2009</v>
      </c>
      <c r="AT30" s="21">
        <v>2008</v>
      </c>
      <c r="AU30" s="21">
        <v>2007</v>
      </c>
      <c r="AV30" s="21">
        <v>2006</v>
      </c>
    </row>
    <row r="31" spans="1:48" x14ac:dyDescent="0.25">
      <c r="A31" s="4" t="s">
        <v>62</v>
      </c>
      <c r="B31" s="21"/>
      <c r="C31" s="21"/>
      <c r="D31" s="21"/>
      <c r="E31" s="21"/>
      <c r="F31" s="21"/>
      <c r="G31" s="21"/>
      <c r="H31" s="21"/>
      <c r="I31" s="21"/>
      <c r="J31" s="21"/>
      <c r="K31" s="21"/>
      <c r="L31" s="21"/>
      <c r="M31" s="21"/>
      <c r="N31" s="21"/>
      <c r="O31" s="21"/>
      <c r="P31" s="21"/>
      <c r="R31" s="21"/>
      <c r="S31" s="21"/>
      <c r="T31" s="21"/>
      <c r="U31" s="21"/>
      <c r="V31" s="21"/>
      <c r="W31" s="21"/>
      <c r="X31" s="21"/>
      <c r="Y31" s="21"/>
      <c r="Z31" s="21"/>
      <c r="AA31" s="21"/>
      <c r="AB31" s="21"/>
      <c r="AC31" s="21"/>
      <c r="AD31" s="21"/>
      <c r="AE31" s="21"/>
      <c r="AF31" s="21"/>
      <c r="AH31" s="21"/>
      <c r="AI31" s="21"/>
      <c r="AJ31" s="21"/>
      <c r="AK31" s="21"/>
      <c r="AL31" s="21"/>
      <c r="AM31" s="21"/>
      <c r="AN31" s="21"/>
      <c r="AO31" s="21"/>
      <c r="AP31" s="21"/>
      <c r="AQ31" s="21"/>
      <c r="AR31" s="21"/>
      <c r="AS31" s="21"/>
      <c r="AT31" s="21"/>
      <c r="AU31" s="21"/>
      <c r="AV31" s="21"/>
    </row>
    <row r="32" spans="1:48" x14ac:dyDescent="0.25">
      <c r="A32" s="6" t="s">
        <v>14</v>
      </c>
      <c r="B32" s="12">
        <f>VLOOKUP($A32,'Standardized Statements'!$A:$Q,B$4,FALSE)</f>
        <v>91365</v>
      </c>
      <c r="C32" s="12">
        <f>VLOOKUP($A32,'Standardized Statements'!$A:$Q,C$4,FALSE)</f>
        <v>41303</v>
      </c>
      <c r="D32" s="12">
        <f>VLOOKUP($A32,'Standardized Statements'!$A:$Q,D$4,FALSE)</f>
        <v>42947</v>
      </c>
      <c r="E32" s="12">
        <f>VLOOKUP($A32,'Standardized Statements'!$A:$Q,E$4,FALSE)</f>
        <v>40410</v>
      </c>
      <c r="F32" s="12">
        <f>VLOOKUP($A32,'Standardized Statements'!$A:$Q,F$4,FALSE)</f>
        <v>39323</v>
      </c>
      <c r="G32" s="12">
        <f>VLOOKUP($A32,'Standardized Statements'!$A:$Q,G$4,FALSE)</f>
        <v>33622</v>
      </c>
      <c r="H32" s="12">
        <f>VLOOKUP($A32,'Standardized Statements'!$A:$Q,H$4,FALSE)</f>
        <v>27457</v>
      </c>
      <c r="I32" s="12">
        <f>VLOOKUP($A32,'Standardized Statements'!$A:$Q,I$4,FALSE)</f>
        <v>22777</v>
      </c>
      <c r="J32" s="12">
        <f>VLOOKUP($A32,'Standardized Statements'!$A:$Q,J$4,FALSE)</f>
        <v>19668</v>
      </c>
      <c r="K32" s="12">
        <f>VLOOKUP($A32,'Standardized Statements'!$A:$Q,K$4,FALSE)</f>
        <v>17978</v>
      </c>
      <c r="L32" s="12">
        <f>VLOOKUP($A32,'Standardized Statements'!$A:$Q,L$4,FALSE)</f>
        <v>16157</v>
      </c>
      <c r="M32" s="12">
        <f>VLOOKUP($A32,'Standardized Statements'!$A:$Q,M$4,FALSE)</f>
        <v>15555</v>
      </c>
      <c r="N32" s="12">
        <f>VLOOKUP($A32,'Standardized Statements'!$A:$Q,N$4,FALSE)</f>
        <v>13100</v>
      </c>
      <c r="O32" s="12">
        <f>VLOOKUP($A32,'Standardized Statements'!$A:$Q,O$4,FALSE)</f>
        <v>9553</v>
      </c>
      <c r="P32" s="12">
        <f>VLOOKUP($A32,'Standardized Statements'!$A:$Q,P$4,FALSE)</f>
        <v>7776</v>
      </c>
      <c r="R32" s="12">
        <f>'Lease adjustments'!B32</f>
        <v>0</v>
      </c>
      <c r="S32" s="12">
        <f>'Lease adjustments'!C32</f>
        <v>65962.780343138962</v>
      </c>
      <c r="T32" s="12">
        <f>'Lease adjustments'!D32</f>
        <v>65397.74362858689</v>
      </c>
      <c r="U32" s="12">
        <f>'Lease adjustments'!E32</f>
        <v>72780.718289695651</v>
      </c>
      <c r="V32" s="12">
        <f>'Lease adjustments'!F32</f>
        <v>75305.849531665532</v>
      </c>
      <c r="W32" s="12">
        <f>'Lease adjustments'!G32</f>
        <v>78071.02941591118</v>
      </c>
      <c r="X32" s="12">
        <f>'Lease adjustments'!H32</f>
        <v>72742.396370077535</v>
      </c>
      <c r="Y32" s="12">
        <f>'Lease adjustments'!I32</f>
        <v>58439.614999107507</v>
      </c>
      <c r="Z32" s="12">
        <f>'Lease adjustments'!J32</f>
        <v>51371.111645969722</v>
      </c>
      <c r="AA32" s="12">
        <f>'Lease adjustments'!K32</f>
        <v>49534.883638509469</v>
      </c>
      <c r="AB32" s="12">
        <f>'Lease adjustments'!L32</f>
        <v>48839.212962919366</v>
      </c>
      <c r="AC32" s="12">
        <f>'Lease adjustments'!M32</f>
        <v>47961.653549560637</v>
      </c>
      <c r="AD32" s="12">
        <f>'Lease adjustments'!N32</f>
        <v>43859.151161611408</v>
      </c>
      <c r="AE32" s="12">
        <f>'Lease adjustments'!O32</f>
        <v>32389.839704452355</v>
      </c>
      <c r="AF32" s="12">
        <f>'Lease adjustments'!P32</f>
        <v>29775.325091278151</v>
      </c>
      <c r="AH32" s="12">
        <f t="shared" ref="AH32:AV38" si="37">B32+R32</f>
        <v>91365</v>
      </c>
      <c r="AI32" s="12">
        <f t="shared" si="37"/>
        <v>107265.78034313896</v>
      </c>
      <c r="AJ32" s="12">
        <f t="shared" si="37"/>
        <v>108344.74362858689</v>
      </c>
      <c r="AK32" s="12">
        <f t="shared" si="37"/>
        <v>113190.71828969565</v>
      </c>
      <c r="AL32" s="12">
        <f t="shared" si="37"/>
        <v>114628.84953166553</v>
      </c>
      <c r="AM32" s="12">
        <f t="shared" si="37"/>
        <v>111693.02941591118</v>
      </c>
      <c r="AN32" s="12">
        <f t="shared" si="37"/>
        <v>100199.39637007753</v>
      </c>
      <c r="AO32" s="12">
        <f t="shared" si="37"/>
        <v>81216.614999107507</v>
      </c>
      <c r="AP32" s="12">
        <f t="shared" si="37"/>
        <v>71039.111645969722</v>
      </c>
      <c r="AQ32" s="12">
        <f t="shared" si="37"/>
        <v>67512.883638509462</v>
      </c>
      <c r="AR32" s="12">
        <f t="shared" si="37"/>
        <v>64996.212962919366</v>
      </c>
      <c r="AS32" s="12">
        <f t="shared" si="37"/>
        <v>63516.653549560637</v>
      </c>
      <c r="AT32" s="12">
        <f t="shared" si="37"/>
        <v>56959.151161611408</v>
      </c>
      <c r="AU32" s="12">
        <f t="shared" si="37"/>
        <v>41942.839704452359</v>
      </c>
      <c r="AV32" s="12">
        <f t="shared" si="37"/>
        <v>37551.325091278151</v>
      </c>
    </row>
    <row r="33" spans="1:48" x14ac:dyDescent="0.25">
      <c r="A33" s="6" t="s">
        <v>15</v>
      </c>
      <c r="B33" s="12">
        <f>VLOOKUP($A33,'Standardized Statements'!$A:$Q,B$4,FALSE)</f>
        <v>10241</v>
      </c>
      <c r="C33" s="12">
        <f>VLOOKUP($A33,'Standardized Statements'!$A:$Q,C$4,FALSE)</f>
        <v>11037</v>
      </c>
      <c r="D33" s="12">
        <f>VLOOKUP($A33,'Standardized Statements'!$A:$Q,D$4,FALSE)</f>
        <v>9110</v>
      </c>
      <c r="E33" s="12">
        <f>VLOOKUP($A33,'Standardized Statements'!$A:$Q,E$4,FALSE)</f>
        <v>6451</v>
      </c>
      <c r="F33" s="12">
        <f>VLOOKUP($A33,'Standardized Statements'!$A:$Q,F$4,FALSE)</f>
        <v>4717</v>
      </c>
      <c r="G33" s="12">
        <f>VLOOKUP($A33,'Standardized Statements'!$A:$Q,G$4,FALSE)</f>
        <v>3455</v>
      </c>
      <c r="H33" s="12">
        <f>VLOOKUP($A33,'Standardized Statements'!$A:$Q,H$4,FALSE)</f>
        <v>2453</v>
      </c>
      <c r="I33" s="12">
        <f>VLOOKUP($A33,'Standardized Statements'!$A:$Q,I$4,FALSE)</f>
        <v>1685</v>
      </c>
      <c r="J33" s="12">
        <f>VLOOKUP($A33,'Standardized Statements'!$A:$Q,J$4,FALSE)</f>
        <v>1021</v>
      </c>
      <c r="K33" s="12">
        <f>VLOOKUP($A33,'Standardized Statements'!$A:$Q,K$4,FALSE)</f>
        <v>450</v>
      </c>
      <c r="L33" s="12">
        <f>VLOOKUP($A33,'Standardized Statements'!$A:$Q,L$4,FALSE)</f>
        <v>510</v>
      </c>
      <c r="M33" s="12">
        <f>VLOOKUP($A33,'Standardized Statements'!$A:$Q,M$4,FALSE)</f>
        <v>930</v>
      </c>
      <c r="N33" s="12">
        <f>VLOOKUP($A33,'Standardized Statements'!$A:$Q,N$4,FALSE)</f>
        <v>997</v>
      </c>
      <c r="O33" s="12">
        <f>VLOOKUP($A33,'Standardized Statements'!$A:$Q,O$4,FALSE)</f>
        <v>0</v>
      </c>
      <c r="P33" s="12">
        <f>VLOOKUP($A33,'Standardized Statements'!$A:$Q,P$4,FALSE)</f>
        <v>0</v>
      </c>
      <c r="R33" s="12"/>
      <c r="S33" s="12"/>
      <c r="T33" s="12"/>
      <c r="U33" s="12"/>
      <c r="V33" s="12"/>
      <c r="W33" s="12"/>
      <c r="X33" s="12"/>
      <c r="Y33" s="12"/>
      <c r="Z33" s="12"/>
      <c r="AA33" s="12"/>
      <c r="AB33" s="12"/>
      <c r="AC33" s="12"/>
      <c r="AD33" s="12"/>
      <c r="AE33" s="12"/>
      <c r="AF33" s="12"/>
      <c r="AH33" s="12">
        <f t="shared" si="37"/>
        <v>10241</v>
      </c>
      <c r="AI33" s="12">
        <f t="shared" si="37"/>
        <v>11037</v>
      </c>
      <c r="AJ33" s="12">
        <f t="shared" si="37"/>
        <v>9110</v>
      </c>
      <c r="AK33" s="12">
        <f t="shared" si="37"/>
        <v>6451</v>
      </c>
      <c r="AL33" s="12">
        <f t="shared" si="37"/>
        <v>4717</v>
      </c>
      <c r="AM33" s="12">
        <f t="shared" si="37"/>
        <v>3455</v>
      </c>
      <c r="AN33" s="12">
        <f t="shared" si="37"/>
        <v>2453</v>
      </c>
      <c r="AO33" s="12">
        <f t="shared" si="37"/>
        <v>1685</v>
      </c>
      <c r="AP33" s="12">
        <f t="shared" si="37"/>
        <v>1021</v>
      </c>
      <c r="AQ33" s="12">
        <f t="shared" si="37"/>
        <v>450</v>
      </c>
      <c r="AR33" s="12">
        <f t="shared" si="37"/>
        <v>510</v>
      </c>
      <c r="AS33" s="12">
        <f t="shared" si="37"/>
        <v>930</v>
      </c>
      <c r="AT33" s="12">
        <f t="shared" si="37"/>
        <v>997</v>
      </c>
      <c r="AU33" s="12">
        <f t="shared" si="37"/>
        <v>0</v>
      </c>
      <c r="AV33" s="12">
        <f t="shared" si="37"/>
        <v>0</v>
      </c>
    </row>
    <row r="34" spans="1:48" x14ac:dyDescent="0.25">
      <c r="A34" s="6" t="s">
        <v>34</v>
      </c>
      <c r="B34" s="12">
        <f>VLOOKUP($A34,'Standardized Statements'!$A:$Q,B$4,FALSE)</f>
        <v>247</v>
      </c>
      <c r="C34" s="12">
        <f>VLOOKUP($A34,'Standardized Statements'!$A:$Q,C$4,FALSE)</f>
        <v>210</v>
      </c>
      <c r="D34" s="12">
        <f>VLOOKUP($A34,'Standardized Statements'!$A:$Q,D$4,FALSE)</f>
        <v>126</v>
      </c>
      <c r="E34" s="12">
        <f>VLOOKUP($A34,'Standardized Statements'!$A:$Q,E$4,FALSE)</f>
        <v>0</v>
      </c>
      <c r="F34" s="12">
        <f>VLOOKUP($A34,'Standardized Statements'!$A:$Q,F$4,FALSE)</f>
        <v>0</v>
      </c>
      <c r="G34" s="12">
        <f>VLOOKUP($A34,'Standardized Statements'!$A:$Q,G$4,FALSE)</f>
        <v>0</v>
      </c>
      <c r="H34" s="12">
        <f>VLOOKUP($A34,'Standardized Statements'!$A:$Q,H$4,FALSE)</f>
        <v>0</v>
      </c>
      <c r="I34" s="12">
        <f>VLOOKUP($A34,'Standardized Statements'!$A:$Q,I$4,FALSE)</f>
        <v>0</v>
      </c>
      <c r="J34" s="12">
        <f>VLOOKUP($A34,'Standardized Statements'!$A:$Q,J$4,FALSE)</f>
        <v>0</v>
      </c>
      <c r="K34" s="12">
        <f>VLOOKUP($A34,'Standardized Statements'!$A:$Q,K$4,FALSE)</f>
        <v>0</v>
      </c>
      <c r="L34" s="12">
        <f>VLOOKUP($A34,'Standardized Statements'!$A:$Q,L$4,FALSE)</f>
        <v>0</v>
      </c>
      <c r="M34" s="12">
        <f>VLOOKUP($A34,'Standardized Statements'!$A:$Q,M$4,FALSE)</f>
        <v>0</v>
      </c>
      <c r="N34" s="12">
        <f>VLOOKUP($A34,'Standardized Statements'!$A:$Q,N$4,FALSE)</f>
        <v>0</v>
      </c>
      <c r="O34" s="12">
        <f>VLOOKUP($A34,'Standardized Statements'!$A:$Q,O$4,FALSE)</f>
        <v>0</v>
      </c>
      <c r="P34" s="12">
        <f>VLOOKUP($A34,'Standardized Statements'!$A:$Q,P$4,FALSE)</f>
        <v>0</v>
      </c>
      <c r="R34" s="12"/>
      <c r="S34" s="12"/>
      <c r="T34" s="12"/>
      <c r="U34" s="12"/>
      <c r="V34" s="12"/>
      <c r="W34" s="12"/>
      <c r="X34" s="12"/>
      <c r="Y34" s="12"/>
      <c r="Z34" s="12"/>
      <c r="AA34" s="12"/>
      <c r="AB34" s="12"/>
      <c r="AC34" s="12"/>
      <c r="AD34" s="12"/>
      <c r="AE34" s="12"/>
      <c r="AF34" s="12"/>
      <c r="AH34" s="12">
        <f t="shared" si="37"/>
        <v>247</v>
      </c>
      <c r="AI34" s="12">
        <f t="shared" si="37"/>
        <v>210</v>
      </c>
      <c r="AJ34" s="12">
        <f t="shared" si="37"/>
        <v>126</v>
      </c>
      <c r="AK34" s="12">
        <f t="shared" si="37"/>
        <v>0</v>
      </c>
      <c r="AL34" s="12">
        <f t="shared" si="37"/>
        <v>0</v>
      </c>
      <c r="AM34" s="12">
        <f t="shared" si="37"/>
        <v>0</v>
      </c>
      <c r="AN34" s="12">
        <f t="shared" si="37"/>
        <v>0</v>
      </c>
      <c r="AO34" s="12">
        <f t="shared" si="37"/>
        <v>0</v>
      </c>
      <c r="AP34" s="12">
        <f t="shared" si="37"/>
        <v>0</v>
      </c>
      <c r="AQ34" s="12">
        <f t="shared" si="37"/>
        <v>0</v>
      </c>
      <c r="AR34" s="12">
        <f t="shared" si="37"/>
        <v>0</v>
      </c>
      <c r="AS34" s="12">
        <f t="shared" si="37"/>
        <v>0</v>
      </c>
      <c r="AT34" s="12">
        <f t="shared" si="37"/>
        <v>0</v>
      </c>
      <c r="AU34" s="12">
        <f t="shared" si="37"/>
        <v>0</v>
      </c>
      <c r="AV34" s="12">
        <f t="shared" si="37"/>
        <v>0</v>
      </c>
    </row>
    <row r="35" spans="1:48" x14ac:dyDescent="0.25">
      <c r="A35" s="6" t="s">
        <v>26</v>
      </c>
      <c r="B35" s="12">
        <f>VLOOKUP($A35,'Standardized Statements'!$A:$Q,B$4,FALSE)</f>
        <v>1446</v>
      </c>
      <c r="C35" s="12">
        <f>VLOOKUP($A35,'Standardized Statements'!$A:$Q,C$4,FALSE)</f>
        <v>1341</v>
      </c>
      <c r="D35" s="12">
        <f>VLOOKUP($A35,'Standardized Statements'!$A:$Q,D$4,FALSE)</f>
        <v>1237</v>
      </c>
      <c r="E35" s="12">
        <f>VLOOKUP($A35,'Standardized Statements'!$A:$Q,E$4,FALSE)</f>
        <v>1039</v>
      </c>
      <c r="F35" s="12">
        <f>VLOOKUP($A35,'Standardized Statements'!$A:$Q,F$4,FALSE)</f>
        <v>1014</v>
      </c>
      <c r="G35" s="12">
        <f>VLOOKUP($A35,'Standardized Statements'!$A:$Q,G$4,FALSE)</f>
        <v>862</v>
      </c>
      <c r="H35" s="12">
        <f>VLOOKUP($A35,'Standardized Statements'!$A:$Q,H$4,FALSE)</f>
        <v>709</v>
      </c>
      <c r="I35" s="12">
        <f>VLOOKUP($A35,'Standardized Statements'!$A:$Q,I$4,FALSE)</f>
        <v>659</v>
      </c>
      <c r="J35" s="12">
        <f>VLOOKUP($A35,'Standardized Statements'!$A:$Q,J$4,FALSE)</f>
        <v>628</v>
      </c>
      <c r="K35" s="12">
        <f>VLOOKUP($A35,'Standardized Statements'!$A:$Q,K$4,FALSE)</f>
        <v>608</v>
      </c>
      <c r="L35" s="12">
        <f>VLOOKUP($A35,'Standardized Statements'!$A:$Q,L$4,FALSE)</f>
        <v>518</v>
      </c>
      <c r="M35" s="12">
        <f>VLOOKUP($A35,'Standardized Statements'!$A:$Q,M$4,FALSE)</f>
        <v>551</v>
      </c>
      <c r="N35" s="12">
        <f>VLOOKUP($A35,'Standardized Statements'!$A:$Q,N$4,FALSE)</f>
        <v>476</v>
      </c>
      <c r="O35" s="12">
        <f>VLOOKUP($A35,'Standardized Statements'!$A:$Q,O$4,FALSE)</f>
        <v>253</v>
      </c>
      <c r="P35" s="12">
        <f>VLOOKUP($A35,'Standardized Statements'!$A:$Q,P$4,FALSE)</f>
        <v>155</v>
      </c>
      <c r="R35" s="12"/>
      <c r="S35" s="12"/>
      <c r="T35" s="12"/>
      <c r="U35" s="12"/>
      <c r="V35" s="12"/>
      <c r="W35" s="12"/>
      <c r="X35" s="12"/>
      <c r="Y35" s="12"/>
      <c r="Z35" s="12"/>
      <c r="AA35" s="12"/>
      <c r="AB35" s="12"/>
      <c r="AC35" s="12"/>
      <c r="AD35" s="12"/>
      <c r="AE35" s="12"/>
      <c r="AF35" s="12"/>
      <c r="AH35" s="12">
        <f t="shared" si="37"/>
        <v>1446</v>
      </c>
      <c r="AI35" s="12">
        <f t="shared" si="37"/>
        <v>1341</v>
      </c>
      <c r="AJ35" s="12">
        <f t="shared" si="37"/>
        <v>1237</v>
      </c>
      <c r="AK35" s="12">
        <f t="shared" si="37"/>
        <v>1039</v>
      </c>
      <c r="AL35" s="12">
        <f t="shared" si="37"/>
        <v>1014</v>
      </c>
      <c r="AM35" s="12">
        <f t="shared" si="37"/>
        <v>862</v>
      </c>
      <c r="AN35" s="12">
        <f t="shared" si="37"/>
        <v>709</v>
      </c>
      <c r="AO35" s="12">
        <f t="shared" si="37"/>
        <v>659</v>
      </c>
      <c r="AP35" s="12">
        <f t="shared" si="37"/>
        <v>628</v>
      </c>
      <c r="AQ35" s="12">
        <f t="shared" si="37"/>
        <v>608</v>
      </c>
      <c r="AR35" s="12">
        <f t="shared" si="37"/>
        <v>518</v>
      </c>
      <c r="AS35" s="12">
        <f t="shared" si="37"/>
        <v>551</v>
      </c>
      <c r="AT35" s="12">
        <f t="shared" si="37"/>
        <v>476</v>
      </c>
      <c r="AU35" s="12">
        <f t="shared" si="37"/>
        <v>253</v>
      </c>
      <c r="AV35" s="12">
        <f t="shared" si="37"/>
        <v>155</v>
      </c>
    </row>
    <row r="36" spans="1:48" x14ac:dyDescent="0.25">
      <c r="A36" s="6" t="s">
        <v>242</v>
      </c>
      <c r="B36" s="12">
        <f>VLOOKUP($A36,'Standardized Statements'!$A:$Q,B$4,FALSE)</f>
        <v>5714</v>
      </c>
      <c r="C36" s="12">
        <f>VLOOKUP($A36,'Standardized Statements'!$A:$Q,C$4,FALSE)</f>
        <v>4322</v>
      </c>
      <c r="D36" s="12">
        <f>VLOOKUP($A36,'Standardized Statements'!$A:$Q,D$4,FALSE)</f>
        <v>3794</v>
      </c>
      <c r="E36" s="12">
        <f>VLOOKUP($A36,'Standardized Statements'!$A:$Q,E$4,FALSE)</f>
        <v>2916</v>
      </c>
      <c r="F36" s="12">
        <f>VLOOKUP($A36,'Standardized Statements'!$A:$Q,F$4,FALSE)</f>
        <v>2862</v>
      </c>
      <c r="G36" s="12">
        <f>VLOOKUP($A36,'Standardized Statements'!$A:$Q,G$4,FALSE)</f>
        <v>2338</v>
      </c>
      <c r="H36" s="12">
        <f>VLOOKUP($A36,'Standardized Statements'!$A:$Q,H$4,FALSE)</f>
        <v>2237</v>
      </c>
      <c r="I36" s="12">
        <f>VLOOKUP($A36,'Standardized Statements'!$A:$Q,I$4,FALSE)</f>
        <v>1367</v>
      </c>
      <c r="J36" s="12">
        <f>VLOOKUP($A36,'Standardized Statements'!$A:$Q,J$4,FALSE)</f>
        <v>1624</v>
      </c>
      <c r="K36" s="12">
        <f>VLOOKUP($A36,'Standardized Statements'!$A:$Q,K$4,FALSE)</f>
        <v>1234</v>
      </c>
      <c r="L36" s="12">
        <f>VLOOKUP($A36,'Standardized Statements'!$A:$Q,L$4,FALSE)</f>
        <v>1065</v>
      </c>
      <c r="M36" s="12">
        <f>VLOOKUP($A36,'Standardized Statements'!$A:$Q,M$4,FALSE)</f>
        <v>1246</v>
      </c>
      <c r="N36" s="12">
        <f>VLOOKUP($A36,'Standardized Statements'!$A:$Q,N$4,FALSE)</f>
        <v>1299</v>
      </c>
      <c r="O36" s="12">
        <f>VLOOKUP($A36,'Standardized Statements'!$A:$Q,O$4,FALSE)</f>
        <v>883</v>
      </c>
      <c r="P36" s="12">
        <f>VLOOKUP($A36,'Standardized Statements'!$A:$Q,P$4,FALSE)</f>
        <v>102</v>
      </c>
      <c r="R36" s="12">
        <f>(-'Lease adjustments'!B35)+R58</f>
        <v>0</v>
      </c>
      <c r="S36" s="12">
        <f>(-'Lease adjustments'!C35)+S58</f>
        <v>0</v>
      </c>
      <c r="T36" s="12">
        <f>(-'Lease adjustments'!D35)+T58</f>
        <v>0</v>
      </c>
      <c r="U36" s="12">
        <f>(-'Lease adjustments'!E35)+U58</f>
        <v>0</v>
      </c>
      <c r="V36" s="12">
        <f>(-'Lease adjustments'!F35)+V58</f>
        <v>0</v>
      </c>
      <c r="W36" s="12">
        <f>(-'Lease adjustments'!G35)+W58</f>
        <v>0</v>
      </c>
      <c r="X36" s="12">
        <f>(-'Lease adjustments'!H35)+X58</f>
        <v>0</v>
      </c>
      <c r="Y36" s="12">
        <f>(-'Lease adjustments'!I35)+Y58</f>
        <v>0</v>
      </c>
      <c r="Z36" s="12">
        <f>(-'Lease adjustments'!J35)+Z58</f>
        <v>0</v>
      </c>
      <c r="AA36" s="12">
        <f>(-'Lease adjustments'!K35)+AA58</f>
        <v>0</v>
      </c>
      <c r="AB36" s="12">
        <f>(-'Lease adjustments'!L35)+AB58</f>
        <v>0</v>
      </c>
      <c r="AC36" s="12">
        <f>(-'Lease adjustments'!M35)+AC58</f>
        <v>0</v>
      </c>
      <c r="AD36" s="12">
        <f>(-'Lease adjustments'!N35)+AD58</f>
        <v>0</v>
      </c>
      <c r="AE36" s="12">
        <f>(-'Lease adjustments'!O35)+AE58</f>
        <v>0</v>
      </c>
      <c r="AF36" s="12">
        <f>(-'Lease adjustments'!P35)+AF58</f>
        <v>-650</v>
      </c>
      <c r="AH36" s="12">
        <f t="shared" si="37"/>
        <v>5714</v>
      </c>
      <c r="AI36" s="12">
        <f t="shared" si="37"/>
        <v>4322</v>
      </c>
      <c r="AJ36" s="12">
        <f t="shared" si="37"/>
        <v>3794</v>
      </c>
      <c r="AK36" s="12">
        <f t="shared" si="37"/>
        <v>2916</v>
      </c>
      <c r="AL36" s="12">
        <f t="shared" si="37"/>
        <v>2862</v>
      </c>
      <c r="AM36" s="12">
        <f t="shared" si="37"/>
        <v>2338</v>
      </c>
      <c r="AN36" s="12">
        <f t="shared" si="37"/>
        <v>2237</v>
      </c>
      <c r="AO36" s="12">
        <f t="shared" si="37"/>
        <v>1367</v>
      </c>
      <c r="AP36" s="12">
        <f t="shared" si="37"/>
        <v>1624</v>
      </c>
      <c r="AQ36" s="12">
        <f t="shared" si="37"/>
        <v>1234</v>
      </c>
      <c r="AR36" s="12">
        <f t="shared" si="37"/>
        <v>1065</v>
      </c>
      <c r="AS36" s="12">
        <f t="shared" si="37"/>
        <v>1246</v>
      </c>
      <c r="AT36" s="12">
        <f t="shared" si="37"/>
        <v>1299</v>
      </c>
      <c r="AU36" s="12">
        <f t="shared" si="37"/>
        <v>883</v>
      </c>
      <c r="AV36" s="12">
        <f t="shared" si="37"/>
        <v>-548</v>
      </c>
    </row>
    <row r="37" spans="1:48" x14ac:dyDescent="0.25">
      <c r="A37" s="6" t="s">
        <v>27</v>
      </c>
      <c r="B37" s="13">
        <f>VLOOKUP($A37,'Standardized Statements'!$A:$Q,B$4,FALSE)</f>
        <v>730</v>
      </c>
      <c r="C37" s="13">
        <f>VLOOKUP($A37,'Standardized Statements'!$A:$Q,C$4,FALSE)</f>
        <v>661</v>
      </c>
      <c r="D37" s="13">
        <f>VLOOKUP($A37,'Standardized Statements'!$A:$Q,D$4,FALSE)</f>
        <v>372</v>
      </c>
      <c r="E37" s="13">
        <f>VLOOKUP($A37,'Standardized Statements'!$A:$Q,E$4,FALSE)</f>
        <v>497</v>
      </c>
      <c r="F37" s="13">
        <f>VLOOKUP($A37,'Standardized Statements'!$A:$Q,F$4,FALSE)</f>
        <v>848</v>
      </c>
      <c r="G37" s="13">
        <f>VLOOKUP($A37,'Standardized Statements'!$A:$Q,G$4,FALSE)</f>
        <v>707</v>
      </c>
      <c r="H37" s="13">
        <f>VLOOKUP($A37,'Standardized Statements'!$A:$Q,H$4,FALSE)</f>
        <v>443</v>
      </c>
      <c r="I37" s="13">
        <f>VLOOKUP($A37,'Standardized Statements'!$A:$Q,I$4,FALSE)</f>
        <v>186</v>
      </c>
      <c r="J37" s="13">
        <f>VLOOKUP($A37,'Standardized Statements'!$A:$Q,J$4,FALSE)</f>
        <v>158</v>
      </c>
      <c r="K37" s="13">
        <f>VLOOKUP($A37,'Standardized Statements'!$A:$Q,K$4,FALSE)</f>
        <v>456</v>
      </c>
      <c r="L37" s="13">
        <f>VLOOKUP($A37,'Standardized Statements'!$A:$Q,L$4,FALSE)</f>
        <v>457</v>
      </c>
      <c r="M37" s="13">
        <f>VLOOKUP($A37,'Standardized Statements'!$A:$Q,M$4,FALSE)</f>
        <v>260</v>
      </c>
      <c r="N37" s="13">
        <f>VLOOKUP($A37,'Standardized Statements'!$A:$Q,N$4,FALSE)</f>
        <v>660</v>
      </c>
      <c r="O37" s="13">
        <f>VLOOKUP($A37,'Standardized Statements'!$A:$Q,O$4,FALSE)</f>
        <v>7</v>
      </c>
      <c r="P37" s="13">
        <f>VLOOKUP($A37,'Standardized Statements'!$A:$Q,P$4,FALSE)</f>
        <v>0</v>
      </c>
      <c r="R37" s="13"/>
      <c r="S37" s="13"/>
      <c r="T37" s="13"/>
      <c r="U37" s="13"/>
      <c r="V37" s="13"/>
      <c r="W37" s="13"/>
      <c r="X37" s="13"/>
      <c r="Y37" s="13"/>
      <c r="Z37" s="13"/>
      <c r="AA37" s="13"/>
      <c r="AB37" s="13"/>
      <c r="AC37" s="13"/>
      <c r="AD37" s="13"/>
      <c r="AE37" s="13"/>
      <c r="AF37" s="13"/>
      <c r="AH37" s="13">
        <f t="shared" si="37"/>
        <v>730</v>
      </c>
      <c r="AI37" s="13">
        <f t="shared" si="37"/>
        <v>661</v>
      </c>
      <c r="AJ37" s="13">
        <f t="shared" si="37"/>
        <v>372</v>
      </c>
      <c r="AK37" s="13">
        <f t="shared" si="37"/>
        <v>497</v>
      </c>
      <c r="AL37" s="13">
        <f t="shared" si="37"/>
        <v>848</v>
      </c>
      <c r="AM37" s="13">
        <f t="shared" si="37"/>
        <v>707</v>
      </c>
      <c r="AN37" s="13">
        <f t="shared" si="37"/>
        <v>443</v>
      </c>
      <c r="AO37" s="13">
        <f t="shared" si="37"/>
        <v>186</v>
      </c>
      <c r="AP37" s="13">
        <f t="shared" si="37"/>
        <v>158</v>
      </c>
      <c r="AQ37" s="13">
        <f t="shared" si="37"/>
        <v>456</v>
      </c>
      <c r="AR37" s="13">
        <f t="shared" si="37"/>
        <v>457</v>
      </c>
      <c r="AS37" s="13">
        <f t="shared" si="37"/>
        <v>260</v>
      </c>
      <c r="AT37" s="13">
        <f t="shared" si="37"/>
        <v>660</v>
      </c>
      <c r="AU37" s="13">
        <f t="shared" si="37"/>
        <v>7</v>
      </c>
      <c r="AV37" s="13">
        <f t="shared" si="37"/>
        <v>0</v>
      </c>
    </row>
    <row r="38" spans="1:48" x14ac:dyDescent="0.25">
      <c r="A38" s="14" t="s">
        <v>63</v>
      </c>
      <c r="B38" s="22">
        <f>SUM(B32:B37)</f>
        <v>109743</v>
      </c>
      <c r="C38" s="22">
        <f>SUM(C32:C37)</f>
        <v>58874</v>
      </c>
      <c r="D38" s="22">
        <f>SUM(D32:D37)</f>
        <v>57586</v>
      </c>
      <c r="E38" s="22">
        <f t="shared" ref="E38:J38" si="38">SUM(E32:E37)</f>
        <v>51313</v>
      </c>
      <c r="F38" s="22">
        <f t="shared" si="38"/>
        <v>48764</v>
      </c>
      <c r="G38" s="22">
        <f t="shared" si="38"/>
        <v>40984</v>
      </c>
      <c r="H38" s="22">
        <f t="shared" si="38"/>
        <v>33299</v>
      </c>
      <c r="I38" s="22">
        <f t="shared" si="38"/>
        <v>26674</v>
      </c>
      <c r="J38" s="22">
        <f t="shared" si="38"/>
        <v>23099</v>
      </c>
      <c r="K38" s="22">
        <f t="shared" ref="K38:P38" si="39">SUM(K32:K37)</f>
        <v>20726</v>
      </c>
      <c r="L38" s="22">
        <f t="shared" si="39"/>
        <v>18707</v>
      </c>
      <c r="M38" s="22">
        <f t="shared" si="39"/>
        <v>18542</v>
      </c>
      <c r="N38" s="22">
        <f t="shared" si="39"/>
        <v>16532</v>
      </c>
      <c r="O38" s="22">
        <f t="shared" si="39"/>
        <v>10696</v>
      </c>
      <c r="P38" s="22">
        <f t="shared" si="39"/>
        <v>8033</v>
      </c>
      <c r="R38" s="22">
        <f>SUM(R32:R37)</f>
        <v>0</v>
      </c>
      <c r="S38" s="22">
        <f>SUM(S32:S37)</f>
        <v>65962.780343138962</v>
      </c>
      <c r="T38" s="22">
        <f>SUM(T32:T37)</f>
        <v>65397.74362858689</v>
      </c>
      <c r="U38" s="22">
        <f t="shared" ref="U38:Z38" si="40">SUM(U32:U37)</f>
        <v>72780.718289695651</v>
      </c>
      <c r="V38" s="22">
        <f t="shared" si="40"/>
        <v>75305.849531665532</v>
      </c>
      <c r="W38" s="22">
        <f t="shared" si="40"/>
        <v>78071.02941591118</v>
      </c>
      <c r="X38" s="22">
        <f t="shared" si="40"/>
        <v>72742.396370077535</v>
      </c>
      <c r="Y38" s="22">
        <f t="shared" si="40"/>
        <v>58439.614999107507</v>
      </c>
      <c r="Z38" s="22">
        <f t="shared" si="40"/>
        <v>51371.111645969722</v>
      </c>
      <c r="AA38" s="22">
        <f t="shared" ref="AA38:AF38" si="41">SUM(AA32:AA37)</f>
        <v>49534.883638509469</v>
      </c>
      <c r="AB38" s="22">
        <f t="shared" si="41"/>
        <v>48839.212962919366</v>
      </c>
      <c r="AC38" s="22">
        <f t="shared" si="41"/>
        <v>47961.653549560637</v>
      </c>
      <c r="AD38" s="22">
        <f t="shared" si="41"/>
        <v>43859.151161611408</v>
      </c>
      <c r="AE38" s="22">
        <f t="shared" si="41"/>
        <v>32389.839704452355</v>
      </c>
      <c r="AF38" s="22">
        <f t="shared" si="41"/>
        <v>29125.325091278151</v>
      </c>
      <c r="AH38" s="22">
        <f t="shared" si="37"/>
        <v>109743</v>
      </c>
      <c r="AI38" s="22">
        <f t="shared" si="37"/>
        <v>124836.78034313896</v>
      </c>
      <c r="AJ38" s="22">
        <f t="shared" si="37"/>
        <v>122983.74362858689</v>
      </c>
      <c r="AK38" s="22">
        <f t="shared" si="37"/>
        <v>124093.71828969565</v>
      </c>
      <c r="AL38" s="22">
        <f t="shared" si="37"/>
        <v>124069.84953166553</v>
      </c>
      <c r="AM38" s="22">
        <f t="shared" si="37"/>
        <v>119055.02941591118</v>
      </c>
      <c r="AN38" s="22">
        <f t="shared" si="37"/>
        <v>106041.39637007753</v>
      </c>
      <c r="AO38" s="22">
        <f t="shared" si="37"/>
        <v>85113.614999107507</v>
      </c>
      <c r="AP38" s="22">
        <f t="shared" si="37"/>
        <v>74470.111645969722</v>
      </c>
      <c r="AQ38" s="22">
        <f t="shared" si="37"/>
        <v>70260.883638509462</v>
      </c>
      <c r="AR38" s="22">
        <f t="shared" si="37"/>
        <v>67546.212962919366</v>
      </c>
      <c r="AS38" s="22">
        <f t="shared" si="37"/>
        <v>66503.653549560637</v>
      </c>
      <c r="AT38" s="22">
        <f t="shared" si="37"/>
        <v>60391.151161611408</v>
      </c>
      <c r="AU38" s="22">
        <f t="shared" si="37"/>
        <v>43085.839704452359</v>
      </c>
      <c r="AV38" s="22">
        <f t="shared" si="37"/>
        <v>37158.325091278151</v>
      </c>
    </row>
    <row r="40" spans="1:48" x14ac:dyDescent="0.25">
      <c r="A40" s="6" t="s">
        <v>0</v>
      </c>
      <c r="B40" s="12">
        <f>VLOOKUP($A40,'Standardized Statements'!$A:$Q,B$4,FALSE)</f>
        <v>38209</v>
      </c>
      <c r="C40" s="12">
        <f>VLOOKUP($A40,'Standardized Statements'!$A:$Q,C$4,FALSE)</f>
        <v>37823</v>
      </c>
      <c r="D40" s="12">
        <f>VLOOKUP($A40,'Standardized Statements'!$A:$Q,D$4,FALSE)</f>
        <v>37721</v>
      </c>
      <c r="E40" s="12">
        <f>VLOOKUP($A40,'Standardized Statements'!$A:$Q,E$4,FALSE)</f>
        <v>33712</v>
      </c>
      <c r="F40" s="12">
        <f>VLOOKUP($A40,'Standardized Statements'!$A:$Q,F$4,FALSE)</f>
        <v>31732</v>
      </c>
      <c r="G40" s="12">
        <f>VLOOKUP($A40,'Standardized Statements'!$A:$Q,G$4,FALSE)</f>
        <v>24833</v>
      </c>
      <c r="H40" s="12">
        <f>VLOOKUP($A40,'Standardized Statements'!$A:$Q,H$4,FALSE)</f>
        <v>19403</v>
      </c>
      <c r="I40" s="12">
        <f>VLOOKUP($A40,'Standardized Statements'!$A:$Q,I$4,FALSE)</f>
        <v>16695</v>
      </c>
      <c r="J40" s="12">
        <f>VLOOKUP($A40,'Standardized Statements'!$A:$Q,J$4,FALSE)</f>
        <v>15213</v>
      </c>
      <c r="K40" s="12">
        <f>VLOOKUP($A40,'Standardized Statements'!$A:$Q,K$4,FALSE)</f>
        <v>13819</v>
      </c>
      <c r="L40" s="12">
        <f>VLOOKUP($A40,'Standardized Statements'!$A:$Q,L$4,FALSE)</f>
        <v>11487</v>
      </c>
      <c r="M40" s="12">
        <f>VLOOKUP($A40,'Standardized Statements'!$A:$Q,M$4,FALSE)</f>
        <v>10240</v>
      </c>
      <c r="N40" s="12">
        <f>VLOOKUP($A40,'Standardized Statements'!$A:$Q,N$4,FALSE)</f>
        <v>8500</v>
      </c>
      <c r="O40" s="12">
        <f>VLOOKUP($A40,'Standardized Statements'!$A:$Q,O$4,FALSE)</f>
        <v>7969</v>
      </c>
      <c r="P40" s="12">
        <f>VLOOKUP($A40,'Standardized Statements'!$A:$Q,P$4,FALSE)</f>
        <v>7220</v>
      </c>
      <c r="R40" s="12"/>
      <c r="S40" s="12"/>
      <c r="T40" s="12"/>
      <c r="U40" s="12"/>
      <c r="V40" s="12"/>
      <c r="W40" s="12"/>
      <c r="X40" s="12"/>
      <c r="Y40" s="12"/>
      <c r="Z40" s="12"/>
      <c r="AA40" s="12"/>
      <c r="AB40" s="12"/>
      <c r="AC40" s="12"/>
      <c r="AD40" s="12"/>
      <c r="AE40" s="12"/>
      <c r="AF40" s="12"/>
      <c r="AH40" s="12">
        <f t="shared" ref="AH40:AV44" si="42">B40+R40</f>
        <v>38209</v>
      </c>
      <c r="AI40" s="12">
        <f t="shared" si="42"/>
        <v>37823</v>
      </c>
      <c r="AJ40" s="12">
        <f t="shared" si="42"/>
        <v>37721</v>
      </c>
      <c r="AK40" s="12">
        <f t="shared" si="42"/>
        <v>33712</v>
      </c>
      <c r="AL40" s="12">
        <f t="shared" si="42"/>
        <v>31732</v>
      </c>
      <c r="AM40" s="12">
        <f t="shared" si="42"/>
        <v>24833</v>
      </c>
      <c r="AN40" s="12">
        <f t="shared" si="42"/>
        <v>19403</v>
      </c>
      <c r="AO40" s="12">
        <f t="shared" si="42"/>
        <v>16695</v>
      </c>
      <c r="AP40" s="12">
        <f t="shared" si="42"/>
        <v>15213</v>
      </c>
      <c r="AQ40" s="12">
        <f t="shared" si="42"/>
        <v>13819</v>
      </c>
      <c r="AR40" s="12">
        <f t="shared" si="42"/>
        <v>11487</v>
      </c>
      <c r="AS40" s="12">
        <f t="shared" si="42"/>
        <v>10240</v>
      </c>
      <c r="AT40" s="12">
        <f t="shared" si="42"/>
        <v>8500</v>
      </c>
      <c r="AU40" s="12">
        <f t="shared" si="42"/>
        <v>7969</v>
      </c>
      <c r="AV40" s="12">
        <f t="shared" si="42"/>
        <v>7220</v>
      </c>
    </row>
    <row r="41" spans="1:48" x14ac:dyDescent="0.25">
      <c r="A41" s="6" t="s">
        <v>13</v>
      </c>
      <c r="B41" s="12">
        <f>VLOOKUP($A41,'Standardized Statements'!$A:$Q,B$4,FALSE)</f>
        <v>3086</v>
      </c>
      <c r="C41" s="12">
        <f>VLOOKUP($A41,'Standardized Statements'!$A:$Q,C$4,FALSE)</f>
        <v>5879</v>
      </c>
      <c r="D41" s="12">
        <f>VLOOKUP($A41,'Standardized Statements'!$A:$Q,D$4,FALSE)</f>
        <v>6329</v>
      </c>
      <c r="E41" s="12">
        <f>VLOOKUP($A41,'Standardized Statements'!$A:$Q,E$4,FALSE)</f>
        <v>5297</v>
      </c>
      <c r="F41" s="12">
        <f>VLOOKUP($A41,'Standardized Statements'!$A:$Q,F$4,FALSE)</f>
        <v>4881</v>
      </c>
      <c r="G41" s="12">
        <f>VLOOKUP($A41,'Standardized Statements'!$A:$Q,G$4,FALSE)</f>
        <v>4021</v>
      </c>
      <c r="H41" s="12">
        <f>VLOOKUP($A41,'Standardized Statements'!$A:$Q,H$4,FALSE)</f>
        <v>3659</v>
      </c>
      <c r="I41" s="12">
        <f>VLOOKUP($A41,'Standardized Statements'!$A:$Q,I$4,FALSE)</f>
        <v>3107</v>
      </c>
      <c r="J41" s="12">
        <f>VLOOKUP($A41,'Standardized Statements'!$A:$Q,J$4,FALSE)</f>
        <v>2207</v>
      </c>
      <c r="K41" s="12">
        <f>VLOOKUP($A41,'Standardized Statements'!$A:$Q,K$4,FALSE)</f>
        <v>2337</v>
      </c>
      <c r="L41" s="12">
        <f>VLOOKUP($A41,'Standardized Statements'!$A:$Q,L$4,FALSE)</f>
        <v>2258</v>
      </c>
      <c r="M41" s="12">
        <f>VLOOKUP($A41,'Standardized Statements'!$A:$Q,M$4,FALSE)</f>
        <v>1990</v>
      </c>
      <c r="N41" s="12">
        <f>VLOOKUP($A41,'Standardized Statements'!$A:$Q,N$4,FALSE)</f>
        <v>1991</v>
      </c>
      <c r="O41" s="12">
        <f>VLOOKUP($A41,'Standardized Statements'!$A:$Q,O$4,FALSE)</f>
        <v>1122</v>
      </c>
      <c r="P41" s="12">
        <f>VLOOKUP($A41,'Standardized Statements'!$A:$Q,P$4,FALSE)</f>
        <v>865</v>
      </c>
      <c r="R41" s="12"/>
      <c r="S41" s="12"/>
      <c r="T41" s="12"/>
      <c r="U41" s="12"/>
      <c r="V41" s="12"/>
      <c r="W41" s="12"/>
      <c r="X41" s="12"/>
      <c r="Y41" s="12"/>
      <c r="Z41" s="12"/>
      <c r="AA41" s="12"/>
      <c r="AB41" s="12"/>
      <c r="AC41" s="12"/>
      <c r="AD41" s="12"/>
      <c r="AE41" s="12"/>
      <c r="AF41" s="12"/>
      <c r="AH41" s="12">
        <f t="shared" si="42"/>
        <v>3086</v>
      </c>
      <c r="AI41" s="12">
        <f t="shared" si="42"/>
        <v>5879</v>
      </c>
      <c r="AJ41" s="12">
        <f t="shared" si="42"/>
        <v>6329</v>
      </c>
      <c r="AK41" s="12">
        <f t="shared" si="42"/>
        <v>5297</v>
      </c>
      <c r="AL41" s="12">
        <f t="shared" si="42"/>
        <v>4881</v>
      </c>
      <c r="AM41" s="12">
        <f t="shared" si="42"/>
        <v>4021</v>
      </c>
      <c r="AN41" s="12">
        <f t="shared" si="42"/>
        <v>3659</v>
      </c>
      <c r="AO41" s="12">
        <f t="shared" si="42"/>
        <v>3107</v>
      </c>
      <c r="AP41" s="12">
        <f t="shared" si="42"/>
        <v>2207</v>
      </c>
      <c r="AQ41" s="12">
        <f t="shared" si="42"/>
        <v>2337</v>
      </c>
      <c r="AR41" s="12">
        <f t="shared" si="42"/>
        <v>2258</v>
      </c>
      <c r="AS41" s="12">
        <f t="shared" si="42"/>
        <v>1990</v>
      </c>
      <c r="AT41" s="12">
        <f t="shared" si="42"/>
        <v>1991</v>
      </c>
      <c r="AU41" s="12">
        <f t="shared" si="42"/>
        <v>1122</v>
      </c>
      <c r="AV41" s="12">
        <f t="shared" si="42"/>
        <v>865</v>
      </c>
    </row>
    <row r="42" spans="1:48" x14ac:dyDescent="0.25">
      <c r="A42" s="6" t="s">
        <v>3</v>
      </c>
      <c r="B42" s="12">
        <f>VLOOKUP($A42,'Standardized Statements'!$A:$Q,B$4,FALSE)</f>
        <v>6793</v>
      </c>
      <c r="C42" s="12">
        <f>VLOOKUP($A42,'Standardized Statements'!$A:$Q,C$4,FALSE)</f>
        <v>5597</v>
      </c>
      <c r="D42" s="12">
        <f>VLOOKUP($A42,'Standardized Statements'!$A:$Q,D$4,FALSE)</f>
        <v>5564</v>
      </c>
      <c r="E42" s="12">
        <f>VLOOKUP($A42,'Standardized Statements'!$A:$Q,E$4,FALSE)</f>
        <v>6522</v>
      </c>
      <c r="F42" s="12">
        <f>VLOOKUP($A42,'Standardized Statements'!$A:$Q,F$4,FALSE)</f>
        <v>3756</v>
      </c>
      <c r="G42" s="12">
        <f>VLOOKUP($A42,'Standardized Statements'!$A:$Q,G$4,FALSE)</f>
        <v>3025</v>
      </c>
      <c r="H42" s="12">
        <f>VLOOKUP($A42,'Standardized Statements'!$A:$Q,H$4,FALSE)</f>
        <v>2543</v>
      </c>
      <c r="I42" s="12">
        <f>VLOOKUP($A42,'Standardized Statements'!$A:$Q,I$4,FALSE)</f>
        <v>1976</v>
      </c>
      <c r="J42" s="12">
        <f>VLOOKUP($A42,'Standardized Statements'!$A:$Q,J$4,FALSE)</f>
        <v>2511</v>
      </c>
      <c r="K42" s="12">
        <f>VLOOKUP($A42,'Standardized Statements'!$A:$Q,K$4,FALSE)</f>
        <v>2029</v>
      </c>
      <c r="L42" s="12">
        <f>VLOOKUP($A42,'Standardized Statements'!$A:$Q,L$4,FALSE)</f>
        <v>1872</v>
      </c>
      <c r="M42" s="12">
        <f>VLOOKUP($A42,'Standardized Statements'!$A:$Q,M$4,FALSE)</f>
        <v>1566</v>
      </c>
      <c r="N42" s="12">
        <f>VLOOKUP($A42,'Standardized Statements'!$A:$Q,N$4,FALSE)</f>
        <v>1494</v>
      </c>
      <c r="O42" s="12">
        <f>VLOOKUP($A42,'Standardized Statements'!$A:$Q,O$4,FALSE)</f>
        <v>983</v>
      </c>
      <c r="P42" s="12">
        <f>VLOOKUP($A42,'Standardized Statements'!$A:$Q,P$4,FALSE)</f>
        <v>812</v>
      </c>
      <c r="R42" s="12"/>
      <c r="S42" s="12"/>
      <c r="T42" s="12"/>
      <c r="U42" s="12"/>
      <c r="V42" s="12"/>
      <c r="W42" s="12"/>
      <c r="X42" s="12"/>
      <c r="Y42" s="12"/>
      <c r="Z42" s="12"/>
      <c r="AA42" s="12"/>
      <c r="AB42" s="12"/>
      <c r="AC42" s="12"/>
      <c r="AD42" s="12"/>
      <c r="AE42" s="12"/>
      <c r="AF42" s="12"/>
      <c r="AH42" s="12">
        <f t="shared" si="42"/>
        <v>6793</v>
      </c>
      <c r="AI42" s="12">
        <f t="shared" si="42"/>
        <v>5597</v>
      </c>
      <c r="AJ42" s="12">
        <f t="shared" si="42"/>
        <v>5564</v>
      </c>
      <c r="AK42" s="12">
        <f t="shared" si="42"/>
        <v>6522</v>
      </c>
      <c r="AL42" s="12">
        <f t="shared" si="42"/>
        <v>3756</v>
      </c>
      <c r="AM42" s="12">
        <f t="shared" si="42"/>
        <v>3025</v>
      </c>
      <c r="AN42" s="12">
        <f t="shared" si="42"/>
        <v>2543</v>
      </c>
      <c r="AO42" s="12">
        <f t="shared" si="42"/>
        <v>1976</v>
      </c>
      <c r="AP42" s="12">
        <f t="shared" si="42"/>
        <v>2511</v>
      </c>
      <c r="AQ42" s="12">
        <f t="shared" si="42"/>
        <v>2029</v>
      </c>
      <c r="AR42" s="12">
        <f t="shared" si="42"/>
        <v>1872</v>
      </c>
      <c r="AS42" s="12">
        <f t="shared" si="42"/>
        <v>1566</v>
      </c>
      <c r="AT42" s="12">
        <f t="shared" si="42"/>
        <v>1494</v>
      </c>
      <c r="AU42" s="12">
        <f t="shared" si="42"/>
        <v>983</v>
      </c>
      <c r="AV42" s="12">
        <f t="shared" si="42"/>
        <v>812</v>
      </c>
    </row>
    <row r="43" spans="1:48" x14ac:dyDescent="0.25">
      <c r="A43" s="6" t="s">
        <v>241</v>
      </c>
      <c r="B43" s="13">
        <f>VLOOKUP($A43,'Standardized Statements'!$A:$Q,B$4,FALSE)</f>
        <v>16540</v>
      </c>
      <c r="C43" s="13">
        <f>VLOOKUP($A43,'Standardized Statements'!$A:$Q,C$4,FALSE)</f>
        <v>12312</v>
      </c>
      <c r="D43" s="13">
        <f>VLOOKUP($A43,'Standardized Statements'!$A:$Q,D$4,FALSE)</f>
        <v>11590</v>
      </c>
      <c r="E43" s="13">
        <f>VLOOKUP($A43,'Standardized Statements'!$A:$Q,E$4,FALSE)</f>
        <v>9718</v>
      </c>
      <c r="F43" s="13">
        <f>VLOOKUP($A43,'Standardized Statements'!$A:$Q,F$4,FALSE)</f>
        <v>9446</v>
      </c>
      <c r="G43" s="13">
        <f>VLOOKUP($A43,'Standardized Statements'!$A:$Q,G$4,FALSE)</f>
        <v>12950</v>
      </c>
      <c r="H43" s="13">
        <f>VLOOKUP($A43,'Standardized Statements'!$A:$Q,H$4,FALSE)</f>
        <v>16693</v>
      </c>
      <c r="I43" s="13">
        <f>VLOOKUP($A43,'Standardized Statements'!$A:$Q,I$4,FALSE)</f>
        <v>17224</v>
      </c>
      <c r="J43" s="13">
        <f>VLOOKUP($A43,'Standardized Statements'!$A:$Q,J$4,FALSE)</f>
        <v>17143</v>
      </c>
      <c r="K43" s="13">
        <f>VLOOKUP($A43,'Standardized Statements'!$A:$Q,K$4,FALSE)</f>
        <v>21277</v>
      </c>
      <c r="L43" s="13">
        <f>VLOOKUP($A43,'Standardized Statements'!$A:$Q,L$4,FALSE)</f>
        <v>24858</v>
      </c>
      <c r="M43" s="13">
        <f>VLOOKUP($A43,'Standardized Statements'!$A:$Q,M$4,FALSE)</f>
        <v>22025</v>
      </c>
      <c r="N43" s="13">
        <f>VLOOKUP($A43,'Standardized Statements'!$A:$Q,N$4,FALSE)</f>
        <v>22726</v>
      </c>
      <c r="O43" s="13">
        <f>VLOOKUP($A43,'Standardized Statements'!$A:$Q,O$4,FALSE)</f>
        <v>20964</v>
      </c>
      <c r="P43" s="13">
        <f>VLOOKUP($A43,'Standardized Statements'!$A:$Q,P$4,FALSE)</f>
        <v>18625</v>
      </c>
      <c r="R43" s="13"/>
      <c r="S43" s="13"/>
      <c r="T43" s="13"/>
      <c r="U43" s="13"/>
      <c r="V43" s="13"/>
      <c r="W43" s="13"/>
      <c r="X43" s="13"/>
      <c r="Y43" s="13"/>
      <c r="Z43" s="13"/>
      <c r="AA43" s="13"/>
      <c r="AB43" s="13"/>
      <c r="AC43" s="13"/>
      <c r="AD43" s="13"/>
      <c r="AE43" s="13"/>
      <c r="AF43" s="13"/>
      <c r="AH43" s="13">
        <f t="shared" si="42"/>
        <v>16540</v>
      </c>
      <c r="AI43" s="13">
        <f t="shared" si="42"/>
        <v>12312</v>
      </c>
      <c r="AJ43" s="13">
        <f t="shared" si="42"/>
        <v>11590</v>
      </c>
      <c r="AK43" s="13">
        <f t="shared" si="42"/>
        <v>9718</v>
      </c>
      <c r="AL43" s="13">
        <f t="shared" si="42"/>
        <v>9446</v>
      </c>
      <c r="AM43" s="13">
        <f t="shared" si="42"/>
        <v>12950</v>
      </c>
      <c r="AN43" s="13">
        <f t="shared" si="42"/>
        <v>16693</v>
      </c>
      <c r="AO43" s="13">
        <f t="shared" si="42"/>
        <v>17224</v>
      </c>
      <c r="AP43" s="13">
        <f t="shared" si="42"/>
        <v>17143</v>
      </c>
      <c r="AQ43" s="13">
        <f t="shared" si="42"/>
        <v>21277</v>
      </c>
      <c r="AR43" s="13">
        <f t="shared" si="42"/>
        <v>24858</v>
      </c>
      <c r="AS43" s="13">
        <f t="shared" si="42"/>
        <v>22025</v>
      </c>
      <c r="AT43" s="13">
        <f t="shared" si="42"/>
        <v>22726</v>
      </c>
      <c r="AU43" s="13">
        <f t="shared" si="42"/>
        <v>20964</v>
      </c>
      <c r="AV43" s="13">
        <f t="shared" si="42"/>
        <v>18625</v>
      </c>
    </row>
    <row r="44" spans="1:48" x14ac:dyDescent="0.25">
      <c r="A44" s="14" t="s">
        <v>64</v>
      </c>
      <c r="B44" s="22">
        <f>SUM(B40:B43)</f>
        <v>64628</v>
      </c>
      <c r="C44" s="22">
        <f>SUM(C40:C43)</f>
        <v>61611</v>
      </c>
      <c r="D44" s="22">
        <f>SUM(D40:D43)</f>
        <v>61204</v>
      </c>
      <c r="E44" s="22">
        <f t="shared" ref="E44:J44" si="43">SUM(E40:E43)</f>
        <v>55249</v>
      </c>
      <c r="F44" s="22">
        <f t="shared" si="43"/>
        <v>49815</v>
      </c>
      <c r="G44" s="22">
        <f t="shared" si="43"/>
        <v>44829</v>
      </c>
      <c r="H44" s="22">
        <f t="shared" si="43"/>
        <v>42298</v>
      </c>
      <c r="I44" s="22">
        <f t="shared" si="43"/>
        <v>39002</v>
      </c>
      <c r="J44" s="22">
        <f t="shared" si="43"/>
        <v>37074</v>
      </c>
      <c r="K44" s="22">
        <f t="shared" ref="K44:P44" si="44">SUM(K40:K43)</f>
        <v>39462</v>
      </c>
      <c r="L44" s="22">
        <f t="shared" si="44"/>
        <v>40475</v>
      </c>
      <c r="M44" s="22">
        <f t="shared" si="44"/>
        <v>35821</v>
      </c>
      <c r="N44" s="22">
        <f t="shared" si="44"/>
        <v>34711</v>
      </c>
      <c r="O44" s="22">
        <f t="shared" si="44"/>
        <v>31038</v>
      </c>
      <c r="P44" s="22">
        <f t="shared" si="44"/>
        <v>27522</v>
      </c>
      <c r="R44" s="22">
        <f>SUM(R40:R43)</f>
        <v>0</v>
      </c>
      <c r="S44" s="22">
        <f>SUM(S40:S43)</f>
        <v>0</v>
      </c>
      <c r="T44" s="22">
        <f>SUM(T40:T43)</f>
        <v>0</v>
      </c>
      <c r="U44" s="22">
        <f t="shared" ref="U44:Z44" si="45">SUM(U40:U43)</f>
        <v>0</v>
      </c>
      <c r="V44" s="22">
        <f t="shared" si="45"/>
        <v>0</v>
      </c>
      <c r="W44" s="22">
        <f t="shared" si="45"/>
        <v>0</v>
      </c>
      <c r="X44" s="22">
        <f t="shared" si="45"/>
        <v>0</v>
      </c>
      <c r="Y44" s="22">
        <f t="shared" si="45"/>
        <v>0</v>
      </c>
      <c r="Z44" s="22">
        <f t="shared" si="45"/>
        <v>0</v>
      </c>
      <c r="AA44" s="22">
        <f t="shared" ref="AA44:AF44" si="46">SUM(AA40:AA43)</f>
        <v>0</v>
      </c>
      <c r="AB44" s="22">
        <f t="shared" si="46"/>
        <v>0</v>
      </c>
      <c r="AC44" s="22">
        <f t="shared" si="46"/>
        <v>0</v>
      </c>
      <c r="AD44" s="22">
        <f t="shared" si="46"/>
        <v>0</v>
      </c>
      <c r="AE44" s="22">
        <f t="shared" si="46"/>
        <v>0</v>
      </c>
      <c r="AF44" s="22">
        <f t="shared" si="46"/>
        <v>0</v>
      </c>
      <c r="AH44" s="22">
        <f t="shared" si="42"/>
        <v>64628</v>
      </c>
      <c r="AI44" s="22">
        <f t="shared" si="42"/>
        <v>61611</v>
      </c>
      <c r="AJ44" s="22">
        <f t="shared" si="42"/>
        <v>61204</v>
      </c>
      <c r="AK44" s="22">
        <f t="shared" si="42"/>
        <v>55249</v>
      </c>
      <c r="AL44" s="22">
        <f t="shared" si="42"/>
        <v>49815</v>
      </c>
      <c r="AM44" s="22">
        <f t="shared" si="42"/>
        <v>44829</v>
      </c>
      <c r="AN44" s="22">
        <f t="shared" si="42"/>
        <v>42298</v>
      </c>
      <c r="AO44" s="22">
        <f t="shared" si="42"/>
        <v>39002</v>
      </c>
      <c r="AP44" s="22">
        <f t="shared" si="42"/>
        <v>37074</v>
      </c>
      <c r="AQ44" s="22">
        <f t="shared" si="42"/>
        <v>39462</v>
      </c>
      <c r="AR44" s="22">
        <f t="shared" si="42"/>
        <v>40475</v>
      </c>
      <c r="AS44" s="22">
        <f t="shared" si="42"/>
        <v>35821</v>
      </c>
      <c r="AT44" s="22">
        <f t="shared" si="42"/>
        <v>34711</v>
      </c>
      <c r="AU44" s="22">
        <f t="shared" si="42"/>
        <v>31038</v>
      </c>
      <c r="AV44" s="22">
        <f t="shared" si="42"/>
        <v>27522</v>
      </c>
    </row>
    <row r="46" spans="1:48" x14ac:dyDescent="0.25">
      <c r="A46" s="14" t="s">
        <v>24</v>
      </c>
      <c r="B46" s="15">
        <f>VLOOKUP($A46,'Standardized Statements'!$A:$Q,B$4,FALSE)</f>
        <v>0</v>
      </c>
      <c r="C46" s="15">
        <f>VLOOKUP($A46,'Standardized Statements'!$A:$Q,C$4,FALSE)</f>
        <v>0</v>
      </c>
      <c r="D46" s="15">
        <f>VLOOKUP($A46,'Standardized Statements'!$A:$Q,D$4,FALSE)</f>
        <v>0</v>
      </c>
      <c r="E46" s="15">
        <f>VLOOKUP($A46,'Standardized Statements'!$A:$Q,E$4,FALSE)</f>
        <v>0</v>
      </c>
      <c r="F46" s="15">
        <f>VLOOKUP($A46,'Standardized Statements'!$A:$Q,F$4,FALSE)</f>
        <v>0</v>
      </c>
      <c r="G46" s="15">
        <f>VLOOKUP($A46,'Standardized Statements'!$A:$Q,G$4,FALSE)</f>
        <v>0</v>
      </c>
      <c r="H46" s="15">
        <f>VLOOKUP($A46,'Standardized Statements'!$A:$Q,H$4,FALSE)</f>
        <v>0</v>
      </c>
      <c r="I46" s="15">
        <f>VLOOKUP($A46,'Standardized Statements'!$A:$Q,I$4,FALSE)</f>
        <v>0</v>
      </c>
      <c r="J46" s="15">
        <f>VLOOKUP($A46,'Standardized Statements'!$A:$Q,J$4,FALSE)</f>
        <v>0</v>
      </c>
      <c r="K46" s="15">
        <f>VLOOKUP($A46,'Standardized Statements'!$A:$Q,K$4,FALSE)</f>
        <v>0</v>
      </c>
      <c r="L46" s="15">
        <f>VLOOKUP($A46,'Standardized Statements'!$A:$Q,L$4,FALSE)</f>
        <v>0</v>
      </c>
      <c r="M46" s="15">
        <f>VLOOKUP($A46,'Standardized Statements'!$A:$Q,M$4,FALSE)</f>
        <v>0</v>
      </c>
      <c r="N46" s="15">
        <f>VLOOKUP($A46,'Standardized Statements'!$A:$Q,N$4,FALSE)</f>
        <v>0</v>
      </c>
      <c r="O46" s="15">
        <f>VLOOKUP($A46,'Standardized Statements'!$A:$Q,O$4,FALSE)</f>
        <v>0</v>
      </c>
      <c r="P46" s="15">
        <f>VLOOKUP($A46,'Standardized Statements'!$A:$Q,P$4,FALSE)</f>
        <v>0</v>
      </c>
      <c r="R46" s="15"/>
      <c r="S46" s="15"/>
      <c r="T46" s="15"/>
      <c r="U46" s="15"/>
      <c r="V46" s="15"/>
      <c r="W46" s="15"/>
      <c r="X46" s="15"/>
      <c r="Y46" s="15"/>
      <c r="Z46" s="15"/>
      <c r="AA46" s="15"/>
      <c r="AB46" s="15"/>
      <c r="AC46" s="15"/>
      <c r="AD46" s="15"/>
      <c r="AE46" s="15"/>
      <c r="AF46" s="15"/>
      <c r="AH46" s="15">
        <f t="shared" ref="AH46:AV46" si="47">B46+R46</f>
        <v>0</v>
      </c>
      <c r="AI46" s="15">
        <f t="shared" si="47"/>
        <v>0</v>
      </c>
      <c r="AJ46" s="15">
        <f t="shared" si="47"/>
        <v>0</v>
      </c>
      <c r="AK46" s="15">
        <f t="shared" si="47"/>
        <v>0</v>
      </c>
      <c r="AL46" s="15">
        <f t="shared" si="47"/>
        <v>0</v>
      </c>
      <c r="AM46" s="15">
        <f t="shared" si="47"/>
        <v>0</v>
      </c>
      <c r="AN46" s="15">
        <f t="shared" si="47"/>
        <v>0</v>
      </c>
      <c r="AO46" s="15">
        <f t="shared" si="47"/>
        <v>0</v>
      </c>
      <c r="AP46" s="15">
        <f t="shared" si="47"/>
        <v>0</v>
      </c>
      <c r="AQ46" s="15">
        <f t="shared" si="47"/>
        <v>0</v>
      </c>
      <c r="AR46" s="15">
        <f t="shared" si="47"/>
        <v>0</v>
      </c>
      <c r="AS46" s="15">
        <f t="shared" si="47"/>
        <v>0</v>
      </c>
      <c r="AT46" s="15">
        <f t="shared" si="47"/>
        <v>0</v>
      </c>
      <c r="AU46" s="15">
        <f t="shared" si="47"/>
        <v>0</v>
      </c>
      <c r="AV46" s="15">
        <f t="shared" si="47"/>
        <v>0</v>
      </c>
    </row>
    <row r="47" spans="1:48" ht="15.75" thickBot="1" x14ac:dyDescent="0.3">
      <c r="A47" s="6"/>
      <c r="B47" s="28"/>
      <c r="C47" s="28"/>
      <c r="D47" s="28"/>
      <c r="E47" s="28"/>
      <c r="F47" s="28"/>
      <c r="G47" s="28"/>
      <c r="H47" s="28"/>
      <c r="I47" s="28"/>
      <c r="J47" s="28"/>
      <c r="K47" s="28"/>
      <c r="L47" s="28"/>
      <c r="M47" s="28"/>
      <c r="N47" s="28"/>
      <c r="O47" s="28"/>
      <c r="P47" s="28"/>
      <c r="R47" s="28"/>
      <c r="S47" s="28"/>
      <c r="T47" s="28"/>
      <c r="U47" s="28"/>
      <c r="V47" s="28"/>
      <c r="W47" s="28"/>
      <c r="X47" s="28"/>
      <c r="Y47" s="28"/>
      <c r="Z47" s="28"/>
      <c r="AA47" s="28"/>
      <c r="AB47" s="28"/>
      <c r="AC47" s="28"/>
      <c r="AD47" s="28"/>
      <c r="AE47" s="28"/>
      <c r="AF47" s="28"/>
      <c r="AH47" s="28"/>
      <c r="AI47" s="28"/>
      <c r="AJ47" s="28"/>
      <c r="AK47" s="28"/>
      <c r="AL47" s="28"/>
      <c r="AM47" s="28"/>
      <c r="AN47" s="28"/>
      <c r="AO47" s="28"/>
      <c r="AP47" s="28"/>
      <c r="AQ47" s="28"/>
      <c r="AR47" s="28"/>
      <c r="AS47" s="28"/>
      <c r="AT47" s="28"/>
      <c r="AU47" s="28"/>
      <c r="AV47" s="28"/>
    </row>
    <row r="48" spans="1:48" ht="15.75" thickTop="1" x14ac:dyDescent="0.25">
      <c r="A48" s="14" t="s">
        <v>5</v>
      </c>
      <c r="B48" s="22">
        <f>SUM(B38,B44,B46)</f>
        <v>174371</v>
      </c>
      <c r="C48" s="22">
        <f>SUM(C38,C44,C46)</f>
        <v>120485</v>
      </c>
      <c r="D48" s="22">
        <f>SUM(D38,D44,D46)</f>
        <v>118790</v>
      </c>
      <c r="E48" s="22">
        <f t="shared" ref="E48:J48" si="48">SUM(E38,E44,E46)</f>
        <v>106562</v>
      </c>
      <c r="F48" s="22">
        <f t="shared" si="48"/>
        <v>98579</v>
      </c>
      <c r="G48" s="22">
        <f t="shared" si="48"/>
        <v>85813</v>
      </c>
      <c r="H48" s="22">
        <f t="shared" si="48"/>
        <v>75597</v>
      </c>
      <c r="I48" s="22">
        <f t="shared" si="48"/>
        <v>65676</v>
      </c>
      <c r="J48" s="22">
        <f t="shared" si="48"/>
        <v>60173</v>
      </c>
      <c r="K48" s="22">
        <f t="shared" ref="K48:P48" si="49">SUM(K38,K44,K46)</f>
        <v>60188</v>
      </c>
      <c r="L48" s="22">
        <f t="shared" si="49"/>
        <v>59182</v>
      </c>
      <c r="M48" s="22">
        <f t="shared" si="49"/>
        <v>54363</v>
      </c>
      <c r="N48" s="22">
        <f t="shared" si="49"/>
        <v>51243</v>
      </c>
      <c r="O48" s="22">
        <f t="shared" si="49"/>
        <v>41734</v>
      </c>
      <c r="P48" s="22">
        <f t="shared" si="49"/>
        <v>35555</v>
      </c>
      <c r="R48" s="22">
        <f>SUM(R38,R44,R46)</f>
        <v>0</v>
      </c>
      <c r="S48" s="22">
        <f>SUM(S38,S44,S46)</f>
        <v>65962.780343138962</v>
      </c>
      <c r="T48" s="22">
        <f>SUM(T38,T44,T46)</f>
        <v>65397.74362858689</v>
      </c>
      <c r="U48" s="22">
        <f t="shared" ref="U48:Z48" si="50">SUM(U38,U44,U46)</f>
        <v>72780.718289695651</v>
      </c>
      <c r="V48" s="22">
        <f t="shared" si="50"/>
        <v>75305.849531665532</v>
      </c>
      <c r="W48" s="22">
        <f t="shared" si="50"/>
        <v>78071.02941591118</v>
      </c>
      <c r="X48" s="22">
        <f t="shared" si="50"/>
        <v>72742.396370077535</v>
      </c>
      <c r="Y48" s="22">
        <f t="shared" si="50"/>
        <v>58439.614999107507</v>
      </c>
      <c r="Z48" s="22">
        <f t="shared" si="50"/>
        <v>51371.111645969722</v>
      </c>
      <c r="AA48" s="22">
        <f t="shared" ref="AA48:AF48" si="51">SUM(AA38,AA44,AA46)</f>
        <v>49534.883638509469</v>
      </c>
      <c r="AB48" s="22">
        <f t="shared" si="51"/>
        <v>48839.212962919366</v>
      </c>
      <c r="AC48" s="22">
        <f t="shared" si="51"/>
        <v>47961.653549560637</v>
      </c>
      <c r="AD48" s="22">
        <f t="shared" si="51"/>
        <v>43859.151161611408</v>
      </c>
      <c r="AE48" s="22">
        <f t="shared" si="51"/>
        <v>32389.839704452355</v>
      </c>
      <c r="AF48" s="22">
        <f t="shared" si="51"/>
        <v>29125.325091278151</v>
      </c>
      <c r="AH48" s="22">
        <f t="shared" ref="AH48:AV48" si="52">B48+R48</f>
        <v>174371</v>
      </c>
      <c r="AI48" s="22">
        <f t="shared" si="52"/>
        <v>186447.78034313896</v>
      </c>
      <c r="AJ48" s="22">
        <f t="shared" si="52"/>
        <v>184187.74362858688</v>
      </c>
      <c r="AK48" s="22">
        <f t="shared" si="52"/>
        <v>179342.71828969565</v>
      </c>
      <c r="AL48" s="22">
        <f t="shared" si="52"/>
        <v>173884.84953166553</v>
      </c>
      <c r="AM48" s="22">
        <f t="shared" si="52"/>
        <v>163884.02941591118</v>
      </c>
      <c r="AN48" s="22">
        <f t="shared" si="52"/>
        <v>148339.39637007753</v>
      </c>
      <c r="AO48" s="22">
        <f t="shared" si="52"/>
        <v>124115.61499910751</v>
      </c>
      <c r="AP48" s="22">
        <f t="shared" si="52"/>
        <v>111544.11164596972</v>
      </c>
      <c r="AQ48" s="22">
        <f t="shared" si="52"/>
        <v>109722.88363850946</v>
      </c>
      <c r="AR48" s="22">
        <f t="shared" si="52"/>
        <v>108021.21296291937</v>
      </c>
      <c r="AS48" s="22">
        <f t="shared" si="52"/>
        <v>102324.65354956064</v>
      </c>
      <c r="AT48" s="22">
        <f t="shared" si="52"/>
        <v>95102.1511616114</v>
      </c>
      <c r="AU48" s="22">
        <f t="shared" si="52"/>
        <v>74123.839704452359</v>
      </c>
      <c r="AV48" s="22">
        <f t="shared" si="52"/>
        <v>64680.325091278151</v>
      </c>
    </row>
    <row r="50" spans="1:48" x14ac:dyDescent="0.25">
      <c r="A50" s="4" t="s">
        <v>65</v>
      </c>
    </row>
    <row r="51" spans="1:48" x14ac:dyDescent="0.25">
      <c r="A51" s="14" t="s">
        <v>23</v>
      </c>
      <c r="B51" s="15">
        <f>VLOOKUP($A51,'Standardized Statements'!$A:$Q,B$4,FALSE)</f>
        <v>54623</v>
      </c>
      <c r="C51" s="15">
        <f>VLOOKUP($A51,'Standardized Statements'!$A:$Q,C$4,FALSE)</f>
        <v>57069</v>
      </c>
      <c r="D51" s="15">
        <f>VLOOKUP($A51,'Standardized Statements'!$A:$Q,D$4,FALSE)</f>
        <v>58546</v>
      </c>
      <c r="E51" s="15">
        <f>VLOOKUP($A51,'Standardized Statements'!$A:$Q,E$4,FALSE)</f>
        <v>59713</v>
      </c>
      <c r="F51" s="15">
        <f>VLOOKUP($A51,'Standardized Statements'!$A:$Q,F$4,FALSE)</f>
        <v>61236</v>
      </c>
      <c r="G51" s="15">
        <f>VLOOKUP($A51,'Standardized Statements'!$A:$Q,G$4,FALSE)</f>
        <v>58049</v>
      </c>
      <c r="H51" s="15">
        <f>VLOOKUP($A51,'Standardized Statements'!$A:$Q,H$4,FALSE)</f>
        <v>51556</v>
      </c>
      <c r="I51" s="15">
        <f>VLOOKUP($A51,'Standardized Statements'!$A:$Q,I$4,FALSE)</f>
        <v>45248</v>
      </c>
      <c r="J51" s="15">
        <f>VLOOKUP($A51,'Standardized Statements'!$A:$Q,J$4,FALSE)</f>
        <v>43835</v>
      </c>
      <c r="K51" s="15">
        <f>VLOOKUP($A51,'Standardized Statements'!$A:$Q,K$4,FALSE)</f>
        <v>44104</v>
      </c>
      <c r="L51" s="15">
        <f>VLOOKUP($A51,'Standardized Statements'!$A:$Q,L$4,FALSE)</f>
        <v>44172</v>
      </c>
      <c r="M51" s="15">
        <f>VLOOKUP($A51,'Standardized Statements'!$A:$Q,M$4,FALSE)</f>
        <v>40613</v>
      </c>
      <c r="N51" s="15">
        <f>VLOOKUP($A51,'Standardized Statements'!$A:$Q,N$4,FALSE)</f>
        <v>36950</v>
      </c>
      <c r="O51" s="15">
        <f>VLOOKUP($A51,'Standardized Statements'!$A:$Q,O$4,FALSE)</f>
        <v>32093</v>
      </c>
      <c r="P51" s="15">
        <f>VLOOKUP($A51,'Standardized Statements'!$A:$Q,P$4,FALSE)</f>
        <v>27779</v>
      </c>
      <c r="R51" s="15">
        <f>'Lease adjustments'!B36</f>
        <v>0</v>
      </c>
      <c r="S51" s="15">
        <f>'Lease adjustments'!C36</f>
        <v>1.5916157281026244E-12</v>
      </c>
      <c r="T51" s="15">
        <f>'Lease adjustments'!D36</f>
        <v>6.8212102632969618E-13</v>
      </c>
      <c r="U51" s="15">
        <f>'Lease adjustments'!E36</f>
        <v>-1.4188117347657681E-12</v>
      </c>
      <c r="V51" s="15">
        <f>'Lease adjustments'!F36</f>
        <v>-2.2737367544323206E-13</v>
      </c>
      <c r="W51" s="15">
        <f>'Lease adjustments'!G36</f>
        <v>0</v>
      </c>
      <c r="X51" s="15">
        <f>'Lease adjustments'!H36</f>
        <v>-2.2737367544323206E-13</v>
      </c>
      <c r="Y51" s="15">
        <f>'Lease adjustments'!I36</f>
        <v>3.4106051316484809E-13</v>
      </c>
      <c r="Z51" s="15">
        <f>'Lease adjustments'!J36</f>
        <v>4.5474735088646412E-13</v>
      </c>
      <c r="AA51" s="15">
        <f>'Lease adjustments'!K36</f>
        <v>4.5474735088646412E-13</v>
      </c>
      <c r="AB51" s="15">
        <f>'Lease adjustments'!L36</f>
        <v>-4.5474735088646412E-13</v>
      </c>
      <c r="AC51" s="15">
        <f>'Lease adjustments'!M36</f>
        <v>0</v>
      </c>
      <c r="AD51" s="15">
        <f>'Lease adjustments'!N36</f>
        <v>6.8212102632969618E-13</v>
      </c>
      <c r="AE51" s="15">
        <f>'Lease adjustments'!O36</f>
        <v>2.2737367544323206E-13</v>
      </c>
      <c r="AF51" s="15">
        <f>'Lease adjustments'!P36</f>
        <v>0</v>
      </c>
      <c r="AH51" s="15">
        <f t="shared" ref="AH51:AV51" si="53">B51+R51</f>
        <v>54623</v>
      </c>
      <c r="AI51" s="15">
        <f t="shared" si="53"/>
        <v>57069</v>
      </c>
      <c r="AJ51" s="15">
        <f t="shared" si="53"/>
        <v>58546</v>
      </c>
      <c r="AK51" s="15">
        <f t="shared" si="53"/>
        <v>59713</v>
      </c>
      <c r="AL51" s="15">
        <f t="shared" si="53"/>
        <v>61236</v>
      </c>
      <c r="AM51" s="15">
        <f t="shared" si="53"/>
        <v>58049</v>
      </c>
      <c r="AN51" s="15">
        <f t="shared" si="53"/>
        <v>51556</v>
      </c>
      <c r="AO51" s="15">
        <f t="shared" si="53"/>
        <v>45248</v>
      </c>
      <c r="AP51" s="15">
        <f t="shared" si="53"/>
        <v>43835</v>
      </c>
      <c r="AQ51" s="15">
        <f t="shared" si="53"/>
        <v>44104</v>
      </c>
      <c r="AR51" s="15">
        <f t="shared" si="53"/>
        <v>44172</v>
      </c>
      <c r="AS51" s="15">
        <f t="shared" si="53"/>
        <v>40613</v>
      </c>
      <c r="AT51" s="15">
        <f t="shared" si="53"/>
        <v>36950</v>
      </c>
      <c r="AU51" s="15">
        <f t="shared" si="53"/>
        <v>32093</v>
      </c>
      <c r="AV51" s="15">
        <f t="shared" si="53"/>
        <v>27779</v>
      </c>
    </row>
    <row r="53" spans="1:48" x14ac:dyDescent="0.25">
      <c r="A53" s="1" t="s">
        <v>244</v>
      </c>
      <c r="B53" s="15">
        <f>VLOOKUP($A53,'Standardized Statements'!$A:$Q,B$4,FALSE)</f>
        <v>0</v>
      </c>
      <c r="C53" s="15">
        <f>VLOOKUP($A53,'Standardized Statements'!$A:$Q,C$4,FALSE)</f>
        <v>0</v>
      </c>
      <c r="D53" s="15">
        <f>VLOOKUP($A53,'Standardized Statements'!$A:$Q,D$4,FALSE)</f>
        <v>0</v>
      </c>
      <c r="E53" s="15">
        <f>VLOOKUP($A53,'Standardized Statements'!$A:$Q,E$4,FALSE)</f>
        <v>0</v>
      </c>
      <c r="F53" s="15">
        <f>VLOOKUP($A53,'Standardized Statements'!$A:$Q,F$4,FALSE)</f>
        <v>0</v>
      </c>
      <c r="G53" s="15">
        <f>VLOOKUP($A53,'Standardized Statements'!$A:$Q,G$4,FALSE)</f>
        <v>0</v>
      </c>
      <c r="H53" s="15">
        <f>VLOOKUP($A53,'Standardized Statements'!$A:$Q,H$4,FALSE)</f>
        <v>0</v>
      </c>
      <c r="I53" s="15">
        <f>VLOOKUP($A53,'Standardized Statements'!$A:$Q,I$4,FALSE)</f>
        <v>0</v>
      </c>
      <c r="J53" s="15">
        <f>VLOOKUP($A53,'Standardized Statements'!$A:$Q,J$4,FALSE)</f>
        <v>0</v>
      </c>
      <c r="K53" s="15">
        <f>VLOOKUP($A53,'Standardized Statements'!$A:$Q,K$4,FALSE)</f>
        <v>0</v>
      </c>
      <c r="L53" s="15">
        <f>VLOOKUP($A53,'Standardized Statements'!$A:$Q,L$4,FALSE)</f>
        <v>0</v>
      </c>
      <c r="M53" s="15">
        <f>VLOOKUP($A53,'Standardized Statements'!$A:$Q,M$4,FALSE)</f>
        <v>0</v>
      </c>
      <c r="N53" s="15">
        <f>VLOOKUP($A53,'Standardized Statements'!$A:$Q,N$4,FALSE)</f>
        <v>0</v>
      </c>
      <c r="O53" s="15">
        <f>VLOOKUP($A53,'Standardized Statements'!$A:$Q,O$4,FALSE)</f>
        <v>0</v>
      </c>
      <c r="P53" s="15">
        <f>VLOOKUP($A53,'Standardized Statements'!$A:$Q,P$4,FALSE)</f>
        <v>0</v>
      </c>
      <c r="R53" s="15"/>
      <c r="S53" s="15"/>
      <c r="T53" s="15"/>
      <c r="U53" s="15"/>
      <c r="V53" s="15"/>
      <c r="W53" s="15"/>
      <c r="X53" s="15"/>
      <c r="Y53" s="15"/>
      <c r="Z53" s="15"/>
      <c r="AA53" s="15"/>
      <c r="AB53" s="15"/>
      <c r="AC53" s="15"/>
      <c r="AD53" s="15"/>
      <c r="AE53" s="15"/>
      <c r="AF53" s="15"/>
      <c r="AH53" s="15">
        <f t="shared" ref="AH53:AV53" si="54">B53+R53</f>
        <v>0</v>
      </c>
      <c r="AI53" s="15">
        <f t="shared" si="54"/>
        <v>0</v>
      </c>
      <c r="AJ53" s="15">
        <f t="shared" si="54"/>
        <v>0</v>
      </c>
      <c r="AK53" s="15">
        <f t="shared" si="54"/>
        <v>0</v>
      </c>
      <c r="AL53" s="15">
        <f t="shared" si="54"/>
        <v>0</v>
      </c>
      <c r="AM53" s="15">
        <f t="shared" si="54"/>
        <v>0</v>
      </c>
      <c r="AN53" s="15">
        <f t="shared" si="54"/>
        <v>0</v>
      </c>
      <c r="AO53" s="15">
        <f t="shared" si="54"/>
        <v>0</v>
      </c>
      <c r="AP53" s="15">
        <f t="shared" si="54"/>
        <v>0</v>
      </c>
      <c r="AQ53" s="15">
        <f t="shared" si="54"/>
        <v>0</v>
      </c>
      <c r="AR53" s="15">
        <f t="shared" si="54"/>
        <v>0</v>
      </c>
      <c r="AS53" s="15">
        <f t="shared" si="54"/>
        <v>0</v>
      </c>
      <c r="AT53" s="15">
        <f t="shared" si="54"/>
        <v>0</v>
      </c>
      <c r="AU53" s="15">
        <f t="shared" si="54"/>
        <v>0</v>
      </c>
      <c r="AV53" s="15">
        <f t="shared" si="54"/>
        <v>0</v>
      </c>
    </row>
    <row r="55" spans="1:48" x14ac:dyDescent="0.25">
      <c r="A55" s="1" t="s">
        <v>20</v>
      </c>
      <c r="B55" s="15">
        <f>VLOOKUP($A55,'Standardized Statements'!$A:$Q,B$4,FALSE)</f>
        <v>0</v>
      </c>
      <c r="C55" s="15">
        <f>VLOOKUP($A55,'Standardized Statements'!$A:$Q,C$4,FALSE)</f>
        <v>0</v>
      </c>
      <c r="D55" s="15">
        <f>VLOOKUP($A55,'Standardized Statements'!$A:$Q,D$4,FALSE)</f>
        <v>0</v>
      </c>
      <c r="E55" s="15">
        <f>VLOOKUP($A55,'Standardized Statements'!$A:$Q,E$4,FALSE)</f>
        <v>0</v>
      </c>
      <c r="F55" s="15">
        <f>VLOOKUP($A55,'Standardized Statements'!$A:$Q,F$4,FALSE)</f>
        <v>0</v>
      </c>
      <c r="G55" s="15">
        <f>VLOOKUP($A55,'Standardized Statements'!$A:$Q,G$4,FALSE)</f>
        <v>0</v>
      </c>
      <c r="H55" s="15">
        <f>VLOOKUP($A55,'Standardized Statements'!$A:$Q,H$4,FALSE)</f>
        <v>0</v>
      </c>
      <c r="I55" s="15">
        <f>VLOOKUP($A55,'Standardized Statements'!$A:$Q,I$4,FALSE)</f>
        <v>0</v>
      </c>
      <c r="J55" s="15">
        <f>VLOOKUP($A55,'Standardized Statements'!$A:$Q,J$4,FALSE)</f>
        <v>0</v>
      </c>
      <c r="K55" s="15">
        <f>VLOOKUP($A55,'Standardized Statements'!$A:$Q,K$4,FALSE)</f>
        <v>0</v>
      </c>
      <c r="L55" s="15">
        <f>VLOOKUP($A55,'Standardized Statements'!$A:$Q,L$4,FALSE)</f>
        <v>0</v>
      </c>
      <c r="M55" s="15">
        <f>VLOOKUP($A55,'Standardized Statements'!$A:$Q,M$4,FALSE)</f>
        <v>0</v>
      </c>
      <c r="N55" s="15">
        <f>VLOOKUP($A55,'Standardized Statements'!$A:$Q,N$4,FALSE)</f>
        <v>0</v>
      </c>
      <c r="O55" s="15">
        <f>VLOOKUP($A55,'Standardized Statements'!$A:$Q,O$4,FALSE)</f>
        <v>0</v>
      </c>
      <c r="P55" s="15">
        <f>VLOOKUP($A55,'Standardized Statements'!$A:$Q,P$4,FALSE)</f>
        <v>0</v>
      </c>
      <c r="R55" s="15"/>
      <c r="S55" s="15"/>
      <c r="T55" s="15"/>
      <c r="U55" s="15"/>
      <c r="V55" s="15"/>
      <c r="W55" s="15"/>
      <c r="X55" s="15"/>
      <c r="Y55" s="15"/>
      <c r="Z55" s="15"/>
      <c r="AA55" s="15"/>
      <c r="AB55" s="15"/>
      <c r="AC55" s="15"/>
      <c r="AD55" s="15"/>
      <c r="AE55" s="15"/>
      <c r="AF55" s="15"/>
      <c r="AH55" s="15">
        <f t="shared" ref="AH55:AV55" si="55">B55+R55</f>
        <v>0</v>
      </c>
      <c r="AI55" s="15">
        <f t="shared" si="55"/>
        <v>0</v>
      </c>
      <c r="AJ55" s="15">
        <f t="shared" si="55"/>
        <v>0</v>
      </c>
      <c r="AK55" s="15">
        <f t="shared" si="55"/>
        <v>0</v>
      </c>
      <c r="AL55" s="15">
        <f t="shared" si="55"/>
        <v>0</v>
      </c>
      <c r="AM55" s="15">
        <f t="shared" si="55"/>
        <v>0</v>
      </c>
      <c r="AN55" s="15">
        <f t="shared" si="55"/>
        <v>0</v>
      </c>
      <c r="AO55" s="15">
        <f t="shared" si="55"/>
        <v>0</v>
      </c>
      <c r="AP55" s="15">
        <f t="shared" si="55"/>
        <v>0</v>
      </c>
      <c r="AQ55" s="15">
        <f t="shared" si="55"/>
        <v>0</v>
      </c>
      <c r="AR55" s="15">
        <f t="shared" si="55"/>
        <v>0</v>
      </c>
      <c r="AS55" s="15">
        <f t="shared" si="55"/>
        <v>0</v>
      </c>
      <c r="AT55" s="15">
        <f t="shared" si="55"/>
        <v>0</v>
      </c>
      <c r="AU55" s="15">
        <f t="shared" si="55"/>
        <v>0</v>
      </c>
      <c r="AV55" s="15">
        <f t="shared" si="55"/>
        <v>0</v>
      </c>
    </row>
    <row r="57" spans="1:48" x14ac:dyDescent="0.25">
      <c r="A57" s="6" t="s">
        <v>18</v>
      </c>
      <c r="B57" s="12">
        <f>VLOOKUP($A57,'Standardized Statements'!$A:$Q,B$4,FALSE)</f>
        <v>59503</v>
      </c>
      <c r="C57" s="12">
        <f>VLOOKUP($A57,'Standardized Statements'!$A:$Q,C$4,FALSE)</f>
        <v>11157</v>
      </c>
      <c r="D57" s="12">
        <f>VLOOKUP($A57,'Standardized Statements'!$A:$Q,D$4,FALSE)</f>
        <v>10937</v>
      </c>
      <c r="E57" s="12">
        <f>VLOOKUP($A57,'Standardized Statements'!$A:$Q,E$4,FALSE)</f>
        <v>795</v>
      </c>
      <c r="F57" s="12">
        <f>VLOOKUP($A57,'Standardized Statements'!$A:$Q,F$4,FALSE)</f>
        <v>740</v>
      </c>
      <c r="G57" s="12">
        <f>VLOOKUP($A57,'Standardized Statements'!$A:$Q,G$4,FALSE)</f>
        <v>449</v>
      </c>
      <c r="H57" s="12">
        <f>VLOOKUP($A57,'Standardized Statements'!$A:$Q,H$4,FALSE)</f>
        <v>451</v>
      </c>
      <c r="I57" s="12">
        <f>VLOOKUP($A57,'Standardized Statements'!$A:$Q,I$4,FALSE)</f>
        <v>309</v>
      </c>
      <c r="J57" s="12">
        <f>VLOOKUP($A57,'Standardized Statements'!$A:$Q,J$4,FALSE)</f>
        <v>377</v>
      </c>
      <c r="K57" s="12">
        <f>VLOOKUP($A57,'Standardized Statements'!$A:$Q,K$4,FALSE)</f>
        <v>377</v>
      </c>
      <c r="L57" s="12">
        <f>VLOOKUP($A57,'Standardized Statements'!$A:$Q,L$4,FALSE)</f>
        <v>257</v>
      </c>
      <c r="M57" s="12">
        <f>VLOOKUP($A57,'Standardized Statements'!$A:$Q,M$4,FALSE)</f>
        <v>254</v>
      </c>
      <c r="N57" s="12">
        <f>VLOOKUP($A57,'Standardized Statements'!$A:$Q,N$4,FALSE)</f>
        <v>596</v>
      </c>
      <c r="O57" s="12">
        <f>VLOOKUP($A57,'Standardized Statements'!$A:$Q,O$4,FALSE)</f>
        <v>156</v>
      </c>
      <c r="P57" s="12">
        <f>VLOOKUP($A57,'Standardized Statements'!$A:$Q,P$4,FALSE)</f>
        <v>130</v>
      </c>
      <c r="R57" s="12">
        <f>'Lease adjustments'!B34</f>
        <v>0</v>
      </c>
      <c r="S57" s="12">
        <f>'Lease adjustments'!C34</f>
        <v>51048.035950001744</v>
      </c>
      <c r="T57" s="12">
        <f>'Lease adjustments'!D34</f>
        <v>50471.698501158637</v>
      </c>
      <c r="U57" s="12">
        <f>'Lease adjustments'!E34</f>
        <v>58017.332655489561</v>
      </c>
      <c r="V57" s="12">
        <f>'Lease adjustments'!F34</f>
        <v>60781.619447064673</v>
      </c>
      <c r="W57" s="12">
        <f>'Lease adjustments'!G34</f>
        <v>65123.55654835327</v>
      </c>
      <c r="X57" s="12">
        <f>'Lease adjustments'!H34</f>
        <v>60914.501901109004</v>
      </c>
      <c r="Y57" s="12">
        <f>'Lease adjustments'!I34</f>
        <v>48303.846914088761</v>
      </c>
      <c r="Z57" s="12">
        <f>'Lease adjustments'!J34</f>
        <v>42241.477211420155</v>
      </c>
      <c r="AA57" s="12">
        <f>'Lease adjustments'!K34</f>
        <v>41177.999914941771</v>
      </c>
      <c r="AB57" s="12">
        <f>'Lease adjustments'!L34</f>
        <v>40660.710925881111</v>
      </c>
      <c r="AC57" s="12">
        <f>'Lease adjustments'!M34</f>
        <v>40041.483982822232</v>
      </c>
      <c r="AD57" s="12">
        <f>'Lease adjustments'!N34</f>
        <v>37199.897446434406</v>
      </c>
      <c r="AE57" s="12">
        <f>'Lease adjustments'!O34</f>
        <v>27127.357090413851</v>
      </c>
      <c r="AF57" s="12">
        <f>'Lease adjustments'!P34</f>
        <v>24916.43939529439</v>
      </c>
      <c r="AH57" s="12">
        <f t="shared" ref="AH57:AV61" si="56">B57+R57</f>
        <v>59503</v>
      </c>
      <c r="AI57" s="12">
        <f t="shared" si="56"/>
        <v>62205.035950001744</v>
      </c>
      <c r="AJ57" s="12">
        <f t="shared" si="56"/>
        <v>61408.698501158637</v>
      </c>
      <c r="AK57" s="12">
        <f t="shared" si="56"/>
        <v>58812.332655489561</v>
      </c>
      <c r="AL57" s="12">
        <f t="shared" si="56"/>
        <v>61521.619447064673</v>
      </c>
      <c r="AM57" s="12">
        <f t="shared" si="56"/>
        <v>65572.55654835327</v>
      </c>
      <c r="AN57" s="12">
        <f t="shared" si="56"/>
        <v>61365.501901109004</v>
      </c>
      <c r="AO57" s="12">
        <f t="shared" si="56"/>
        <v>48612.846914088761</v>
      </c>
      <c r="AP57" s="12">
        <f t="shared" si="56"/>
        <v>42618.477211420155</v>
      </c>
      <c r="AQ57" s="12">
        <f t="shared" si="56"/>
        <v>41554.999914941771</v>
      </c>
      <c r="AR57" s="12">
        <f t="shared" si="56"/>
        <v>40917.710925881111</v>
      </c>
      <c r="AS57" s="12">
        <f t="shared" si="56"/>
        <v>40295.483982822232</v>
      </c>
      <c r="AT57" s="12">
        <f t="shared" si="56"/>
        <v>37795.897446434406</v>
      </c>
      <c r="AU57" s="12">
        <f t="shared" si="56"/>
        <v>27283.357090413851</v>
      </c>
      <c r="AV57" s="12">
        <f t="shared" si="56"/>
        <v>25046.43939529439</v>
      </c>
    </row>
    <row r="58" spans="1:48" x14ac:dyDescent="0.25">
      <c r="A58" s="6" t="s">
        <v>243</v>
      </c>
      <c r="B58" s="12">
        <f>VLOOKUP($A58,'Standardized Statements'!$A:$Q,B$4,FALSE)</f>
        <v>3988</v>
      </c>
      <c r="C58" s="12">
        <f>VLOOKUP($A58,'Standardized Statements'!$A:$Q,C$4,FALSE)</f>
        <v>4423</v>
      </c>
      <c r="D58" s="12">
        <f>VLOOKUP($A58,'Standardized Statements'!$A:$Q,D$4,FALSE)</f>
        <v>5088</v>
      </c>
      <c r="E58" s="12">
        <f>VLOOKUP($A58,'Standardized Statements'!$A:$Q,E$4,FALSE)</f>
        <v>5331</v>
      </c>
      <c r="F58" s="12">
        <f>VLOOKUP($A58,'Standardized Statements'!$A:$Q,F$4,FALSE)</f>
        <v>4898</v>
      </c>
      <c r="G58" s="12">
        <f>VLOOKUP($A58,'Standardized Statements'!$A:$Q,G$4,FALSE)</f>
        <v>4378</v>
      </c>
      <c r="H58" s="12">
        <f>VLOOKUP($A58,'Standardized Statements'!$A:$Q,H$4,FALSE)</f>
        <v>3287</v>
      </c>
      <c r="I58" s="12">
        <f>VLOOKUP($A58,'Standardized Statements'!$A:$Q,I$4,FALSE)</f>
        <v>2722</v>
      </c>
      <c r="J58" s="12">
        <f>VLOOKUP($A58,'Standardized Statements'!$A:$Q,J$4,FALSE)</f>
        <v>1951</v>
      </c>
      <c r="K58" s="12">
        <f>VLOOKUP($A58,'Standardized Statements'!$A:$Q,K$4,FALSE)</f>
        <v>950</v>
      </c>
      <c r="L58" s="12">
        <f>VLOOKUP($A58,'Standardized Statements'!$A:$Q,L$4,FALSE)</f>
        <v>906</v>
      </c>
      <c r="M58" s="12">
        <f>VLOOKUP($A58,'Standardized Statements'!$A:$Q,M$4,FALSE)</f>
        <v>2038</v>
      </c>
      <c r="N58" s="12">
        <f>VLOOKUP($A58,'Standardized Statements'!$A:$Q,N$4,FALSE)</f>
        <v>1818</v>
      </c>
      <c r="O58" s="12">
        <f>VLOOKUP($A58,'Standardized Statements'!$A:$Q,O$4,FALSE)</f>
        <v>651</v>
      </c>
      <c r="P58" s="12">
        <f>VLOOKUP($A58,'Standardized Statements'!$A:$Q,P$4,FALSE)</f>
        <v>650</v>
      </c>
      <c r="R58" s="12">
        <f>MAX(-B58,'Lease adjustments'!B35)</f>
        <v>0</v>
      </c>
      <c r="S58" s="12">
        <f>MAX(-C58,'Lease adjustments'!C35)</f>
        <v>0</v>
      </c>
      <c r="T58" s="12">
        <f>MAX(-D58,'Lease adjustments'!D35)</f>
        <v>0</v>
      </c>
      <c r="U58" s="12">
        <f>MAX(-E58,'Lease adjustments'!E35)</f>
        <v>-4.0017766878008843E-13</v>
      </c>
      <c r="V58" s="12">
        <f>MAX(-F58,'Lease adjustments'!F35)</f>
        <v>0</v>
      </c>
      <c r="W58" s="12">
        <f>MAX(-G58,'Lease adjustments'!G35)</f>
        <v>0</v>
      </c>
      <c r="X58" s="12">
        <f>MAX(-H58,'Lease adjustments'!H35)</f>
        <v>0</v>
      </c>
      <c r="Y58" s="12">
        <f>MAX(-I58,'Lease adjustments'!I35)</f>
        <v>0</v>
      </c>
      <c r="Z58" s="12">
        <f>MAX(-J58,'Lease adjustments'!J35)</f>
        <v>0</v>
      </c>
      <c r="AA58" s="12">
        <f>MAX(-K58,'Lease adjustments'!K35)</f>
        <v>0</v>
      </c>
      <c r="AB58" s="12">
        <f>MAX(-L58,'Lease adjustments'!L35)</f>
        <v>0</v>
      </c>
      <c r="AC58" s="12">
        <f>MAX(-M58,'Lease adjustments'!M35)</f>
        <v>0</v>
      </c>
      <c r="AD58" s="12">
        <f>MAX(-N58,'Lease adjustments'!N35)</f>
        <v>0</v>
      </c>
      <c r="AE58" s="12">
        <f>MAX(-O58,'Lease adjustments'!O35)</f>
        <v>0</v>
      </c>
      <c r="AF58" s="12">
        <f>MAX(-P58,'Lease adjustments'!P35)</f>
        <v>-650</v>
      </c>
      <c r="AH58" s="12">
        <f t="shared" si="56"/>
        <v>3988</v>
      </c>
      <c r="AI58" s="12">
        <f t="shared" si="56"/>
        <v>4423</v>
      </c>
      <c r="AJ58" s="12">
        <f t="shared" si="56"/>
        <v>5088</v>
      </c>
      <c r="AK58" s="12">
        <f t="shared" si="56"/>
        <v>5331</v>
      </c>
      <c r="AL58" s="12">
        <f t="shared" si="56"/>
        <v>4898</v>
      </c>
      <c r="AM58" s="12">
        <f t="shared" si="56"/>
        <v>4378</v>
      </c>
      <c r="AN58" s="12">
        <f t="shared" si="56"/>
        <v>3287</v>
      </c>
      <c r="AO58" s="12">
        <f t="shared" si="56"/>
        <v>2722</v>
      </c>
      <c r="AP58" s="12">
        <f t="shared" si="56"/>
        <v>1951</v>
      </c>
      <c r="AQ58" s="12">
        <f t="shared" si="56"/>
        <v>950</v>
      </c>
      <c r="AR58" s="12">
        <f t="shared" si="56"/>
        <v>906</v>
      </c>
      <c r="AS58" s="12">
        <f t="shared" si="56"/>
        <v>2038</v>
      </c>
      <c r="AT58" s="12">
        <f t="shared" si="56"/>
        <v>1818</v>
      </c>
      <c r="AU58" s="12">
        <f t="shared" si="56"/>
        <v>651</v>
      </c>
      <c r="AV58" s="12">
        <f t="shared" si="56"/>
        <v>0</v>
      </c>
    </row>
    <row r="59" spans="1:48" x14ac:dyDescent="0.25">
      <c r="A59" s="6" t="s">
        <v>28</v>
      </c>
      <c r="B59" s="12">
        <f>VLOOKUP($A59,'Standardized Statements'!$A:$Q,B$4,FALSE)</f>
        <v>560</v>
      </c>
      <c r="C59" s="12">
        <f>VLOOKUP($A59,'Standardized Statements'!$A:$Q,C$4,FALSE)</f>
        <v>479</v>
      </c>
      <c r="D59" s="12">
        <f>VLOOKUP($A59,'Standardized Statements'!$A:$Q,D$4,FALSE)</f>
        <v>238</v>
      </c>
      <c r="E59" s="12">
        <f>VLOOKUP($A59,'Standardized Statements'!$A:$Q,E$4,FALSE)</f>
        <v>903</v>
      </c>
      <c r="F59" s="12">
        <f>VLOOKUP($A59,'Standardized Statements'!$A:$Q,F$4,FALSE)</f>
        <v>1176</v>
      </c>
      <c r="G59" s="12">
        <f>VLOOKUP($A59,'Standardized Statements'!$A:$Q,G$4,FALSE)</f>
        <v>302</v>
      </c>
      <c r="H59" s="12">
        <f>VLOOKUP($A59,'Standardized Statements'!$A:$Q,H$4,FALSE)</f>
        <v>254</v>
      </c>
      <c r="I59" s="12">
        <f>VLOOKUP($A59,'Standardized Statements'!$A:$Q,I$4,FALSE)</f>
        <v>285</v>
      </c>
      <c r="J59" s="12">
        <f>VLOOKUP($A59,'Standardized Statements'!$A:$Q,J$4,FALSE)</f>
        <v>222</v>
      </c>
      <c r="K59" s="12">
        <f>VLOOKUP($A59,'Standardized Statements'!$A:$Q,K$4,FALSE)</f>
        <v>150</v>
      </c>
      <c r="L59" s="12">
        <f>VLOOKUP($A59,'Standardized Statements'!$A:$Q,L$4,FALSE)</f>
        <v>176</v>
      </c>
      <c r="M59" s="12">
        <f>VLOOKUP($A59,'Standardized Statements'!$A:$Q,M$4,FALSE)</f>
        <v>335</v>
      </c>
      <c r="N59" s="12">
        <f>VLOOKUP($A59,'Standardized Statements'!$A:$Q,N$4,FALSE)</f>
        <v>1234</v>
      </c>
      <c r="O59" s="12">
        <f>VLOOKUP($A59,'Standardized Statements'!$A:$Q,O$4,FALSE)</f>
        <v>132</v>
      </c>
      <c r="P59" s="12">
        <f>VLOOKUP($A59,'Standardized Statements'!$A:$Q,P$4,FALSE)</f>
        <v>0</v>
      </c>
      <c r="R59" s="12"/>
      <c r="S59" s="12"/>
      <c r="T59" s="12"/>
      <c r="U59" s="12"/>
      <c r="V59" s="12"/>
      <c r="W59" s="12"/>
      <c r="X59" s="12"/>
      <c r="Y59" s="12"/>
      <c r="Z59" s="12"/>
      <c r="AA59" s="12"/>
      <c r="AB59" s="12"/>
      <c r="AC59" s="12"/>
      <c r="AD59" s="12"/>
      <c r="AE59" s="12"/>
      <c r="AF59" s="12"/>
      <c r="AH59" s="12">
        <f t="shared" si="56"/>
        <v>560</v>
      </c>
      <c r="AI59" s="12">
        <f t="shared" si="56"/>
        <v>479</v>
      </c>
      <c r="AJ59" s="12">
        <f t="shared" si="56"/>
        <v>238</v>
      </c>
      <c r="AK59" s="12">
        <f t="shared" si="56"/>
        <v>903</v>
      </c>
      <c r="AL59" s="12">
        <f t="shared" si="56"/>
        <v>1176</v>
      </c>
      <c r="AM59" s="12">
        <f t="shared" si="56"/>
        <v>302</v>
      </c>
      <c r="AN59" s="12">
        <f t="shared" si="56"/>
        <v>254</v>
      </c>
      <c r="AO59" s="12">
        <f t="shared" si="56"/>
        <v>285</v>
      </c>
      <c r="AP59" s="12">
        <f t="shared" si="56"/>
        <v>222</v>
      </c>
      <c r="AQ59" s="12">
        <f t="shared" si="56"/>
        <v>150</v>
      </c>
      <c r="AR59" s="12">
        <f t="shared" si="56"/>
        <v>176</v>
      </c>
      <c r="AS59" s="12">
        <f t="shared" si="56"/>
        <v>335</v>
      </c>
      <c r="AT59" s="12">
        <f t="shared" si="56"/>
        <v>1234</v>
      </c>
      <c r="AU59" s="12">
        <f t="shared" si="56"/>
        <v>132</v>
      </c>
      <c r="AV59" s="12">
        <f t="shared" si="56"/>
        <v>0</v>
      </c>
    </row>
    <row r="60" spans="1:48" ht="30" x14ac:dyDescent="0.25">
      <c r="A60" s="6" t="s">
        <v>19</v>
      </c>
      <c r="B60" s="13">
        <f>VLOOKUP($A60,'Standardized Statements'!$A:$Q,B$4,FALSE)</f>
        <v>0</v>
      </c>
      <c r="C60" s="13">
        <f>VLOOKUP($A60,'Standardized Statements'!$A:$Q,C$4,FALSE)</f>
        <v>0</v>
      </c>
      <c r="D60" s="13">
        <f>VLOOKUP($A60,'Standardized Statements'!$A:$Q,D$4,FALSE)</f>
        <v>0</v>
      </c>
      <c r="E60" s="13">
        <f>VLOOKUP($A60,'Standardized Statements'!$A:$Q,E$4,FALSE)</f>
        <v>0</v>
      </c>
      <c r="F60" s="13">
        <f>VLOOKUP($A60,'Standardized Statements'!$A:$Q,F$4,FALSE)</f>
        <v>0</v>
      </c>
      <c r="G60" s="13">
        <f>VLOOKUP($A60,'Standardized Statements'!$A:$Q,G$4,FALSE)</f>
        <v>0</v>
      </c>
      <c r="H60" s="13">
        <f>VLOOKUP($A60,'Standardized Statements'!$A:$Q,H$4,FALSE)</f>
        <v>0</v>
      </c>
      <c r="I60" s="13">
        <f>VLOOKUP($A60,'Standardized Statements'!$A:$Q,I$4,FALSE)</f>
        <v>0</v>
      </c>
      <c r="J60" s="13">
        <f>VLOOKUP($A60,'Standardized Statements'!$A:$Q,J$4,FALSE)</f>
        <v>0</v>
      </c>
      <c r="K60" s="13">
        <f>VLOOKUP($A60,'Standardized Statements'!$A:$Q,K$4,FALSE)</f>
        <v>0</v>
      </c>
      <c r="L60" s="13">
        <f>VLOOKUP($A60,'Standardized Statements'!$A:$Q,L$4,FALSE)</f>
        <v>0</v>
      </c>
      <c r="M60" s="13">
        <f>VLOOKUP($A60,'Standardized Statements'!$A:$Q,M$4,FALSE)</f>
        <v>0</v>
      </c>
      <c r="N60" s="13">
        <f>VLOOKUP($A60,'Standardized Statements'!$A:$Q,N$4,FALSE)</f>
        <v>0</v>
      </c>
      <c r="O60" s="13">
        <f>VLOOKUP($A60,'Standardized Statements'!$A:$Q,O$4,FALSE)</f>
        <v>0</v>
      </c>
      <c r="P60" s="13">
        <f>VLOOKUP($A60,'Standardized Statements'!$A:$Q,P$4,FALSE)</f>
        <v>0</v>
      </c>
      <c r="R60" s="13"/>
      <c r="S60" s="13"/>
      <c r="T60" s="13"/>
      <c r="U60" s="13"/>
      <c r="V60" s="13"/>
      <c r="W60" s="13"/>
      <c r="X60" s="13"/>
      <c r="Y60" s="13"/>
      <c r="Z60" s="13"/>
      <c r="AA60" s="13"/>
      <c r="AB60" s="13"/>
      <c r="AC60" s="13"/>
      <c r="AD60" s="13"/>
      <c r="AE60" s="13"/>
      <c r="AF60" s="13"/>
      <c r="AH60" s="13">
        <f t="shared" si="56"/>
        <v>0</v>
      </c>
      <c r="AI60" s="13">
        <f t="shared" si="56"/>
        <v>0</v>
      </c>
      <c r="AJ60" s="13">
        <f t="shared" si="56"/>
        <v>0</v>
      </c>
      <c r="AK60" s="13">
        <f t="shared" si="56"/>
        <v>0</v>
      </c>
      <c r="AL60" s="13">
        <f t="shared" si="56"/>
        <v>0</v>
      </c>
      <c r="AM60" s="13">
        <f t="shared" si="56"/>
        <v>0</v>
      </c>
      <c r="AN60" s="13">
        <f t="shared" si="56"/>
        <v>0</v>
      </c>
      <c r="AO60" s="13">
        <f t="shared" si="56"/>
        <v>0</v>
      </c>
      <c r="AP60" s="13">
        <f t="shared" si="56"/>
        <v>0</v>
      </c>
      <c r="AQ60" s="13">
        <f t="shared" si="56"/>
        <v>0</v>
      </c>
      <c r="AR60" s="13">
        <f t="shared" si="56"/>
        <v>0</v>
      </c>
      <c r="AS60" s="13">
        <f t="shared" si="56"/>
        <v>0</v>
      </c>
      <c r="AT60" s="13">
        <f t="shared" si="56"/>
        <v>0</v>
      </c>
      <c r="AU60" s="13">
        <f t="shared" si="56"/>
        <v>0</v>
      </c>
      <c r="AV60" s="13">
        <f t="shared" si="56"/>
        <v>0</v>
      </c>
    </row>
    <row r="61" spans="1:48" x14ac:dyDescent="0.25">
      <c r="A61" s="14" t="s">
        <v>66</v>
      </c>
      <c r="B61" s="22">
        <f>SUM(B57:B60)</f>
        <v>64051</v>
      </c>
      <c r="C61" s="22">
        <f>SUM(C57:C60)</f>
        <v>16059</v>
      </c>
      <c r="D61" s="22">
        <f>SUM(D57:D60)</f>
        <v>16263</v>
      </c>
      <c r="E61" s="22">
        <f t="shared" ref="E61:J61" si="57">SUM(E57:E60)</f>
        <v>7029</v>
      </c>
      <c r="F61" s="22">
        <f t="shared" si="57"/>
        <v>6814</v>
      </c>
      <c r="G61" s="22">
        <f t="shared" si="57"/>
        <v>5129</v>
      </c>
      <c r="H61" s="22">
        <f t="shared" si="57"/>
        <v>3992</v>
      </c>
      <c r="I61" s="22">
        <f t="shared" si="57"/>
        <v>3316</v>
      </c>
      <c r="J61" s="22">
        <f t="shared" si="57"/>
        <v>2550</v>
      </c>
      <c r="K61" s="22">
        <f t="shared" ref="K61:P61" si="58">SUM(K57:K60)</f>
        <v>1477</v>
      </c>
      <c r="L61" s="22">
        <f t="shared" si="58"/>
        <v>1339</v>
      </c>
      <c r="M61" s="22">
        <f t="shared" si="58"/>
        <v>2627</v>
      </c>
      <c r="N61" s="22">
        <f t="shared" si="58"/>
        <v>3648</v>
      </c>
      <c r="O61" s="22">
        <f t="shared" si="58"/>
        <v>939</v>
      </c>
      <c r="P61" s="22">
        <f t="shared" si="58"/>
        <v>780</v>
      </c>
      <c r="R61" s="22">
        <f>SUM(R57:R60)</f>
        <v>0</v>
      </c>
      <c r="S61" s="22">
        <f>SUM(S57:S60)</f>
        <v>51048.035950001744</v>
      </c>
      <c r="T61" s="22">
        <f>SUM(T57:T60)</f>
        <v>50471.698501158637</v>
      </c>
      <c r="U61" s="22">
        <f t="shared" ref="U61:Z61" si="59">SUM(U57:U60)</f>
        <v>58017.332655489561</v>
      </c>
      <c r="V61" s="22">
        <f t="shared" si="59"/>
        <v>60781.619447064673</v>
      </c>
      <c r="W61" s="22">
        <f t="shared" si="59"/>
        <v>65123.55654835327</v>
      </c>
      <c r="X61" s="22">
        <f t="shared" si="59"/>
        <v>60914.501901109004</v>
      </c>
      <c r="Y61" s="22">
        <f t="shared" si="59"/>
        <v>48303.846914088761</v>
      </c>
      <c r="Z61" s="22">
        <f t="shared" si="59"/>
        <v>42241.477211420155</v>
      </c>
      <c r="AA61" s="22">
        <f t="shared" ref="AA61:AF61" si="60">SUM(AA57:AA60)</f>
        <v>41177.999914941771</v>
      </c>
      <c r="AB61" s="22">
        <f t="shared" si="60"/>
        <v>40660.710925881111</v>
      </c>
      <c r="AC61" s="22">
        <f t="shared" si="60"/>
        <v>40041.483982822232</v>
      </c>
      <c r="AD61" s="22">
        <f t="shared" si="60"/>
        <v>37199.897446434406</v>
      </c>
      <c r="AE61" s="22">
        <f t="shared" si="60"/>
        <v>27127.357090413851</v>
      </c>
      <c r="AF61" s="22">
        <f t="shared" si="60"/>
        <v>24266.43939529439</v>
      </c>
      <c r="AH61" s="22">
        <f t="shared" si="56"/>
        <v>64051</v>
      </c>
      <c r="AI61" s="22">
        <f t="shared" si="56"/>
        <v>67107.035950001737</v>
      </c>
      <c r="AJ61" s="22">
        <f t="shared" si="56"/>
        <v>66734.698501158637</v>
      </c>
      <c r="AK61" s="22">
        <f t="shared" si="56"/>
        <v>65046.332655489561</v>
      </c>
      <c r="AL61" s="22">
        <f t="shared" si="56"/>
        <v>67595.619447064673</v>
      </c>
      <c r="AM61" s="22">
        <f t="shared" si="56"/>
        <v>70252.55654835327</v>
      </c>
      <c r="AN61" s="22">
        <f t="shared" si="56"/>
        <v>64906.501901109004</v>
      </c>
      <c r="AO61" s="22">
        <f t="shared" si="56"/>
        <v>51619.846914088761</v>
      </c>
      <c r="AP61" s="22">
        <f t="shared" si="56"/>
        <v>44791.477211420155</v>
      </c>
      <c r="AQ61" s="22">
        <f t="shared" si="56"/>
        <v>42654.999914941771</v>
      </c>
      <c r="AR61" s="22">
        <f t="shared" si="56"/>
        <v>41999.710925881111</v>
      </c>
      <c r="AS61" s="22">
        <f t="shared" si="56"/>
        <v>42668.483982822232</v>
      </c>
      <c r="AT61" s="22">
        <f t="shared" si="56"/>
        <v>40847.897446434406</v>
      </c>
      <c r="AU61" s="22">
        <f t="shared" si="56"/>
        <v>28066.357090413851</v>
      </c>
      <c r="AV61" s="22">
        <f t="shared" si="56"/>
        <v>25046.43939529439</v>
      </c>
    </row>
    <row r="63" spans="1:48" x14ac:dyDescent="0.25">
      <c r="A63" s="6" t="s">
        <v>17</v>
      </c>
      <c r="B63" s="12">
        <f>VLOOKUP($A63,'Standardized Statements'!$A:$Q,B$4,FALSE)</f>
        <v>9511</v>
      </c>
      <c r="C63" s="12">
        <f>VLOOKUP($A63,'Standardized Statements'!$A:$Q,C$4,FALSE)</f>
        <v>7838</v>
      </c>
      <c r="D63" s="12">
        <f>VLOOKUP($A63,'Standardized Statements'!$A:$Q,D$4,FALSE)</f>
        <v>6800</v>
      </c>
      <c r="E63" s="12">
        <f>VLOOKUP($A63,'Standardized Statements'!$A:$Q,E$4,FALSE)</f>
        <v>7215</v>
      </c>
      <c r="F63" s="12">
        <f>VLOOKUP($A63,'Standardized Statements'!$A:$Q,F$4,FALSE)</f>
        <v>7262</v>
      </c>
      <c r="G63" s="12">
        <f>VLOOKUP($A63,'Standardized Statements'!$A:$Q,G$4,FALSE)</f>
        <v>6000</v>
      </c>
      <c r="H63" s="12">
        <f>VLOOKUP($A63,'Standardized Statements'!$A:$Q,H$4,FALSE)</f>
        <v>5520</v>
      </c>
      <c r="I63" s="12">
        <f>VLOOKUP($A63,'Standardized Statements'!$A:$Q,I$4,FALSE)</f>
        <v>4870</v>
      </c>
      <c r="J63" s="12">
        <f>VLOOKUP($A63,'Standardized Statements'!$A:$Q,J$4,FALSE)</f>
        <v>4234</v>
      </c>
      <c r="K63" s="12">
        <f>VLOOKUP($A63,'Standardized Statements'!$A:$Q,K$4,FALSE)</f>
        <v>4307</v>
      </c>
      <c r="L63" s="12">
        <f>VLOOKUP($A63,'Standardized Statements'!$A:$Q,L$4,FALSE)</f>
        <v>3965</v>
      </c>
      <c r="M63" s="12">
        <f>VLOOKUP($A63,'Standardized Statements'!$A:$Q,M$4,FALSE)</f>
        <v>3667</v>
      </c>
      <c r="N63" s="12">
        <f>VLOOKUP($A63,'Standardized Statements'!$A:$Q,N$4,FALSE)</f>
        <v>3658</v>
      </c>
      <c r="O63" s="12">
        <f>VLOOKUP($A63,'Standardized Statements'!$A:$Q,O$4,FALSE)</f>
        <v>2483</v>
      </c>
      <c r="P63" s="12">
        <f>VLOOKUP($A63,'Standardized Statements'!$A:$Q,P$4,FALSE)</f>
        <v>1942</v>
      </c>
      <c r="R63" s="12"/>
      <c r="S63" s="12"/>
      <c r="T63" s="12"/>
      <c r="U63" s="12"/>
      <c r="V63" s="12"/>
      <c r="W63" s="12"/>
      <c r="X63" s="12"/>
      <c r="Y63" s="12"/>
      <c r="Z63" s="12"/>
      <c r="AA63" s="12"/>
      <c r="AB63" s="12"/>
      <c r="AC63" s="12"/>
      <c r="AD63" s="12"/>
      <c r="AE63" s="12"/>
      <c r="AF63" s="12"/>
      <c r="AH63" s="12">
        <f t="shared" ref="AH63:AV66" si="61">B63+R63</f>
        <v>9511</v>
      </c>
      <c r="AI63" s="12">
        <f t="shared" si="61"/>
        <v>7838</v>
      </c>
      <c r="AJ63" s="12">
        <f t="shared" si="61"/>
        <v>6800</v>
      </c>
      <c r="AK63" s="12">
        <f t="shared" si="61"/>
        <v>7215</v>
      </c>
      <c r="AL63" s="12">
        <f t="shared" si="61"/>
        <v>7262</v>
      </c>
      <c r="AM63" s="12">
        <f t="shared" si="61"/>
        <v>6000</v>
      </c>
      <c r="AN63" s="12">
        <f t="shared" si="61"/>
        <v>5520</v>
      </c>
      <c r="AO63" s="12">
        <f t="shared" si="61"/>
        <v>4870</v>
      </c>
      <c r="AP63" s="12">
        <f t="shared" si="61"/>
        <v>4234</v>
      </c>
      <c r="AQ63" s="12">
        <f t="shared" si="61"/>
        <v>4307</v>
      </c>
      <c r="AR63" s="12">
        <f t="shared" si="61"/>
        <v>3965</v>
      </c>
      <c r="AS63" s="12">
        <f t="shared" si="61"/>
        <v>3667</v>
      </c>
      <c r="AT63" s="12">
        <f t="shared" si="61"/>
        <v>3658</v>
      </c>
      <c r="AU63" s="12">
        <f t="shared" si="61"/>
        <v>2483</v>
      </c>
      <c r="AV63" s="12">
        <f t="shared" si="61"/>
        <v>1942</v>
      </c>
    </row>
    <row r="64" spans="1:48" x14ac:dyDescent="0.25">
      <c r="A64" s="6" t="s">
        <v>4</v>
      </c>
      <c r="B64" s="12">
        <f>VLOOKUP($A64,'Standardized Statements'!$A:$Q,B$4,FALSE)</f>
        <v>25012</v>
      </c>
      <c r="C64" s="12">
        <f>VLOOKUP($A64,'Standardized Statements'!$A:$Q,C$4,FALSE)</f>
        <v>32468</v>
      </c>
      <c r="D64" s="12">
        <f>VLOOKUP($A64,'Standardized Statements'!$A:$Q,D$4,FALSE)</f>
        <v>27892</v>
      </c>
      <c r="E64" s="12">
        <f>VLOOKUP($A64,'Standardized Statements'!$A:$Q,E$4,FALSE)</f>
        <v>22735</v>
      </c>
      <c r="F64" s="12">
        <f>VLOOKUP($A64,'Standardized Statements'!$A:$Q,F$4,FALSE)</f>
        <v>21140</v>
      </c>
      <c r="G64" s="12">
        <f>VLOOKUP($A64,'Standardized Statements'!$A:$Q,G$4,FALSE)</f>
        <v>16635</v>
      </c>
      <c r="H64" s="12">
        <f>VLOOKUP($A64,'Standardized Statements'!$A:$Q,H$4,FALSE)</f>
        <v>14529</v>
      </c>
      <c r="I64" s="12">
        <f>VLOOKUP($A64,'Standardized Statements'!$A:$Q,I$4,FALSE)</f>
        <v>12242</v>
      </c>
      <c r="J64" s="12">
        <f>VLOOKUP($A64,'Standardized Statements'!$A:$Q,J$4,FALSE)</f>
        <v>9554</v>
      </c>
      <c r="K64" s="12">
        <f>VLOOKUP($A64,'Standardized Statements'!$A:$Q,K$4,FALSE)</f>
        <v>10300</v>
      </c>
      <c r="L64" s="12">
        <f>VLOOKUP($A64,'Standardized Statements'!$A:$Q,L$4,FALSE)</f>
        <v>9706</v>
      </c>
      <c r="M64" s="12">
        <f>VLOOKUP($A64,'Standardized Statements'!$A:$Q,M$4,FALSE)</f>
        <v>7088</v>
      </c>
      <c r="N64" s="12">
        <f>VLOOKUP($A64,'Standardized Statements'!$A:$Q,N$4,FALSE)</f>
        <v>6987</v>
      </c>
      <c r="O64" s="12">
        <f>VLOOKUP($A64,'Standardized Statements'!$A:$Q,O$4,FALSE)</f>
        <v>6219</v>
      </c>
      <c r="P64" s="12">
        <f>VLOOKUP($A64,'Standardized Statements'!$A:$Q,P$4,FALSE)</f>
        <v>5054</v>
      </c>
      <c r="R64" s="12"/>
      <c r="S64" s="12"/>
      <c r="T64" s="12"/>
      <c r="U64" s="12"/>
      <c r="V64" s="12"/>
      <c r="W64" s="12"/>
      <c r="X64" s="12"/>
      <c r="Y64" s="12"/>
      <c r="Z64" s="12"/>
      <c r="AA64" s="12"/>
      <c r="AB64" s="12"/>
      <c r="AC64" s="12"/>
      <c r="AD64" s="12"/>
      <c r="AE64" s="12"/>
      <c r="AF64" s="12"/>
      <c r="AH64" s="12">
        <f t="shared" si="61"/>
        <v>25012</v>
      </c>
      <c r="AI64" s="12">
        <f t="shared" si="61"/>
        <v>32468</v>
      </c>
      <c r="AJ64" s="12">
        <f t="shared" si="61"/>
        <v>27892</v>
      </c>
      <c r="AK64" s="12">
        <f t="shared" si="61"/>
        <v>22735</v>
      </c>
      <c r="AL64" s="12">
        <f t="shared" si="61"/>
        <v>21140</v>
      </c>
      <c r="AM64" s="12">
        <f t="shared" si="61"/>
        <v>16635</v>
      </c>
      <c r="AN64" s="12">
        <f t="shared" si="61"/>
        <v>14529</v>
      </c>
      <c r="AO64" s="12">
        <f t="shared" si="61"/>
        <v>12242</v>
      </c>
      <c r="AP64" s="12">
        <f t="shared" si="61"/>
        <v>9554</v>
      </c>
      <c r="AQ64" s="12">
        <f t="shared" si="61"/>
        <v>10300</v>
      </c>
      <c r="AR64" s="12">
        <f t="shared" si="61"/>
        <v>9706</v>
      </c>
      <c r="AS64" s="12">
        <f t="shared" si="61"/>
        <v>7088</v>
      </c>
      <c r="AT64" s="12">
        <f t="shared" si="61"/>
        <v>6987</v>
      </c>
      <c r="AU64" s="12">
        <f t="shared" si="61"/>
        <v>6219</v>
      </c>
      <c r="AV64" s="12">
        <f t="shared" si="61"/>
        <v>5054</v>
      </c>
    </row>
    <row r="65" spans="1:50" x14ac:dyDescent="0.25">
      <c r="A65" s="6" t="s">
        <v>16</v>
      </c>
      <c r="B65" s="13">
        <f>VLOOKUP($A65,'Standardized Statements'!$A:$Q,B$4,FALSE)</f>
        <v>21174</v>
      </c>
      <c r="C65" s="13">
        <f>VLOOKUP($A65,'Standardized Statements'!$A:$Q,C$4,FALSE)</f>
        <v>7051</v>
      </c>
      <c r="D65" s="13">
        <f>VLOOKUP($A65,'Standardized Statements'!$A:$Q,D$4,FALSE)</f>
        <v>9289</v>
      </c>
      <c r="E65" s="13">
        <f>VLOOKUP($A65,'Standardized Statements'!$A:$Q,E$4,FALSE)</f>
        <v>9870</v>
      </c>
      <c r="F65" s="13">
        <f>VLOOKUP($A65,'Standardized Statements'!$A:$Q,F$4,FALSE)</f>
        <v>2127</v>
      </c>
      <c r="G65" s="13">
        <f>VLOOKUP($A65,'Standardized Statements'!$A:$Q,G$4,FALSE)</f>
        <v>0</v>
      </c>
      <c r="H65" s="13">
        <f>VLOOKUP($A65,'Standardized Statements'!$A:$Q,H$4,FALSE)</f>
        <v>0</v>
      </c>
      <c r="I65" s="13">
        <f>VLOOKUP($A65,'Standardized Statements'!$A:$Q,I$4,FALSE)</f>
        <v>0</v>
      </c>
      <c r="J65" s="13">
        <f>VLOOKUP($A65,'Standardized Statements'!$A:$Q,J$4,FALSE)</f>
        <v>0</v>
      </c>
      <c r="K65" s="13">
        <f>VLOOKUP($A65,'Standardized Statements'!$A:$Q,K$4,FALSE)</f>
        <v>0</v>
      </c>
      <c r="L65" s="13">
        <f>VLOOKUP($A65,'Standardized Statements'!$A:$Q,L$4,FALSE)</f>
        <v>0</v>
      </c>
      <c r="M65" s="13">
        <f>VLOOKUP($A65,'Standardized Statements'!$A:$Q,M$4,FALSE)</f>
        <v>0</v>
      </c>
      <c r="N65" s="13">
        <f>VLOOKUP($A65,'Standardized Statements'!$A:$Q,N$4,FALSE)</f>
        <v>0</v>
      </c>
      <c r="O65" s="13">
        <f>VLOOKUP($A65,'Standardized Statements'!$A:$Q,O$4,FALSE)</f>
        <v>0</v>
      </c>
      <c r="P65" s="13">
        <f>VLOOKUP($A65,'Standardized Statements'!$A:$Q,P$4,FALSE)</f>
        <v>0</v>
      </c>
      <c r="R65" s="13">
        <f>'Lease adjustments'!B33</f>
        <v>0</v>
      </c>
      <c r="S65" s="13">
        <f>'Lease adjustments'!C33</f>
        <v>14914.74439313722</v>
      </c>
      <c r="T65" s="13">
        <f>'Lease adjustments'!D33</f>
        <v>14926.045127428262</v>
      </c>
      <c r="U65" s="13">
        <f>'Lease adjustments'!E33</f>
        <v>14763.385634206086</v>
      </c>
      <c r="V65" s="13">
        <f>'Lease adjustments'!F33</f>
        <v>14524.230084600857</v>
      </c>
      <c r="W65" s="13">
        <f>'Lease adjustments'!G33</f>
        <v>12947.47286755791</v>
      </c>
      <c r="X65" s="13">
        <f>'Lease adjustments'!H33</f>
        <v>11827.894468968527</v>
      </c>
      <c r="Y65" s="13">
        <f>'Lease adjustments'!I33</f>
        <v>10135.768085018743</v>
      </c>
      <c r="Z65" s="13">
        <f>'Lease adjustments'!J33</f>
        <v>9129.63443454956</v>
      </c>
      <c r="AA65" s="13">
        <f>'Lease adjustments'!K33</f>
        <v>8356.8837235676965</v>
      </c>
      <c r="AB65" s="13">
        <f>'Lease adjustments'!L33</f>
        <v>8178.5020370382572</v>
      </c>
      <c r="AC65" s="13">
        <f>'Lease adjustments'!M33</f>
        <v>7920.169566738401</v>
      </c>
      <c r="AD65" s="13">
        <f>'Lease adjustments'!N33</f>
        <v>6659.2537151770121</v>
      </c>
      <c r="AE65" s="13">
        <f>'Lease adjustments'!O33</f>
        <v>5262.482614038513</v>
      </c>
      <c r="AF65" s="13">
        <f>'Lease adjustments'!P33</f>
        <v>4858.8856959837613</v>
      </c>
      <c r="AH65" s="13">
        <f t="shared" si="61"/>
        <v>21174</v>
      </c>
      <c r="AI65" s="13">
        <f t="shared" si="61"/>
        <v>21965.744393137218</v>
      </c>
      <c r="AJ65" s="13">
        <f t="shared" si="61"/>
        <v>24215.04512742826</v>
      </c>
      <c r="AK65" s="13">
        <f t="shared" si="61"/>
        <v>24633.385634206086</v>
      </c>
      <c r="AL65" s="13">
        <f t="shared" si="61"/>
        <v>16651.230084600858</v>
      </c>
      <c r="AM65" s="13">
        <f t="shared" si="61"/>
        <v>12947.47286755791</v>
      </c>
      <c r="AN65" s="13">
        <f t="shared" si="61"/>
        <v>11827.894468968527</v>
      </c>
      <c r="AO65" s="13">
        <f t="shared" si="61"/>
        <v>10135.768085018743</v>
      </c>
      <c r="AP65" s="13">
        <f t="shared" si="61"/>
        <v>9129.63443454956</v>
      </c>
      <c r="AQ65" s="13">
        <f t="shared" si="61"/>
        <v>8356.8837235676965</v>
      </c>
      <c r="AR65" s="13">
        <f t="shared" si="61"/>
        <v>8178.5020370382572</v>
      </c>
      <c r="AS65" s="13">
        <f t="shared" si="61"/>
        <v>7920.169566738401</v>
      </c>
      <c r="AT65" s="13">
        <f t="shared" si="61"/>
        <v>6659.2537151770121</v>
      </c>
      <c r="AU65" s="13">
        <f t="shared" si="61"/>
        <v>5262.482614038513</v>
      </c>
      <c r="AV65" s="13">
        <f t="shared" si="61"/>
        <v>4858.8856959837613</v>
      </c>
    </row>
    <row r="66" spans="1:50" x14ac:dyDescent="0.25">
      <c r="A66" s="14" t="s">
        <v>67</v>
      </c>
      <c r="B66" s="22">
        <f>SUM(B63:B65)</f>
        <v>55697</v>
      </c>
      <c r="C66" s="22">
        <f>SUM(C63:C65)</f>
        <v>47357</v>
      </c>
      <c r="D66" s="22">
        <f>SUM(D63:D65)</f>
        <v>43981</v>
      </c>
      <c r="E66" s="22">
        <f t="shared" ref="E66:J66" si="62">SUM(E63:E65)</f>
        <v>39820</v>
      </c>
      <c r="F66" s="22">
        <f t="shared" si="62"/>
        <v>30529</v>
      </c>
      <c r="G66" s="22">
        <f t="shared" si="62"/>
        <v>22635</v>
      </c>
      <c r="H66" s="22">
        <f t="shared" si="62"/>
        <v>20049</v>
      </c>
      <c r="I66" s="22">
        <f t="shared" si="62"/>
        <v>17112</v>
      </c>
      <c r="J66" s="22">
        <f t="shared" si="62"/>
        <v>13788</v>
      </c>
      <c r="K66" s="22">
        <f t="shared" ref="K66:P66" si="63">SUM(K63:K65)</f>
        <v>14607</v>
      </c>
      <c r="L66" s="22">
        <f t="shared" si="63"/>
        <v>13671</v>
      </c>
      <c r="M66" s="22">
        <f t="shared" si="63"/>
        <v>10755</v>
      </c>
      <c r="N66" s="22">
        <f t="shared" si="63"/>
        <v>10645</v>
      </c>
      <c r="O66" s="22">
        <f t="shared" si="63"/>
        <v>8702</v>
      </c>
      <c r="P66" s="22">
        <f t="shared" si="63"/>
        <v>6996</v>
      </c>
      <c r="R66" s="22">
        <f>SUM(R63:R65)</f>
        <v>0</v>
      </c>
      <c r="S66" s="22">
        <f>SUM(S63:S65)</f>
        <v>14914.74439313722</v>
      </c>
      <c r="T66" s="22">
        <f>SUM(T63:T65)</f>
        <v>14926.045127428262</v>
      </c>
      <c r="U66" s="22">
        <f t="shared" ref="U66:Z66" si="64">SUM(U63:U65)</f>
        <v>14763.385634206086</v>
      </c>
      <c r="V66" s="22">
        <f t="shared" si="64"/>
        <v>14524.230084600857</v>
      </c>
      <c r="W66" s="22">
        <f t="shared" si="64"/>
        <v>12947.47286755791</v>
      </c>
      <c r="X66" s="22">
        <f t="shared" si="64"/>
        <v>11827.894468968527</v>
      </c>
      <c r="Y66" s="22">
        <f t="shared" si="64"/>
        <v>10135.768085018743</v>
      </c>
      <c r="Z66" s="22">
        <f t="shared" si="64"/>
        <v>9129.63443454956</v>
      </c>
      <c r="AA66" s="22">
        <f t="shared" ref="AA66:AF66" si="65">SUM(AA63:AA65)</f>
        <v>8356.8837235676965</v>
      </c>
      <c r="AB66" s="22">
        <f t="shared" si="65"/>
        <v>8178.5020370382572</v>
      </c>
      <c r="AC66" s="22">
        <f t="shared" si="65"/>
        <v>7920.169566738401</v>
      </c>
      <c r="AD66" s="22">
        <f t="shared" si="65"/>
        <v>6659.2537151770121</v>
      </c>
      <c r="AE66" s="22">
        <f t="shared" si="65"/>
        <v>5262.482614038513</v>
      </c>
      <c r="AF66" s="22">
        <f t="shared" si="65"/>
        <v>4858.8856959837613</v>
      </c>
      <c r="AH66" s="22">
        <f t="shared" si="61"/>
        <v>55697</v>
      </c>
      <c r="AI66" s="22">
        <f t="shared" si="61"/>
        <v>62271.744393137218</v>
      </c>
      <c r="AJ66" s="22">
        <f t="shared" si="61"/>
        <v>58907.04512742826</v>
      </c>
      <c r="AK66" s="22">
        <f t="shared" si="61"/>
        <v>54583.38563420609</v>
      </c>
      <c r="AL66" s="22">
        <f t="shared" si="61"/>
        <v>45053.230084600858</v>
      </c>
      <c r="AM66" s="22">
        <f t="shared" si="61"/>
        <v>35582.47286755791</v>
      </c>
      <c r="AN66" s="22">
        <f t="shared" si="61"/>
        <v>31876.894468968527</v>
      </c>
      <c r="AO66" s="22">
        <f t="shared" si="61"/>
        <v>27247.768085018743</v>
      </c>
      <c r="AP66" s="22">
        <f t="shared" si="61"/>
        <v>22917.63443454956</v>
      </c>
      <c r="AQ66" s="22">
        <f t="shared" si="61"/>
        <v>22963.883723567698</v>
      </c>
      <c r="AR66" s="22">
        <f t="shared" si="61"/>
        <v>21849.502037038255</v>
      </c>
      <c r="AS66" s="22">
        <f t="shared" si="61"/>
        <v>18675.169566738401</v>
      </c>
      <c r="AT66" s="22">
        <f t="shared" si="61"/>
        <v>17304.253715177012</v>
      </c>
      <c r="AU66" s="22">
        <f t="shared" si="61"/>
        <v>13964.482614038512</v>
      </c>
      <c r="AV66" s="22">
        <f t="shared" si="61"/>
        <v>11854.885695983761</v>
      </c>
    </row>
    <row r="68" spans="1:50" x14ac:dyDescent="0.25">
      <c r="A68" s="14" t="s">
        <v>25</v>
      </c>
      <c r="B68" s="15">
        <f>VLOOKUP($A68,'Standardized Statements'!$A:$Q,B$4,FALSE)</f>
        <v>0</v>
      </c>
      <c r="C68" s="15">
        <f>VLOOKUP($A68,'Standardized Statements'!$A:$Q,C$4,FALSE)</f>
        <v>0</v>
      </c>
      <c r="D68" s="15">
        <f>VLOOKUP($A68,'Standardized Statements'!$A:$Q,D$4,FALSE)</f>
        <v>0</v>
      </c>
      <c r="E68" s="15">
        <f>VLOOKUP($A68,'Standardized Statements'!$A:$Q,E$4,FALSE)</f>
        <v>0</v>
      </c>
      <c r="F68" s="15">
        <f>VLOOKUP($A68,'Standardized Statements'!$A:$Q,F$4,FALSE)</f>
        <v>0</v>
      </c>
      <c r="G68" s="15">
        <f>VLOOKUP($A68,'Standardized Statements'!$A:$Q,G$4,FALSE)</f>
        <v>0</v>
      </c>
      <c r="H68" s="15">
        <f>VLOOKUP($A68,'Standardized Statements'!$A:$Q,H$4,FALSE)</f>
        <v>0</v>
      </c>
      <c r="I68" s="15">
        <f>VLOOKUP($A68,'Standardized Statements'!$A:$Q,I$4,FALSE)</f>
        <v>0</v>
      </c>
      <c r="J68" s="15">
        <f>VLOOKUP($A68,'Standardized Statements'!$A:$Q,J$4,FALSE)</f>
        <v>0</v>
      </c>
      <c r="K68" s="15">
        <f>VLOOKUP($A68,'Standardized Statements'!$A:$Q,K$4,FALSE)</f>
        <v>0</v>
      </c>
      <c r="L68" s="15">
        <f>VLOOKUP($A68,'Standardized Statements'!$A:$Q,L$4,FALSE)</f>
        <v>0</v>
      </c>
      <c r="M68" s="15">
        <f>VLOOKUP($A68,'Standardized Statements'!$A:$Q,M$4,FALSE)</f>
        <v>0</v>
      </c>
      <c r="N68" s="15">
        <f>VLOOKUP($A68,'Standardized Statements'!$A:$Q,N$4,FALSE)</f>
        <v>0</v>
      </c>
      <c r="O68" s="15">
        <f>VLOOKUP($A68,'Standardized Statements'!$A:$Q,O$4,FALSE)</f>
        <v>0</v>
      </c>
      <c r="P68" s="15">
        <f>VLOOKUP($A68,'Standardized Statements'!$A:$Q,P$4,FALSE)</f>
        <v>0</v>
      </c>
      <c r="R68" s="15"/>
      <c r="S68" s="15"/>
      <c r="T68" s="15"/>
      <c r="U68" s="15"/>
      <c r="V68" s="15"/>
      <c r="W68" s="15"/>
      <c r="X68" s="15"/>
      <c r="Y68" s="15"/>
      <c r="Z68" s="15"/>
      <c r="AA68" s="15"/>
      <c r="AB68" s="15"/>
      <c r="AC68" s="15"/>
      <c r="AD68" s="15"/>
      <c r="AE68" s="15"/>
      <c r="AF68" s="15"/>
      <c r="AH68" s="15">
        <f t="shared" ref="AH68:AV68" si="66">B68+R68</f>
        <v>0</v>
      </c>
      <c r="AI68" s="15">
        <f t="shared" si="66"/>
        <v>0</v>
      </c>
      <c r="AJ68" s="15">
        <f t="shared" si="66"/>
        <v>0</v>
      </c>
      <c r="AK68" s="15">
        <f t="shared" si="66"/>
        <v>0</v>
      </c>
      <c r="AL68" s="15">
        <f t="shared" si="66"/>
        <v>0</v>
      </c>
      <c r="AM68" s="15">
        <f t="shared" si="66"/>
        <v>0</v>
      </c>
      <c r="AN68" s="15">
        <f t="shared" si="66"/>
        <v>0</v>
      </c>
      <c r="AO68" s="15">
        <f t="shared" si="66"/>
        <v>0</v>
      </c>
      <c r="AP68" s="15">
        <f t="shared" si="66"/>
        <v>0</v>
      </c>
      <c r="AQ68" s="15">
        <f t="shared" si="66"/>
        <v>0</v>
      </c>
      <c r="AR68" s="15">
        <f t="shared" si="66"/>
        <v>0</v>
      </c>
      <c r="AS68" s="15">
        <f t="shared" si="66"/>
        <v>0</v>
      </c>
      <c r="AT68" s="15">
        <f t="shared" si="66"/>
        <v>0</v>
      </c>
      <c r="AU68" s="15">
        <f t="shared" si="66"/>
        <v>0</v>
      </c>
      <c r="AV68" s="15">
        <f t="shared" si="66"/>
        <v>0</v>
      </c>
    </row>
    <row r="69" spans="1:50" ht="15.75" thickBot="1" x14ac:dyDescent="0.3">
      <c r="B69" s="28"/>
      <c r="C69" s="28"/>
      <c r="D69" s="28"/>
      <c r="E69" s="28"/>
      <c r="F69" s="28"/>
      <c r="G69" s="28"/>
      <c r="H69" s="28"/>
      <c r="I69" s="28"/>
      <c r="J69" s="28"/>
      <c r="K69" s="28"/>
      <c r="L69" s="28"/>
      <c r="M69" s="28"/>
      <c r="N69" s="28"/>
      <c r="O69" s="28"/>
      <c r="P69" s="28"/>
      <c r="R69" s="28"/>
      <c r="S69" s="28"/>
      <c r="T69" s="28"/>
      <c r="U69" s="28"/>
      <c r="V69" s="28"/>
      <c r="W69" s="28"/>
      <c r="X69" s="28"/>
      <c r="Y69" s="28"/>
      <c r="Z69" s="28"/>
      <c r="AA69" s="28"/>
      <c r="AB69" s="28"/>
      <c r="AC69" s="28"/>
      <c r="AD69" s="28"/>
      <c r="AE69" s="28"/>
      <c r="AF69" s="28"/>
      <c r="AH69" s="44"/>
      <c r="AI69" s="44"/>
      <c r="AJ69" s="44"/>
      <c r="AK69" s="44"/>
      <c r="AL69" s="44"/>
      <c r="AM69" s="44"/>
      <c r="AN69" s="44"/>
      <c r="AO69" s="28"/>
      <c r="AP69" s="28"/>
      <c r="AQ69" s="28"/>
      <c r="AR69" s="28"/>
      <c r="AS69" s="28"/>
      <c r="AT69" s="28"/>
      <c r="AU69" s="28"/>
      <c r="AV69" s="28"/>
    </row>
    <row r="70" spans="1:50" ht="16.5" thickTop="1" thickBot="1" x14ac:dyDescent="0.3">
      <c r="A70" s="23" t="s">
        <v>6</v>
      </c>
      <c r="B70" s="29">
        <f>SUM(B51,B53,B55,B61,B66,B68)</f>
        <v>174371</v>
      </c>
      <c r="C70" s="29">
        <f>SUM(C51,C53,C55,C61,C66,C68)</f>
        <v>120485</v>
      </c>
      <c r="D70" s="29">
        <f>SUM(D51,D53,D55,D61,D66,D68)</f>
        <v>118790</v>
      </c>
      <c r="E70" s="29">
        <f t="shared" ref="E70:J70" si="67">SUM(E51,E53,E55,E61,E66,E68)</f>
        <v>106562</v>
      </c>
      <c r="F70" s="29">
        <f t="shared" si="67"/>
        <v>98579</v>
      </c>
      <c r="G70" s="29">
        <f t="shared" si="67"/>
        <v>85813</v>
      </c>
      <c r="H70" s="29">
        <f t="shared" si="67"/>
        <v>75597</v>
      </c>
      <c r="I70" s="29">
        <f t="shared" si="67"/>
        <v>65676</v>
      </c>
      <c r="J70" s="29">
        <f t="shared" si="67"/>
        <v>60173</v>
      </c>
      <c r="K70" s="29">
        <f t="shared" ref="K70:P70" si="68">SUM(K51,K53,K55,K61,K66,K68)</f>
        <v>60188</v>
      </c>
      <c r="L70" s="29">
        <f t="shared" si="68"/>
        <v>59182</v>
      </c>
      <c r="M70" s="29">
        <f t="shared" si="68"/>
        <v>53995</v>
      </c>
      <c r="N70" s="29">
        <f t="shared" si="68"/>
        <v>51243</v>
      </c>
      <c r="O70" s="29">
        <f t="shared" si="68"/>
        <v>41734</v>
      </c>
      <c r="P70" s="29">
        <f t="shared" si="68"/>
        <v>35555</v>
      </c>
      <c r="R70" s="29">
        <f>SUM(R51,R53,R55,R61,R66,R68)</f>
        <v>0</v>
      </c>
      <c r="S70" s="29">
        <f>SUM(S51,S53,S55,S61,S66,S68)</f>
        <v>65962.780343138962</v>
      </c>
      <c r="T70" s="29">
        <f>SUM(T51,T53,T55,T61,T66,T68)</f>
        <v>65397.743628586897</v>
      </c>
      <c r="U70" s="29">
        <f t="shared" ref="U70:Z70" si="69">SUM(U51,U53,U55,U61,U66,U68)</f>
        <v>72780.718289695651</v>
      </c>
      <c r="V70" s="29">
        <f t="shared" si="69"/>
        <v>75305.849531665532</v>
      </c>
      <c r="W70" s="29">
        <f t="shared" si="69"/>
        <v>78071.02941591118</v>
      </c>
      <c r="X70" s="29">
        <f t="shared" si="69"/>
        <v>72742.396370077535</v>
      </c>
      <c r="Y70" s="29">
        <f t="shared" si="69"/>
        <v>58439.614999107507</v>
      </c>
      <c r="Z70" s="29">
        <f t="shared" si="69"/>
        <v>51371.111645969715</v>
      </c>
      <c r="AA70" s="29">
        <f t="shared" ref="AA70:AF70" si="70">SUM(AA51,AA53,AA55,AA61,AA66,AA68)</f>
        <v>49534.883638509469</v>
      </c>
      <c r="AB70" s="29">
        <f t="shared" si="70"/>
        <v>48839.212962919366</v>
      </c>
      <c r="AC70" s="29">
        <f t="shared" si="70"/>
        <v>47961.653549560637</v>
      </c>
      <c r="AD70" s="29">
        <f t="shared" si="70"/>
        <v>43859.151161611415</v>
      </c>
      <c r="AE70" s="29">
        <f t="shared" si="70"/>
        <v>32389.839704452363</v>
      </c>
      <c r="AF70" s="29">
        <f t="shared" si="70"/>
        <v>29125.325091278151</v>
      </c>
      <c r="AH70" s="29">
        <f t="shared" ref="AH70:AV70" si="71">B70+R70</f>
        <v>174371</v>
      </c>
      <c r="AI70" s="29">
        <f t="shared" si="71"/>
        <v>186447.78034313896</v>
      </c>
      <c r="AJ70" s="29">
        <f t="shared" si="71"/>
        <v>184187.7436285869</v>
      </c>
      <c r="AK70" s="29">
        <f t="shared" si="71"/>
        <v>179342.71828969565</v>
      </c>
      <c r="AL70" s="29">
        <f t="shared" si="71"/>
        <v>173884.84953166553</v>
      </c>
      <c r="AM70" s="29">
        <f t="shared" si="71"/>
        <v>163884.02941591118</v>
      </c>
      <c r="AN70" s="29">
        <f t="shared" si="71"/>
        <v>148339.39637007753</v>
      </c>
      <c r="AO70" s="29">
        <f t="shared" si="71"/>
        <v>124115.61499910751</v>
      </c>
      <c r="AP70" s="29">
        <f t="shared" si="71"/>
        <v>111544.11164596971</v>
      </c>
      <c r="AQ70" s="29">
        <f t="shared" si="71"/>
        <v>109722.88363850946</v>
      </c>
      <c r="AR70" s="29">
        <f t="shared" si="71"/>
        <v>108021.21296291937</v>
      </c>
      <c r="AS70" s="29">
        <f t="shared" si="71"/>
        <v>101956.65354956064</v>
      </c>
      <c r="AT70" s="29">
        <f t="shared" si="71"/>
        <v>95102.151161611415</v>
      </c>
      <c r="AU70" s="29">
        <f t="shared" si="71"/>
        <v>74123.839704452359</v>
      </c>
      <c r="AV70" s="29">
        <f t="shared" si="71"/>
        <v>64680.325091278151</v>
      </c>
    </row>
    <row r="71" spans="1:50" ht="16.5" thickTop="1" thickBot="1" x14ac:dyDescent="0.3">
      <c r="A71" s="20"/>
      <c r="B71" s="20"/>
      <c r="C71" s="20"/>
      <c r="D71" s="20"/>
      <c r="E71" s="20"/>
      <c r="F71" s="20"/>
      <c r="G71" s="20"/>
      <c r="H71" s="20"/>
      <c r="I71" s="20"/>
      <c r="J71" s="20"/>
      <c r="K71" s="20"/>
      <c r="L71" s="20"/>
      <c r="M71" s="20"/>
      <c r="N71" s="20"/>
      <c r="O71" s="20"/>
      <c r="P71" s="20"/>
      <c r="R71" s="20"/>
      <c r="S71" s="20"/>
      <c r="T71" s="20"/>
      <c r="U71" s="20"/>
      <c r="V71" s="20"/>
      <c r="W71" s="20"/>
      <c r="X71" s="20"/>
      <c r="Y71" s="20"/>
      <c r="Z71" s="20"/>
      <c r="AA71" s="20"/>
      <c r="AB71" s="20"/>
      <c r="AC71" s="20"/>
      <c r="AD71" s="20"/>
      <c r="AE71" s="20"/>
      <c r="AF71" s="20"/>
      <c r="AH71" s="20"/>
      <c r="AI71" s="20"/>
      <c r="AJ71" s="20"/>
      <c r="AK71" s="20"/>
      <c r="AL71" s="20"/>
      <c r="AM71" s="20"/>
      <c r="AN71" s="20"/>
      <c r="AO71" s="20"/>
      <c r="AP71" s="20"/>
      <c r="AQ71" s="20"/>
      <c r="AR71" s="20"/>
      <c r="AS71" s="20"/>
      <c r="AT71" s="20"/>
      <c r="AU71" s="20"/>
      <c r="AV71" s="20"/>
    </row>
    <row r="72" spans="1:50" ht="15.75" thickTop="1" x14ac:dyDescent="0.25">
      <c r="A72" s="1" t="s">
        <v>41</v>
      </c>
      <c r="B72" s="21">
        <v>2020</v>
      </c>
      <c r="C72" s="21">
        <v>2019</v>
      </c>
      <c r="D72" s="21">
        <v>2018</v>
      </c>
      <c r="E72" s="21">
        <v>2017</v>
      </c>
      <c r="F72" s="21">
        <v>2016</v>
      </c>
      <c r="G72" s="21">
        <v>2015</v>
      </c>
      <c r="H72" s="21">
        <v>2014</v>
      </c>
      <c r="I72" s="21">
        <v>2013</v>
      </c>
      <c r="J72" s="21">
        <v>2012</v>
      </c>
      <c r="K72" s="21">
        <v>2011</v>
      </c>
      <c r="L72" s="21">
        <v>2010</v>
      </c>
      <c r="M72" s="21">
        <v>2009</v>
      </c>
      <c r="N72" s="21">
        <v>2008</v>
      </c>
      <c r="O72" s="21">
        <v>2007</v>
      </c>
      <c r="P72" s="21">
        <v>2006</v>
      </c>
      <c r="R72" s="21"/>
      <c r="S72" s="21"/>
      <c r="T72" s="21"/>
      <c r="U72" s="21"/>
      <c r="V72" s="21"/>
      <c r="W72" s="21"/>
      <c r="X72" s="21"/>
      <c r="Y72" s="21"/>
      <c r="Z72" s="21"/>
      <c r="AA72" s="21"/>
      <c r="AB72" s="21"/>
      <c r="AC72" s="21"/>
      <c r="AD72" s="21"/>
      <c r="AE72" s="21"/>
      <c r="AF72" s="21"/>
      <c r="AH72" s="21">
        <v>2020</v>
      </c>
      <c r="AI72" s="21">
        <v>2019</v>
      </c>
      <c r="AJ72" s="21">
        <v>2018</v>
      </c>
      <c r="AK72" s="21">
        <v>2017</v>
      </c>
      <c r="AL72" s="21">
        <v>2016</v>
      </c>
      <c r="AM72" s="21">
        <v>2015</v>
      </c>
      <c r="AN72" s="21">
        <v>2014</v>
      </c>
      <c r="AO72" s="21">
        <v>2013</v>
      </c>
      <c r="AP72" s="21">
        <v>2012</v>
      </c>
      <c r="AQ72" s="21">
        <v>2011</v>
      </c>
      <c r="AR72" s="21">
        <v>2010</v>
      </c>
      <c r="AS72" s="21">
        <v>2009</v>
      </c>
      <c r="AT72" s="21">
        <v>2008</v>
      </c>
      <c r="AU72" s="21">
        <v>2007</v>
      </c>
      <c r="AV72" s="21">
        <v>2006</v>
      </c>
    </row>
    <row r="73" spans="1:50" x14ac:dyDescent="0.25">
      <c r="A73" s="6" t="s">
        <v>29</v>
      </c>
      <c r="B73" s="12">
        <f>VLOOKUP($A73,'Standardized Statements'!$A:$Q,B$4,FALSE)</f>
        <v>3106</v>
      </c>
      <c r="C73" s="12">
        <f>VLOOKUP($A73,'Standardized Statements'!$A:$Q,C$4,FALSE)</f>
        <v>17362</v>
      </c>
      <c r="D73" s="12">
        <f>VLOOKUP($A73,'Standardized Statements'!$A:$Q,D$4,FALSE)</f>
        <v>15507</v>
      </c>
      <c r="E73" s="12">
        <f>VLOOKUP($A73,'Standardized Statements'!$A:$Q,E$4,FALSE)</f>
        <v>20582</v>
      </c>
      <c r="F73" s="12">
        <f>VLOOKUP($A73,'Standardized Statements'!$A:$Q,F$4,FALSE)</f>
        <v>23841</v>
      </c>
      <c r="G73" s="12">
        <f>VLOOKUP($A73,'Standardized Statements'!$A:$Q,G$4,FALSE)</f>
        <v>26963</v>
      </c>
      <c r="H73" s="12">
        <f>VLOOKUP($A73,'Standardized Statements'!$A:$Q,H$4,FALSE)</f>
        <v>25609</v>
      </c>
      <c r="I73" s="12">
        <f>VLOOKUP($A73,'Standardized Statements'!$A:$Q,I$4,FALSE)</f>
        <v>22190</v>
      </c>
      <c r="J73" s="12">
        <f>VLOOKUP($A73,'Standardized Statements'!$A:$Q,J$4,FALSE)</f>
        <v>21779</v>
      </c>
      <c r="K73" s="12">
        <f>VLOOKUP($A73,'Standardized Statements'!$A:$Q,K$4,FALSE)</f>
        <v>20408</v>
      </c>
      <c r="L73" s="12">
        <f>VLOOKUP($A73,'Standardized Statements'!$A:$Q,L$4,FALSE)</f>
        <v>24671</v>
      </c>
      <c r="M73" s="12">
        <f>VLOOKUP($A73,'Standardized Statements'!$A:$Q,M$4,FALSE)</f>
        <v>21655</v>
      </c>
      <c r="N73" s="12">
        <f>VLOOKUP($A73,'Standardized Statements'!$A:$Q,N$4,FALSE)</f>
        <v>20148</v>
      </c>
      <c r="O73" s="12">
        <f>VLOOKUP($A73,'Standardized Statements'!$A:$Q,O$4,FALSE)</f>
        <v>18390</v>
      </c>
      <c r="P73" s="12">
        <f>VLOOKUP($A73,'Standardized Statements'!$A:$Q,P$4,FALSE)</f>
        <v>15307</v>
      </c>
      <c r="R73" s="12">
        <f>-R12</f>
        <v>0</v>
      </c>
      <c r="S73" s="12">
        <f>-S12</f>
        <v>1307.954872571738</v>
      </c>
      <c r="T73" s="12">
        <f>-T12</f>
        <v>1455.6143657939131</v>
      </c>
      <c r="U73" s="12">
        <f t="shared" ref="U73:Z73" si="72">-U12</f>
        <v>1543.7699153991434</v>
      </c>
      <c r="V73" s="12">
        <f t="shared" si="72"/>
        <v>1678.5271324420903</v>
      </c>
      <c r="W73" s="12">
        <f t="shared" si="72"/>
        <v>1382.1055310314732</v>
      </c>
      <c r="X73" s="12">
        <f t="shared" si="72"/>
        <v>1227.2319149812577</v>
      </c>
      <c r="Y73" s="12">
        <f t="shared" si="72"/>
        <v>950.3655654504397</v>
      </c>
      <c r="Z73" s="12">
        <f t="shared" si="72"/>
        <v>1585.116276432303</v>
      </c>
      <c r="AA73" s="12">
        <f t="shared" ref="AA73:AF73" si="73">-AA12</f>
        <v>1367.4979629617424</v>
      </c>
      <c r="AB73" s="12">
        <f t="shared" si="73"/>
        <v>1462.8304332615994</v>
      </c>
      <c r="AC73" s="12">
        <f t="shared" si="73"/>
        <v>2258.7462848229879</v>
      </c>
      <c r="AD73" s="12">
        <f t="shared" si="73"/>
        <v>1538.5173859614872</v>
      </c>
      <c r="AE73" s="12">
        <f t="shared" si="73"/>
        <v>1310.1143040162385</v>
      </c>
      <c r="AF73" s="12">
        <f t="shared" si="73"/>
        <v>0</v>
      </c>
      <c r="AH73" s="12">
        <f t="shared" ref="AH73:AV77" si="74">B73+R73</f>
        <v>3106</v>
      </c>
      <c r="AI73" s="12">
        <f t="shared" si="74"/>
        <v>18669.95487257174</v>
      </c>
      <c r="AJ73" s="12">
        <f t="shared" si="74"/>
        <v>16962.614365793914</v>
      </c>
      <c r="AK73" s="12">
        <f t="shared" si="74"/>
        <v>22125.769915399142</v>
      </c>
      <c r="AL73" s="12">
        <f t="shared" si="74"/>
        <v>25519.52713244209</v>
      </c>
      <c r="AM73" s="12">
        <f t="shared" si="74"/>
        <v>28345.105531031473</v>
      </c>
      <c r="AN73" s="12">
        <f t="shared" si="74"/>
        <v>26836.231914981257</v>
      </c>
      <c r="AO73" s="12">
        <f t="shared" si="74"/>
        <v>23140.36556545044</v>
      </c>
      <c r="AP73" s="12">
        <f t="shared" si="74"/>
        <v>23364.116276432302</v>
      </c>
      <c r="AQ73" s="12">
        <f t="shared" si="74"/>
        <v>21775.497962961741</v>
      </c>
      <c r="AR73" s="12">
        <f t="shared" si="74"/>
        <v>26133.830433261599</v>
      </c>
      <c r="AS73" s="12">
        <f t="shared" si="74"/>
        <v>23913.746284822988</v>
      </c>
      <c r="AT73" s="12">
        <f t="shared" si="74"/>
        <v>21686.517385961488</v>
      </c>
      <c r="AU73" s="12">
        <f t="shared" si="74"/>
        <v>19700.114304016239</v>
      </c>
      <c r="AV73" s="12">
        <f t="shared" si="74"/>
        <v>15307</v>
      </c>
      <c r="AX73" s="41"/>
    </row>
    <row r="74" spans="1:50" x14ac:dyDescent="0.25">
      <c r="A74" s="6" t="s">
        <v>12</v>
      </c>
      <c r="B74" s="12">
        <f>VLOOKUP($A74,'Standardized Statements'!$A:$Q,B$4,FALSE)+(1-B104)*(B87/B104)</f>
        <v>-4006.32</v>
      </c>
      <c r="C74" s="12">
        <f>VLOOKUP($A74,'Standardized Statements'!$A:$Q,C$4,FALSE)+(1-C104)*(C87/C104)</f>
        <v>-3776.34</v>
      </c>
      <c r="D74" s="12">
        <f>VLOOKUP($A74,'Standardized Statements'!$A:$Q,D$4,FALSE)+(1-D104)*(D87/D104)</f>
        <v>-3133.2</v>
      </c>
      <c r="E74" s="12">
        <f>VLOOKUP($A74,'Standardized Statements'!$A:$Q,E$4,FALSE)+(1-E104)*(E87/E104)</f>
        <v>-6062.88</v>
      </c>
      <c r="F74" s="12">
        <f>VLOOKUP($A74,'Standardized Statements'!$A:$Q,F$4,FALSE)+(1-F104)*(F87/F104)</f>
        <v>-4475.72</v>
      </c>
      <c r="G74" s="12">
        <f>VLOOKUP($A74,'Standardized Statements'!$A:$Q,G$4,FALSE)+(1-G104)*(G87/G104)</f>
        <v>-7028.82</v>
      </c>
      <c r="H74" s="12">
        <f>VLOOKUP($A74,'Standardized Statements'!$A:$Q,H$4,FALSE)+(1-H104)*(H87/H104)</f>
        <v>-5980.24</v>
      </c>
      <c r="I74" s="12">
        <f>VLOOKUP($A74,'Standardized Statements'!$A:$Q,I$4,FALSE)+(1-I104)*(I87/I104)</f>
        <v>-3065.82</v>
      </c>
      <c r="J74" s="12">
        <f>VLOOKUP($A74,'Standardized Statements'!$A:$Q,J$4,FALSE)+(1-J104)*(J87/J104)</f>
        <v>-7028.89</v>
      </c>
      <c r="K74" s="12">
        <f>VLOOKUP($A74,'Standardized Statements'!$A:$Q,K$4,FALSE)+(1-K104)*(K87/K104)</f>
        <v>-5674.942</v>
      </c>
      <c r="L74" s="12">
        <f>VLOOKUP($A74,'Standardized Statements'!$A:$Q,L$4,FALSE)+(1-L104)*(L87/L104)</f>
        <v>-5455.9970000000003</v>
      </c>
      <c r="M74" s="12">
        <f>VLOOKUP($A74,'Standardized Statements'!$A:$Q,M$4,FALSE)+(1-M104)*(M87/M104)</f>
        <v>-6473.32</v>
      </c>
      <c r="N74" s="12">
        <f>VLOOKUP($A74,'Standardized Statements'!$A:$Q,N$4,FALSE)+(1-N104)*(N87/N104)</f>
        <v>-5945.04</v>
      </c>
      <c r="O74" s="12">
        <f>VLOOKUP($A74,'Standardized Statements'!$A:$Q,O$4,FALSE)+(1-O104)*(O87/O104)</f>
        <v>-5560.64</v>
      </c>
      <c r="P74" s="12">
        <f>VLOOKUP($A74,'Standardized Statements'!$A:$Q,P$4,FALSE)+(1-P104)*(P87/P104)</f>
        <v>-5568.92</v>
      </c>
      <c r="R74" s="12">
        <f t="shared" ref="R74:W74" si="75">R12-R87</f>
        <v>0</v>
      </c>
      <c r="S74" s="12">
        <f t="shared" si="75"/>
        <v>-287.75007196578235</v>
      </c>
      <c r="T74" s="12">
        <f t="shared" si="75"/>
        <v>-320.23516047466092</v>
      </c>
      <c r="U74" s="12">
        <f t="shared" si="75"/>
        <v>-339.62938138781146</v>
      </c>
      <c r="V74" s="12">
        <f t="shared" si="75"/>
        <v>-369.27596913725984</v>
      </c>
      <c r="W74" s="12">
        <f t="shared" si="75"/>
        <v>-304.06321682692396</v>
      </c>
      <c r="X74" s="12">
        <f t="shared" ref="X74:AF74" si="76">X12-X87</f>
        <v>-269.99102129587664</v>
      </c>
      <c r="Y74" s="12">
        <f t="shared" si="76"/>
        <v>-209.08042439909673</v>
      </c>
      <c r="Z74" s="12">
        <f t="shared" si="76"/>
        <v>-416.88558070169574</v>
      </c>
      <c r="AA74" s="12">
        <f t="shared" si="76"/>
        <v>-359.65196425893828</v>
      </c>
      <c r="AB74" s="12">
        <f t="shared" si="76"/>
        <v>-384.72440394780074</v>
      </c>
      <c r="AC74" s="12">
        <f t="shared" si="76"/>
        <v>-632.44895975043664</v>
      </c>
      <c r="AD74" s="12">
        <f t="shared" si="76"/>
        <v>-430.78486806921637</v>
      </c>
      <c r="AE74" s="12">
        <f t="shared" si="76"/>
        <v>-366.83200512454687</v>
      </c>
      <c r="AF74" s="12">
        <f t="shared" si="76"/>
        <v>0</v>
      </c>
      <c r="AH74" s="12">
        <f t="shared" si="74"/>
        <v>-4006.32</v>
      </c>
      <c r="AI74" s="12">
        <f t="shared" si="74"/>
        <v>-4064.0900719657825</v>
      </c>
      <c r="AJ74" s="12">
        <f t="shared" si="74"/>
        <v>-3453.4351604746607</v>
      </c>
      <c r="AK74" s="12">
        <f t="shared" si="74"/>
        <v>-6402.509381387812</v>
      </c>
      <c r="AL74" s="12">
        <f t="shared" si="74"/>
        <v>-4844.9959691372605</v>
      </c>
      <c r="AM74" s="12">
        <f t="shared" si="74"/>
        <v>-7332.8832168269237</v>
      </c>
      <c r="AN74" s="12">
        <f t="shared" si="74"/>
        <v>-6250.2310212958764</v>
      </c>
      <c r="AO74" s="12">
        <f t="shared" si="74"/>
        <v>-3274.9004243990967</v>
      </c>
      <c r="AP74" s="12">
        <f t="shared" si="74"/>
        <v>-7445.7755807016965</v>
      </c>
      <c r="AQ74" s="12">
        <f t="shared" si="74"/>
        <v>-6034.5939642589383</v>
      </c>
      <c r="AR74" s="12">
        <f t="shared" si="74"/>
        <v>-5840.7214039478013</v>
      </c>
      <c r="AS74" s="12">
        <f t="shared" si="74"/>
        <v>-7105.7689597504359</v>
      </c>
      <c r="AT74" s="12">
        <f t="shared" si="74"/>
        <v>-6375.8248680692159</v>
      </c>
      <c r="AU74" s="12">
        <f t="shared" si="74"/>
        <v>-5927.4720051245476</v>
      </c>
      <c r="AV74" s="12">
        <f t="shared" si="74"/>
        <v>-5568.92</v>
      </c>
      <c r="AX74" s="41"/>
    </row>
    <row r="75" spans="1:50" x14ac:dyDescent="0.25">
      <c r="A75" s="6" t="s">
        <v>44</v>
      </c>
      <c r="B75" s="12">
        <f>VLOOKUP($A75,'Standardized Statements'!$A:$Q,B$4,FALSE)</f>
        <v>0</v>
      </c>
      <c r="C75" s="12">
        <f>VLOOKUP($A75,'Standardized Statements'!$A:$Q,C$4,FALSE)</f>
        <v>0</v>
      </c>
      <c r="D75" s="12">
        <f>VLOOKUP($A75,'Standardized Statements'!$A:$Q,D$4,FALSE)</f>
        <v>0</v>
      </c>
      <c r="E75" s="12">
        <f>VLOOKUP($A75,'Standardized Statements'!$A:$Q,E$4,FALSE)</f>
        <v>0</v>
      </c>
      <c r="F75" s="12">
        <f>VLOOKUP($A75,'Standardized Statements'!$A:$Q,F$4,FALSE)</f>
        <v>0</v>
      </c>
      <c r="G75" s="12">
        <f>VLOOKUP($A75,'Standardized Statements'!$A:$Q,G$4,FALSE)</f>
        <v>0</v>
      </c>
      <c r="H75" s="12">
        <f>VLOOKUP($A75,'Standardized Statements'!$A:$Q,H$4,FALSE)</f>
        <v>0</v>
      </c>
      <c r="I75" s="12">
        <f>VLOOKUP($A75,'Standardized Statements'!$A:$Q,I$4,FALSE)</f>
        <v>0</v>
      </c>
      <c r="J75" s="12">
        <f>VLOOKUP($A75,'Standardized Statements'!$A:$Q,J$4,FALSE)</f>
        <v>0</v>
      </c>
      <c r="K75" s="12">
        <f>VLOOKUP($A75,'Standardized Statements'!$A:$Q,K$4,FALSE)</f>
        <v>0</v>
      </c>
      <c r="L75" s="12">
        <f>VLOOKUP($A75,'Standardized Statements'!$A:$Q,L$4,FALSE)</f>
        <v>0</v>
      </c>
      <c r="M75" s="12">
        <f>VLOOKUP($A75,'Standardized Statements'!$A:$Q,M$4,FALSE)</f>
        <v>0</v>
      </c>
      <c r="N75" s="12">
        <f>VLOOKUP($A75,'Standardized Statements'!$A:$Q,N$4,FALSE)</f>
        <v>0</v>
      </c>
      <c r="O75" s="12">
        <f>VLOOKUP($A75,'Standardized Statements'!$A:$Q,O$4,FALSE)</f>
        <v>0</v>
      </c>
      <c r="P75" s="12">
        <f>VLOOKUP($A75,'Standardized Statements'!$A:$Q,P$4,FALSE)</f>
        <v>0</v>
      </c>
      <c r="R75" s="12"/>
      <c r="S75" s="12"/>
      <c r="T75" s="12"/>
      <c r="U75" s="12"/>
      <c r="V75" s="12"/>
      <c r="W75" s="12"/>
      <c r="X75" s="12"/>
      <c r="Y75" s="12"/>
      <c r="Z75" s="12"/>
      <c r="AA75" s="12"/>
      <c r="AB75" s="12"/>
      <c r="AC75" s="12"/>
      <c r="AD75" s="12"/>
      <c r="AE75" s="12"/>
      <c r="AF75" s="12"/>
      <c r="AH75" s="12">
        <f t="shared" si="74"/>
        <v>0</v>
      </c>
      <c r="AI75" s="12">
        <f t="shared" si="74"/>
        <v>0</v>
      </c>
      <c r="AJ75" s="12">
        <f t="shared" si="74"/>
        <v>0</v>
      </c>
      <c r="AK75" s="12">
        <f t="shared" si="74"/>
        <v>0</v>
      </c>
      <c r="AL75" s="12">
        <f t="shared" si="74"/>
        <v>0</v>
      </c>
      <c r="AM75" s="12">
        <f t="shared" si="74"/>
        <v>0</v>
      </c>
      <c r="AN75" s="12">
        <f t="shared" si="74"/>
        <v>0</v>
      </c>
      <c r="AO75" s="12">
        <f t="shared" si="74"/>
        <v>0</v>
      </c>
      <c r="AP75" s="12">
        <f t="shared" si="74"/>
        <v>0</v>
      </c>
      <c r="AQ75" s="12">
        <f t="shared" si="74"/>
        <v>0</v>
      </c>
      <c r="AR75" s="12">
        <f t="shared" si="74"/>
        <v>0</v>
      </c>
      <c r="AS75" s="12">
        <f t="shared" si="74"/>
        <v>0</v>
      </c>
      <c r="AT75" s="12">
        <f t="shared" si="74"/>
        <v>0</v>
      </c>
      <c r="AU75" s="12">
        <f t="shared" si="74"/>
        <v>0</v>
      </c>
      <c r="AV75" s="12">
        <f t="shared" si="74"/>
        <v>0</v>
      </c>
      <c r="AX75" s="41"/>
    </row>
    <row r="76" spans="1:50" x14ac:dyDescent="0.25">
      <c r="A76" s="6" t="s">
        <v>21</v>
      </c>
      <c r="B76" s="13">
        <f>VLOOKUP($A76,'Standardized Statements'!$A:$Q,B$4,FALSE)</f>
        <v>25975</v>
      </c>
      <c r="C76" s="13">
        <f>VLOOKUP($A76,'Standardized Statements'!$A:$Q,C$4,FALSE)</f>
        <v>11062</v>
      </c>
      <c r="D76" s="13">
        <f>VLOOKUP($A76,'Standardized Statements'!$A:$Q,D$4,FALSE)</f>
        <v>9710</v>
      </c>
      <c r="E76" s="13">
        <f>VLOOKUP($A76,'Standardized Statements'!$A:$Q,E$4,FALSE)</f>
        <v>8477</v>
      </c>
      <c r="F76" s="13">
        <f>VLOOKUP($A76,'Standardized Statements'!$A:$Q,F$4,FALSE)</f>
        <v>7596</v>
      </c>
      <c r="G76" s="13">
        <f>VLOOKUP($A76,'Standardized Statements'!$A:$Q,G$4,FALSE)</f>
        <v>6427</v>
      </c>
      <c r="H76" s="13">
        <f>VLOOKUP($A76,'Standardized Statements'!$A:$Q,H$4,FALSE)</f>
        <v>5025</v>
      </c>
      <c r="I76" s="13">
        <f>VLOOKUP($A76,'Standardized Statements'!$A:$Q,I$4,FALSE)</f>
        <v>4123</v>
      </c>
      <c r="J76" s="13">
        <f>VLOOKUP($A76,'Standardized Statements'!$A:$Q,J$4,FALSE)</f>
        <v>3715</v>
      </c>
      <c r="K76" s="13">
        <f>VLOOKUP($A76,'Standardized Statements'!$A:$Q,K$4,FALSE)</f>
        <v>3382</v>
      </c>
      <c r="L76" s="13">
        <f>VLOOKUP($A76,'Standardized Statements'!$A:$Q,L$4,FALSE)</f>
        <v>3064</v>
      </c>
      <c r="M76" s="13">
        <f>VLOOKUP($A76,'Standardized Statements'!$A:$Q,M$4,FALSE)</f>
        <v>2856</v>
      </c>
      <c r="N76" s="13">
        <f>VLOOKUP($A76,'Standardized Statements'!$A:$Q,N$4,FALSE)</f>
        <v>2274</v>
      </c>
      <c r="O76" s="13">
        <f>VLOOKUP($A76,'Standardized Statements'!$A:$Q,O$4,FALSE)</f>
        <v>1841</v>
      </c>
      <c r="P76" s="13">
        <f>VLOOKUP($A76,'Standardized Statements'!$A:$Q,P$4,FALSE)</f>
        <v>1676</v>
      </c>
      <c r="R76" s="13">
        <f>'Lease adjustments'!B29</f>
        <v>0</v>
      </c>
      <c r="S76" s="13">
        <f>'Lease adjustments'!C29</f>
        <v>19814.04512742826</v>
      </c>
      <c r="T76" s="13">
        <f>'Lease adjustments'!D29</f>
        <v>18917.385634206086</v>
      </c>
      <c r="U76" s="13">
        <f>'Lease adjustments'!E29</f>
        <v>17582.230084600858</v>
      </c>
      <c r="V76" s="13">
        <f>'Lease adjustments'!F29</f>
        <v>18875.47286755791</v>
      </c>
      <c r="W76" s="13">
        <f>'Lease adjustments'!G29</f>
        <v>19171.894468968527</v>
      </c>
      <c r="X76" s="13">
        <f>'Lease adjustments'!H29</f>
        <v>15948.768085018743</v>
      </c>
      <c r="Y76" s="13">
        <f>'Lease adjustments'!I29</f>
        <v>14093.63443454956</v>
      </c>
      <c r="Z76" s="13">
        <f>'Lease adjustments'!J29</f>
        <v>12470.883723567697</v>
      </c>
      <c r="AA76" s="13">
        <f>'Lease adjustments'!K29</f>
        <v>11625.502037038257</v>
      </c>
      <c r="AB76" s="13">
        <f>'Lease adjustments'!L29</f>
        <v>11428.169566738401</v>
      </c>
      <c r="AC76" s="13">
        <f>'Lease adjustments'!M29</f>
        <v>9990.2537151770121</v>
      </c>
      <c r="AD76" s="13">
        <f>'Lease adjustments'!N29</f>
        <v>8237.4826140385121</v>
      </c>
      <c r="AE76" s="13">
        <f>'Lease adjustments'!O29</f>
        <v>7156.8856959837613</v>
      </c>
      <c r="AF76" s="13">
        <f>'Lease adjustments'!P29</f>
        <v>0</v>
      </c>
      <c r="AH76" s="13">
        <f t="shared" si="74"/>
        <v>25975</v>
      </c>
      <c r="AI76" s="13">
        <f t="shared" si="74"/>
        <v>30876.04512742826</v>
      </c>
      <c r="AJ76" s="13">
        <f t="shared" si="74"/>
        <v>28627.385634206086</v>
      </c>
      <c r="AK76" s="13">
        <f t="shared" si="74"/>
        <v>26059.230084600858</v>
      </c>
      <c r="AL76" s="13">
        <f t="shared" si="74"/>
        <v>26471.47286755791</v>
      </c>
      <c r="AM76" s="13">
        <f t="shared" si="74"/>
        <v>25598.894468968527</v>
      </c>
      <c r="AN76" s="13">
        <f t="shared" si="74"/>
        <v>20973.768085018743</v>
      </c>
      <c r="AO76" s="13">
        <f t="shared" si="74"/>
        <v>18216.63443454956</v>
      </c>
      <c r="AP76" s="13">
        <f t="shared" si="74"/>
        <v>16185.883723567697</v>
      </c>
      <c r="AQ76" s="13">
        <f t="shared" si="74"/>
        <v>15007.502037038257</v>
      </c>
      <c r="AR76" s="13">
        <f t="shared" si="74"/>
        <v>14492.169566738401</v>
      </c>
      <c r="AS76" s="13">
        <f t="shared" si="74"/>
        <v>12846.253715177012</v>
      </c>
      <c r="AT76" s="13">
        <f t="shared" si="74"/>
        <v>10511.482614038512</v>
      </c>
      <c r="AU76" s="13">
        <f t="shared" si="74"/>
        <v>8997.8856959837613</v>
      </c>
      <c r="AV76" s="13">
        <f t="shared" si="74"/>
        <v>1676</v>
      </c>
      <c r="AX76" s="41"/>
    </row>
    <row r="77" spans="1:50" ht="30" x14ac:dyDescent="0.25">
      <c r="A77" s="14" t="s">
        <v>68</v>
      </c>
      <c r="B77" s="22">
        <f>SUM(B73:B76)</f>
        <v>25074.68</v>
      </c>
      <c r="C77" s="22">
        <f>SUM(C73:C76)</f>
        <v>24647.66</v>
      </c>
      <c r="D77" s="22">
        <f>SUM(D73:D76)</f>
        <v>22083.8</v>
      </c>
      <c r="E77" s="22">
        <f t="shared" ref="E77:J77" si="77">SUM(E73:E76)</f>
        <v>22996.12</v>
      </c>
      <c r="F77" s="22">
        <f t="shared" si="77"/>
        <v>26961.279999999999</v>
      </c>
      <c r="G77" s="22">
        <f t="shared" si="77"/>
        <v>26361.18</v>
      </c>
      <c r="H77" s="22">
        <f t="shared" si="77"/>
        <v>24653.760000000002</v>
      </c>
      <c r="I77" s="22">
        <f t="shared" si="77"/>
        <v>23247.18</v>
      </c>
      <c r="J77" s="22">
        <f t="shared" si="77"/>
        <v>18465.11</v>
      </c>
      <c r="K77" s="22">
        <f t="shared" ref="K77:P77" si="78">SUM(K73:K76)</f>
        <v>18115.058000000001</v>
      </c>
      <c r="L77" s="22">
        <f t="shared" si="78"/>
        <v>22279.003000000001</v>
      </c>
      <c r="M77" s="22">
        <f t="shared" si="78"/>
        <v>18037.68</v>
      </c>
      <c r="N77" s="22">
        <f t="shared" si="78"/>
        <v>16476.96</v>
      </c>
      <c r="O77" s="22">
        <f t="shared" si="78"/>
        <v>14670.36</v>
      </c>
      <c r="P77" s="22">
        <f t="shared" si="78"/>
        <v>11414.08</v>
      </c>
      <c r="R77" s="22">
        <f>SUM(R73:R76)</f>
        <v>0</v>
      </c>
      <c r="S77" s="22">
        <f>SUM(S73:S76)</f>
        <v>20834.249928034216</v>
      </c>
      <c r="T77" s="22">
        <f>SUM(T73:T76)</f>
        <v>20052.764839525338</v>
      </c>
      <c r="U77" s="22">
        <f t="shared" ref="U77:Z77" si="79">SUM(U73:U76)</f>
        <v>18786.370618612189</v>
      </c>
      <c r="V77" s="22">
        <f t="shared" si="79"/>
        <v>20184.724030862741</v>
      </c>
      <c r="W77" s="22">
        <f t="shared" si="79"/>
        <v>20249.936783173078</v>
      </c>
      <c r="X77" s="22">
        <f t="shared" si="79"/>
        <v>16906.008978704125</v>
      </c>
      <c r="Y77" s="22">
        <f t="shared" si="79"/>
        <v>14834.919575600903</v>
      </c>
      <c r="Z77" s="22">
        <f t="shared" si="79"/>
        <v>13639.114419298305</v>
      </c>
      <c r="AA77" s="22">
        <f t="shared" ref="AA77:AF77" si="80">SUM(AA73:AA76)</f>
        <v>12633.348035741061</v>
      </c>
      <c r="AB77" s="22">
        <f t="shared" si="80"/>
        <v>12506.275596052199</v>
      </c>
      <c r="AC77" s="22">
        <f t="shared" si="80"/>
        <v>11616.551040249564</v>
      </c>
      <c r="AD77" s="22">
        <f t="shared" si="80"/>
        <v>9345.2151319307832</v>
      </c>
      <c r="AE77" s="22">
        <f t="shared" si="80"/>
        <v>8100.1679948754527</v>
      </c>
      <c r="AF77" s="22">
        <f t="shared" si="80"/>
        <v>0</v>
      </c>
      <c r="AH77" s="22">
        <f t="shared" si="74"/>
        <v>25074.68</v>
      </c>
      <c r="AI77" s="22">
        <f t="shared" si="74"/>
        <v>45481.90992803422</v>
      </c>
      <c r="AJ77" s="22">
        <f t="shared" si="74"/>
        <v>42136.564839525337</v>
      </c>
      <c r="AK77" s="22">
        <f t="shared" si="74"/>
        <v>41782.490618612188</v>
      </c>
      <c r="AL77" s="22">
        <f t="shared" si="74"/>
        <v>47146.004030862736</v>
      </c>
      <c r="AM77" s="22">
        <f t="shared" si="74"/>
        <v>46611.116783173078</v>
      </c>
      <c r="AN77" s="22">
        <f t="shared" si="74"/>
        <v>41559.768978704131</v>
      </c>
      <c r="AO77" s="22">
        <f t="shared" si="74"/>
        <v>38082.099575600907</v>
      </c>
      <c r="AP77" s="22">
        <f t="shared" si="74"/>
        <v>32104.224419298305</v>
      </c>
      <c r="AQ77" s="22">
        <f t="shared" si="74"/>
        <v>30748.406035741064</v>
      </c>
      <c r="AR77" s="22">
        <f t="shared" si="74"/>
        <v>34785.278596052201</v>
      </c>
      <c r="AS77" s="22">
        <f t="shared" si="74"/>
        <v>29654.231040249564</v>
      </c>
      <c r="AT77" s="22">
        <f t="shared" si="74"/>
        <v>25822.17513193078</v>
      </c>
      <c r="AU77" s="22">
        <f t="shared" si="74"/>
        <v>22770.527994875454</v>
      </c>
      <c r="AV77" s="22">
        <f t="shared" si="74"/>
        <v>11414.08</v>
      </c>
      <c r="AX77" s="41"/>
    </row>
    <row r="78" spans="1:50" x14ac:dyDescent="0.25">
      <c r="A78" s="6"/>
    </row>
    <row r="79" spans="1:50" ht="30" x14ac:dyDescent="0.25">
      <c r="A79" s="6" t="s">
        <v>7</v>
      </c>
      <c r="B79" s="13">
        <f>VLOOKUP($A79,'Standardized Statements'!$A:$Q,B$4,FALSE)</f>
        <v>1592</v>
      </c>
      <c r="C79" s="13">
        <f>VLOOKUP($A79,'Standardized Statements'!$A:$Q,C$4,FALSE)</f>
        <v>4233</v>
      </c>
      <c r="D79" s="13">
        <f>VLOOKUP($A79,'Standardized Statements'!$A:$Q,D$4,FALSE)</f>
        <v>-964</v>
      </c>
      <c r="E79" s="13">
        <f>VLOOKUP($A79,'Standardized Statements'!$A:$Q,E$4,FALSE)</f>
        <v>-1648</v>
      </c>
      <c r="F79" s="13">
        <f>VLOOKUP($A79,'Standardized Statements'!$A:$Q,F$4,FALSE)</f>
        <v>-3390</v>
      </c>
      <c r="G79" s="13">
        <f>VLOOKUP($A79,'Standardized Statements'!$A:$Q,G$4,FALSE)</f>
        <v>-2580</v>
      </c>
      <c r="H79" s="13">
        <f>VLOOKUP($A79,'Standardized Statements'!$A:$Q,H$4,FALSE)</f>
        <v>-793</v>
      </c>
      <c r="I79" s="13">
        <f>VLOOKUP($A79,'Standardized Statements'!$A:$Q,I$4,FALSE)</f>
        <v>250</v>
      </c>
      <c r="J79" s="13">
        <f>VLOOKUP($A79,'Standardized Statements'!$A:$Q,J$4,FALSE)</f>
        <v>-79</v>
      </c>
      <c r="K79" s="13">
        <f>VLOOKUP($A79,'Standardized Statements'!$A:$Q,K$4,FALSE)</f>
        <v>-1238</v>
      </c>
      <c r="L79" s="13">
        <f>VLOOKUP($A79,'Standardized Statements'!$A:$Q,L$4,FALSE)</f>
        <v>-783</v>
      </c>
      <c r="M79" s="13">
        <f>VLOOKUP($A79,'Standardized Statements'!$A:$Q,M$4,FALSE)</f>
        <v>-518</v>
      </c>
      <c r="N79" s="13">
        <f>VLOOKUP($A79,'Standardized Statements'!$A:$Q,N$4,FALSE)</f>
        <v>442</v>
      </c>
      <c r="O79" s="13">
        <f>VLOOKUP($A79,'Standardized Statements'!$A:$Q,O$4,FALSE)</f>
        <v>-73</v>
      </c>
      <c r="P79" s="13">
        <f>VLOOKUP($A79,'Standardized Statements'!$A:$Q,P$4,FALSE)</f>
        <v>136</v>
      </c>
      <c r="R79" s="13"/>
      <c r="S79" s="13"/>
      <c r="T79" s="13"/>
      <c r="U79" s="13"/>
      <c r="V79" s="13"/>
      <c r="W79" s="13"/>
      <c r="X79" s="13"/>
      <c r="Y79" s="13"/>
      <c r="Z79" s="13"/>
      <c r="AA79" s="13"/>
      <c r="AB79" s="13"/>
      <c r="AC79" s="13"/>
      <c r="AD79" s="13"/>
      <c r="AE79" s="13"/>
      <c r="AF79" s="13"/>
      <c r="AH79" s="13">
        <f t="shared" ref="AH79:AV80" si="81">B79+R79</f>
        <v>1592</v>
      </c>
      <c r="AI79" s="13">
        <f t="shared" si="81"/>
        <v>4233</v>
      </c>
      <c r="AJ79" s="13">
        <f t="shared" si="81"/>
        <v>-964</v>
      </c>
      <c r="AK79" s="13">
        <f t="shared" si="81"/>
        <v>-1648</v>
      </c>
      <c r="AL79" s="13">
        <f t="shared" si="81"/>
        <v>-3390</v>
      </c>
      <c r="AM79" s="13">
        <f t="shared" si="81"/>
        <v>-2580</v>
      </c>
      <c r="AN79" s="13">
        <f t="shared" si="81"/>
        <v>-793</v>
      </c>
      <c r="AO79" s="13">
        <f t="shared" si="81"/>
        <v>250</v>
      </c>
      <c r="AP79" s="13">
        <f t="shared" si="81"/>
        <v>-79</v>
      </c>
      <c r="AQ79" s="13">
        <f t="shared" si="81"/>
        <v>-1238</v>
      </c>
      <c r="AR79" s="13">
        <f t="shared" si="81"/>
        <v>-783</v>
      </c>
      <c r="AS79" s="13">
        <f t="shared" si="81"/>
        <v>-518</v>
      </c>
      <c r="AT79" s="13">
        <f t="shared" si="81"/>
        <v>442</v>
      </c>
      <c r="AU79" s="13">
        <f t="shared" si="81"/>
        <v>-73</v>
      </c>
      <c r="AV79" s="13">
        <f t="shared" si="81"/>
        <v>136</v>
      </c>
      <c r="AX79" s="41"/>
    </row>
    <row r="80" spans="1:50" ht="30" x14ac:dyDescent="0.25">
      <c r="A80" s="14" t="s">
        <v>69</v>
      </c>
      <c r="B80" s="22">
        <f>SUM(B77:B79)</f>
        <v>26666.68</v>
      </c>
      <c r="C80" s="22">
        <f>SUM(C77:C79)</f>
        <v>28880.66</v>
      </c>
      <c r="D80" s="22">
        <f>SUM(D77:D79)</f>
        <v>21119.8</v>
      </c>
      <c r="E80" s="22">
        <f t="shared" ref="E80:J80" si="82">SUM(E77:E79)</f>
        <v>21348.12</v>
      </c>
      <c r="F80" s="22">
        <f t="shared" si="82"/>
        <v>23571.279999999999</v>
      </c>
      <c r="G80" s="22">
        <f t="shared" si="82"/>
        <v>23781.18</v>
      </c>
      <c r="H80" s="22">
        <f t="shared" si="82"/>
        <v>23860.760000000002</v>
      </c>
      <c r="I80" s="22">
        <f t="shared" si="82"/>
        <v>23497.18</v>
      </c>
      <c r="J80" s="22">
        <f t="shared" si="82"/>
        <v>18386.11</v>
      </c>
      <c r="K80" s="22">
        <f t="shared" ref="K80:P80" si="83">SUM(K77:K79)</f>
        <v>16877.058000000001</v>
      </c>
      <c r="L80" s="22">
        <f t="shared" si="83"/>
        <v>21496.003000000001</v>
      </c>
      <c r="M80" s="22">
        <f t="shared" si="83"/>
        <v>17519.68</v>
      </c>
      <c r="N80" s="22">
        <f t="shared" si="83"/>
        <v>16918.96</v>
      </c>
      <c r="O80" s="22">
        <f t="shared" si="83"/>
        <v>14597.36</v>
      </c>
      <c r="P80" s="22">
        <f t="shared" si="83"/>
        <v>11550.08</v>
      </c>
      <c r="R80" s="22">
        <f>SUM(R77:R79)</f>
        <v>0</v>
      </c>
      <c r="S80" s="22">
        <f>SUM(S77:S79)</f>
        <v>20834.249928034216</v>
      </c>
      <c r="T80" s="22">
        <f>SUM(T77:T79)</f>
        <v>20052.764839525338</v>
      </c>
      <c r="U80" s="22">
        <f t="shared" ref="U80:Z80" si="84">SUM(U77:U79)</f>
        <v>18786.370618612189</v>
      </c>
      <c r="V80" s="22">
        <f t="shared" si="84"/>
        <v>20184.724030862741</v>
      </c>
      <c r="W80" s="22">
        <f t="shared" si="84"/>
        <v>20249.936783173078</v>
      </c>
      <c r="X80" s="22">
        <f t="shared" si="84"/>
        <v>16906.008978704125</v>
      </c>
      <c r="Y80" s="22">
        <f t="shared" si="84"/>
        <v>14834.919575600903</v>
      </c>
      <c r="Z80" s="22">
        <f t="shared" si="84"/>
        <v>13639.114419298305</v>
      </c>
      <c r="AA80" s="22">
        <f t="shared" ref="AA80:AF80" si="85">SUM(AA77:AA79)</f>
        <v>12633.348035741061</v>
      </c>
      <c r="AB80" s="22">
        <f t="shared" si="85"/>
        <v>12506.275596052199</v>
      </c>
      <c r="AC80" s="22">
        <f t="shared" si="85"/>
        <v>11616.551040249564</v>
      </c>
      <c r="AD80" s="22">
        <f t="shared" si="85"/>
        <v>9345.2151319307832</v>
      </c>
      <c r="AE80" s="22">
        <f t="shared" si="85"/>
        <v>8100.1679948754527</v>
      </c>
      <c r="AF80" s="22">
        <f t="shared" si="85"/>
        <v>0</v>
      </c>
      <c r="AH80" s="22">
        <f t="shared" si="81"/>
        <v>26666.68</v>
      </c>
      <c r="AI80" s="22">
        <f t="shared" si="81"/>
        <v>49714.90992803422</v>
      </c>
      <c r="AJ80" s="22">
        <f t="shared" si="81"/>
        <v>41172.564839525337</v>
      </c>
      <c r="AK80" s="22">
        <f t="shared" si="81"/>
        <v>40134.490618612188</v>
      </c>
      <c r="AL80" s="22">
        <f t="shared" si="81"/>
        <v>43756.004030862736</v>
      </c>
      <c r="AM80" s="22">
        <f t="shared" si="81"/>
        <v>44031.116783173078</v>
      </c>
      <c r="AN80" s="22">
        <f t="shared" si="81"/>
        <v>40766.768978704131</v>
      </c>
      <c r="AO80" s="22">
        <f t="shared" si="81"/>
        <v>38332.099575600907</v>
      </c>
      <c r="AP80" s="22">
        <f t="shared" si="81"/>
        <v>32025.224419298305</v>
      </c>
      <c r="AQ80" s="22">
        <f t="shared" si="81"/>
        <v>29510.406035741064</v>
      </c>
      <c r="AR80" s="22">
        <f t="shared" si="81"/>
        <v>34002.278596052201</v>
      </c>
      <c r="AS80" s="22">
        <f t="shared" si="81"/>
        <v>29136.231040249564</v>
      </c>
      <c r="AT80" s="22">
        <f t="shared" si="81"/>
        <v>26264.17513193078</v>
      </c>
      <c r="AU80" s="22">
        <f t="shared" si="81"/>
        <v>22697.527994875454</v>
      </c>
      <c r="AV80" s="22">
        <f t="shared" si="81"/>
        <v>11550.08</v>
      </c>
      <c r="AX80" s="41"/>
    </row>
    <row r="81" spans="1:48" x14ac:dyDescent="0.25">
      <c r="A81" s="6"/>
    </row>
    <row r="82" spans="1:48" x14ac:dyDescent="0.25">
      <c r="A82" s="6" t="s">
        <v>35</v>
      </c>
      <c r="B82" s="12">
        <f>VLOOKUP($A82,'Standardized Statements'!$A:$Q,B$4,FALSE)</f>
        <v>252</v>
      </c>
      <c r="C82" s="12">
        <f>VLOOKUP($A82,'Standardized Statements'!$A:$Q,C$4,FALSE)</f>
        <v>376</v>
      </c>
      <c r="D82" s="12">
        <f>VLOOKUP($A82,'Standardized Statements'!$A:$Q,D$4,FALSE)</f>
        <v>292</v>
      </c>
      <c r="E82" s="12">
        <f>VLOOKUP($A82,'Standardized Statements'!$A:$Q,E$4,FALSE)</f>
        <v>281</v>
      </c>
      <c r="F82" s="12">
        <f>VLOOKUP($A82,'Standardized Statements'!$A:$Q,F$4,FALSE)</f>
        <v>224</v>
      </c>
      <c r="G82" s="12">
        <f>VLOOKUP($A82,'Standardized Statements'!$A:$Q,G$4,FALSE)</f>
        <v>310</v>
      </c>
      <c r="H82" s="12">
        <f>VLOOKUP($A82,'Standardized Statements'!$A:$Q,H$4,FALSE)</f>
        <v>328</v>
      </c>
      <c r="I82" s="12">
        <f>VLOOKUP($A82,'Standardized Statements'!$A:$Q,I$4,FALSE)</f>
        <v>367</v>
      </c>
      <c r="J82" s="12">
        <f>VLOOKUP($A82,'Standardized Statements'!$A:$Q,J$4,FALSE)</f>
        <v>536</v>
      </c>
      <c r="K82" s="12">
        <f>VLOOKUP($A82,'Standardized Statements'!$A:$Q,K$4,FALSE)</f>
        <v>568</v>
      </c>
      <c r="L82" s="12">
        <f>VLOOKUP($A82,'Standardized Statements'!$A:$Q,L$4,FALSE)</f>
        <v>356</v>
      </c>
      <c r="M82" s="12">
        <f>VLOOKUP($A82,'Standardized Statements'!$A:$Q,M$4,FALSE)</f>
        <v>467</v>
      </c>
      <c r="N82" s="12">
        <f>VLOOKUP($A82,'Standardized Statements'!$A:$Q,N$4,FALSE)</f>
        <v>1060</v>
      </c>
      <c r="O82" s="12">
        <f>VLOOKUP($A82,'Standardized Statements'!$A:$Q,O$4,FALSE)</f>
        <v>793</v>
      </c>
      <c r="P82" s="12">
        <f>VLOOKUP($A82,'Standardized Statements'!$A:$Q,P$4,FALSE)</f>
        <v>515</v>
      </c>
      <c r="R82" s="12"/>
      <c r="S82" s="12"/>
      <c r="T82" s="12"/>
      <c r="U82" s="12"/>
      <c r="V82" s="12"/>
      <c r="W82" s="12"/>
      <c r="X82" s="12"/>
      <c r="Y82" s="12"/>
      <c r="Z82" s="12"/>
      <c r="AA82" s="12"/>
      <c r="AB82" s="12"/>
      <c r="AC82" s="12"/>
      <c r="AD82" s="12"/>
      <c r="AE82" s="12"/>
      <c r="AF82" s="12"/>
      <c r="AH82" s="12">
        <f t="shared" ref="AH82:AV85" si="86">B82+R82</f>
        <v>252</v>
      </c>
      <c r="AI82" s="12">
        <f t="shared" si="86"/>
        <v>376</v>
      </c>
      <c r="AJ82" s="12">
        <f t="shared" si="86"/>
        <v>292</v>
      </c>
      <c r="AK82" s="12">
        <f t="shared" si="86"/>
        <v>281</v>
      </c>
      <c r="AL82" s="12">
        <f t="shared" si="86"/>
        <v>224</v>
      </c>
      <c r="AM82" s="12">
        <f t="shared" si="86"/>
        <v>310</v>
      </c>
      <c r="AN82" s="12">
        <f t="shared" si="86"/>
        <v>328</v>
      </c>
      <c r="AO82" s="12">
        <f t="shared" si="86"/>
        <v>367</v>
      </c>
      <c r="AP82" s="12">
        <f t="shared" si="86"/>
        <v>536</v>
      </c>
      <c r="AQ82" s="12">
        <f t="shared" si="86"/>
        <v>568</v>
      </c>
      <c r="AR82" s="12">
        <f t="shared" si="86"/>
        <v>356</v>
      </c>
      <c r="AS82" s="12">
        <f t="shared" si="86"/>
        <v>467</v>
      </c>
      <c r="AT82" s="12">
        <f t="shared" si="86"/>
        <v>1060</v>
      </c>
      <c r="AU82" s="12">
        <f t="shared" si="86"/>
        <v>793</v>
      </c>
      <c r="AV82" s="12">
        <f t="shared" si="86"/>
        <v>515</v>
      </c>
    </row>
    <row r="83" spans="1:48" x14ac:dyDescent="0.25">
      <c r="A83" s="6" t="s">
        <v>31</v>
      </c>
      <c r="B83" s="12">
        <f>VLOOKUP($A83,'Standardized Statements'!$A:$Q,B$4,FALSE)</f>
        <v>0</v>
      </c>
      <c r="C83" s="12">
        <f>VLOOKUP($A83,'Standardized Statements'!$A:$Q,C$4,FALSE)</f>
        <v>0</v>
      </c>
      <c r="D83" s="12">
        <f>VLOOKUP($A83,'Standardized Statements'!$A:$Q,D$4,FALSE)</f>
        <v>0</v>
      </c>
      <c r="E83" s="12">
        <f>VLOOKUP($A83,'Standardized Statements'!$A:$Q,E$4,FALSE)</f>
        <v>0</v>
      </c>
      <c r="F83" s="12">
        <f>VLOOKUP($A83,'Standardized Statements'!$A:$Q,F$4,FALSE)</f>
        <v>0</v>
      </c>
      <c r="G83" s="12">
        <f>VLOOKUP($A83,'Standardized Statements'!$A:$Q,G$4,FALSE)</f>
        <v>0</v>
      </c>
      <c r="H83" s="12">
        <f>VLOOKUP($A83,'Standardized Statements'!$A:$Q,H$4,FALSE)</f>
        <v>0</v>
      </c>
      <c r="I83" s="12">
        <f>VLOOKUP($A83,'Standardized Statements'!$A:$Q,I$4,FALSE)</f>
        <v>0</v>
      </c>
      <c r="J83" s="12">
        <f>VLOOKUP($A83,'Standardized Statements'!$A:$Q,J$4,FALSE)</f>
        <v>0</v>
      </c>
      <c r="K83" s="12">
        <f>VLOOKUP($A83,'Standardized Statements'!$A:$Q,K$4,FALSE)</f>
        <v>0</v>
      </c>
      <c r="L83" s="12">
        <f>VLOOKUP($A83,'Standardized Statements'!$A:$Q,L$4,FALSE)</f>
        <v>0</v>
      </c>
      <c r="M83" s="12">
        <f>VLOOKUP($A83,'Standardized Statements'!$A:$Q,M$4,FALSE)</f>
        <v>0</v>
      </c>
      <c r="N83" s="12">
        <f>VLOOKUP($A83,'Standardized Statements'!$A:$Q,N$4,FALSE)</f>
        <v>0</v>
      </c>
      <c r="O83" s="12">
        <f>VLOOKUP($A83,'Standardized Statements'!$A:$Q,O$4,FALSE)</f>
        <v>0</v>
      </c>
      <c r="P83" s="12">
        <f>VLOOKUP($A83,'Standardized Statements'!$A:$Q,P$4,FALSE)</f>
        <v>0</v>
      </c>
      <c r="R83" s="12"/>
      <c r="S83" s="12"/>
      <c r="T83" s="12"/>
      <c r="U83" s="12"/>
      <c r="V83" s="12"/>
      <c r="W83" s="12"/>
      <c r="X83" s="12"/>
      <c r="Y83" s="12"/>
      <c r="Z83" s="12"/>
      <c r="AA83" s="12"/>
      <c r="AB83" s="12"/>
      <c r="AC83" s="12"/>
      <c r="AD83" s="12"/>
      <c r="AE83" s="12"/>
      <c r="AF83" s="12"/>
      <c r="AH83" s="12">
        <f t="shared" si="86"/>
        <v>0</v>
      </c>
      <c r="AI83" s="12">
        <f t="shared" si="86"/>
        <v>0</v>
      </c>
      <c r="AJ83" s="12">
        <f t="shared" si="86"/>
        <v>0</v>
      </c>
      <c r="AK83" s="12">
        <f t="shared" si="86"/>
        <v>0</v>
      </c>
      <c r="AL83" s="12">
        <f t="shared" si="86"/>
        <v>0</v>
      </c>
      <c r="AM83" s="12">
        <f t="shared" si="86"/>
        <v>0</v>
      </c>
      <c r="AN83" s="12">
        <f t="shared" si="86"/>
        <v>0</v>
      </c>
      <c r="AO83" s="12">
        <f t="shared" si="86"/>
        <v>0</v>
      </c>
      <c r="AP83" s="12">
        <f t="shared" si="86"/>
        <v>0</v>
      </c>
      <c r="AQ83" s="12">
        <f t="shared" si="86"/>
        <v>0</v>
      </c>
      <c r="AR83" s="12">
        <f t="shared" si="86"/>
        <v>0</v>
      </c>
      <c r="AS83" s="12">
        <f t="shared" si="86"/>
        <v>0</v>
      </c>
      <c r="AT83" s="12">
        <f t="shared" si="86"/>
        <v>0</v>
      </c>
      <c r="AU83" s="12">
        <f t="shared" si="86"/>
        <v>0</v>
      </c>
      <c r="AV83" s="12">
        <f t="shared" si="86"/>
        <v>0</v>
      </c>
    </row>
    <row r="84" spans="1:48" ht="30" x14ac:dyDescent="0.25">
      <c r="A84" s="6" t="s">
        <v>245</v>
      </c>
      <c r="B84" s="13">
        <f>VLOOKUP($A84,'Standardized Statements'!$A:$Q,B$4,FALSE)</f>
        <v>-5244</v>
      </c>
      <c r="C84" s="13">
        <f>VLOOKUP($A84,'Standardized Statements'!$A:$Q,C$4,FALSE)</f>
        <v>-10528</v>
      </c>
      <c r="D84" s="13">
        <f>VLOOKUP($A84,'Standardized Statements'!$A:$Q,D$4,FALSE)</f>
        <v>-13152</v>
      </c>
      <c r="E84" s="13">
        <f>VLOOKUP($A84,'Standardized Statements'!$A:$Q,E$4,FALSE)</f>
        <v>-12496</v>
      </c>
      <c r="F84" s="13">
        <f>VLOOKUP($A84,'Standardized Statements'!$A:$Q,F$4,FALSE)</f>
        <v>-13498</v>
      </c>
      <c r="G84" s="13">
        <f>VLOOKUP($A84,'Standardized Statements'!$A:$Q,G$4,FALSE)</f>
        <v>-9610</v>
      </c>
      <c r="H84" s="13">
        <f>VLOOKUP($A84,'Standardized Statements'!$A:$Q,H$4,FALSE)</f>
        <v>-8708</v>
      </c>
      <c r="I84" s="13">
        <f>VLOOKUP($A84,'Standardized Statements'!$A:$Q,I$4,FALSE)</f>
        <v>-8369</v>
      </c>
      <c r="J84" s="13">
        <f>VLOOKUP($A84,'Standardized Statements'!$A:$Q,J$4,FALSE)</f>
        <v>-2901</v>
      </c>
      <c r="K84" s="13">
        <f>VLOOKUP($A84,'Standardized Statements'!$A:$Q,K$4,FALSE)</f>
        <v>-4056</v>
      </c>
      <c r="L84" s="13">
        <f>VLOOKUP($A84,'Standardized Statements'!$A:$Q,L$4,FALSE)</f>
        <v>-10129</v>
      </c>
      <c r="M84" s="13">
        <f>VLOOKUP($A84,'Standardized Statements'!$A:$Q,M$4,FALSE)</f>
        <v>-8755</v>
      </c>
      <c r="N84" s="13">
        <f>VLOOKUP($A84,'Standardized Statements'!$A:$Q,N$4,FALSE)</f>
        <v>-1090</v>
      </c>
      <c r="O84" s="13">
        <f>VLOOKUP($A84,'Standardized Statements'!$A:$Q,O$4,FALSE)</f>
        <v>144</v>
      </c>
      <c r="P84" s="13">
        <f>VLOOKUP($A84,'Standardized Statements'!$A:$Q,P$4,FALSE)</f>
        <v>-4395</v>
      </c>
      <c r="R84" s="13">
        <f>-'Lease adjustments'!B24</f>
        <v>0</v>
      </c>
      <c r="S84" s="13">
        <f>-'Lease adjustments'!C24</f>
        <v>-20379.081841980333</v>
      </c>
      <c r="T84" s="13">
        <f>-'Lease adjustments'!D24</f>
        <v>-11534.410973097329</v>
      </c>
      <c r="U84" s="13">
        <f>-'Lease adjustments'!E24</f>
        <v>-15057.09884263097</v>
      </c>
      <c r="V84" s="13">
        <f>-'Lease adjustments'!F24</f>
        <v>-16110.292983312262</v>
      </c>
      <c r="W84" s="13">
        <f>-'Lease adjustments'!G24</f>
        <v>-24500.527514802176</v>
      </c>
      <c r="X84" s="13">
        <f>-'Lease adjustments'!H24</f>
        <v>-30251.549455988774</v>
      </c>
      <c r="Y84" s="13">
        <f>-'Lease adjustments'!I24</f>
        <v>-21162.137787687345</v>
      </c>
      <c r="Z84" s="13">
        <f>-'Lease adjustments'!J24</f>
        <v>-14307.111731027951</v>
      </c>
      <c r="AA84" s="13">
        <f>-'Lease adjustments'!K24</f>
        <v>-12321.172712628359</v>
      </c>
      <c r="AB84" s="13">
        <f>-'Lease adjustments'!L24</f>
        <v>-12305.728980097134</v>
      </c>
      <c r="AC84" s="13">
        <f>-'Lease adjustments'!M24</f>
        <v>-14092.75610312623</v>
      </c>
      <c r="AD84" s="13">
        <f>-'Lease adjustments'!N24</f>
        <v>-19706.794071197557</v>
      </c>
      <c r="AE84" s="13">
        <f>-'Lease adjustments'!O24</f>
        <v>-9771.4003091579689</v>
      </c>
      <c r="AF84" s="13">
        <f>-'Lease adjustments'!P24</f>
        <v>0</v>
      </c>
      <c r="AH84" s="13">
        <f t="shared" si="86"/>
        <v>-5244</v>
      </c>
      <c r="AI84" s="13">
        <f t="shared" si="86"/>
        <v>-30907.081841980333</v>
      </c>
      <c r="AJ84" s="13">
        <f t="shared" si="86"/>
        <v>-24686.410973097329</v>
      </c>
      <c r="AK84" s="13">
        <f t="shared" si="86"/>
        <v>-27553.09884263097</v>
      </c>
      <c r="AL84" s="13">
        <f t="shared" si="86"/>
        <v>-29608.292983312262</v>
      </c>
      <c r="AM84" s="13">
        <f t="shared" si="86"/>
        <v>-34110.527514802176</v>
      </c>
      <c r="AN84" s="13">
        <f t="shared" si="86"/>
        <v>-38959.549455988774</v>
      </c>
      <c r="AO84" s="13">
        <f t="shared" si="86"/>
        <v>-29531.137787687345</v>
      </c>
      <c r="AP84" s="13">
        <f t="shared" si="86"/>
        <v>-17208.111731027951</v>
      </c>
      <c r="AQ84" s="13">
        <f t="shared" si="86"/>
        <v>-16377.172712628359</v>
      </c>
      <c r="AR84" s="13">
        <f t="shared" si="86"/>
        <v>-22434.728980097134</v>
      </c>
      <c r="AS84" s="13">
        <f t="shared" si="86"/>
        <v>-22847.75610312623</v>
      </c>
      <c r="AT84" s="13">
        <f t="shared" si="86"/>
        <v>-20796.794071197557</v>
      </c>
      <c r="AU84" s="13">
        <f t="shared" si="86"/>
        <v>-9627.4003091579689</v>
      </c>
      <c r="AV84" s="13">
        <f t="shared" si="86"/>
        <v>-4395</v>
      </c>
    </row>
    <row r="85" spans="1:48" x14ac:dyDescent="0.25">
      <c r="A85" s="14" t="s">
        <v>70</v>
      </c>
      <c r="B85" s="22">
        <f>SUM(B80:B84)</f>
        <v>21674.68</v>
      </c>
      <c r="C85" s="22">
        <f>SUM(C80:C84)</f>
        <v>18728.66</v>
      </c>
      <c r="D85" s="22">
        <f>SUM(D80:D84)</f>
        <v>8259.7999999999993</v>
      </c>
      <c r="E85" s="22">
        <f t="shared" ref="E85:J85" si="87">SUM(E80:E84)</f>
        <v>9133.119999999999</v>
      </c>
      <c r="F85" s="22">
        <f t="shared" si="87"/>
        <v>10297.279999999999</v>
      </c>
      <c r="G85" s="22">
        <f t="shared" si="87"/>
        <v>14481.18</v>
      </c>
      <c r="H85" s="22">
        <f t="shared" si="87"/>
        <v>15480.760000000002</v>
      </c>
      <c r="I85" s="22">
        <f t="shared" si="87"/>
        <v>15495.18</v>
      </c>
      <c r="J85" s="22">
        <f t="shared" si="87"/>
        <v>16021.11</v>
      </c>
      <c r="K85" s="22">
        <f t="shared" ref="K85:P85" si="88">SUM(K80:K84)</f>
        <v>13389.058000000001</v>
      </c>
      <c r="L85" s="22">
        <f t="shared" si="88"/>
        <v>11723.003000000001</v>
      </c>
      <c r="M85" s="22">
        <f t="shared" si="88"/>
        <v>9231.68</v>
      </c>
      <c r="N85" s="22">
        <f t="shared" si="88"/>
        <v>16888.96</v>
      </c>
      <c r="O85" s="22">
        <f t="shared" si="88"/>
        <v>15534.36</v>
      </c>
      <c r="P85" s="22">
        <f t="shared" si="88"/>
        <v>7670.08</v>
      </c>
      <c r="R85" s="22">
        <f>SUM(R80:R84)</f>
        <v>0</v>
      </c>
      <c r="S85" s="22">
        <f>SUM(S80:S84)</f>
        <v>455.1680860538836</v>
      </c>
      <c r="T85" s="22">
        <f>SUM(T80:T84)</f>
        <v>8518.3538664280095</v>
      </c>
      <c r="U85" s="22">
        <f t="shared" ref="U85:Z85" si="89">SUM(U80:U84)</f>
        <v>3729.2717759812185</v>
      </c>
      <c r="V85" s="22">
        <f t="shared" si="89"/>
        <v>4074.431047550479</v>
      </c>
      <c r="W85" s="22">
        <f t="shared" si="89"/>
        <v>-4250.5907316290977</v>
      </c>
      <c r="X85" s="22">
        <f t="shared" si="89"/>
        <v>-13345.540477284649</v>
      </c>
      <c r="Y85" s="22">
        <f t="shared" si="89"/>
        <v>-6327.2182120864418</v>
      </c>
      <c r="Z85" s="22">
        <f t="shared" si="89"/>
        <v>-667.99731172964675</v>
      </c>
      <c r="AA85" s="22">
        <f t="shared" ref="AA85:AF85" si="90">SUM(AA80:AA84)</f>
        <v>312.17532311270224</v>
      </c>
      <c r="AB85" s="22">
        <f t="shared" si="90"/>
        <v>200.54661595506514</v>
      </c>
      <c r="AC85" s="22">
        <f t="shared" si="90"/>
        <v>-2476.2050628766665</v>
      </c>
      <c r="AD85" s="22">
        <f t="shared" si="90"/>
        <v>-10361.578939266774</v>
      </c>
      <c r="AE85" s="22">
        <f t="shared" si="90"/>
        <v>-1671.2323142825162</v>
      </c>
      <c r="AF85" s="22">
        <f t="shared" si="90"/>
        <v>0</v>
      </c>
      <c r="AH85" s="22">
        <f t="shared" si="86"/>
        <v>21674.68</v>
      </c>
      <c r="AI85" s="22">
        <f t="shared" si="86"/>
        <v>19183.828086053883</v>
      </c>
      <c r="AJ85" s="22">
        <f t="shared" si="86"/>
        <v>16778.153866428009</v>
      </c>
      <c r="AK85" s="22">
        <f t="shared" si="86"/>
        <v>12862.391775981218</v>
      </c>
      <c r="AL85" s="22">
        <f t="shared" si="86"/>
        <v>14371.711047550478</v>
      </c>
      <c r="AM85" s="22">
        <f t="shared" si="86"/>
        <v>10230.589268370903</v>
      </c>
      <c r="AN85" s="22">
        <f t="shared" si="86"/>
        <v>2135.2195227153534</v>
      </c>
      <c r="AO85" s="22">
        <f t="shared" si="86"/>
        <v>9167.9617879135585</v>
      </c>
      <c r="AP85" s="22">
        <f t="shared" si="86"/>
        <v>15353.112688270354</v>
      </c>
      <c r="AQ85" s="22">
        <f t="shared" si="86"/>
        <v>13701.233323112703</v>
      </c>
      <c r="AR85" s="22">
        <f t="shared" si="86"/>
        <v>11923.549615955066</v>
      </c>
      <c r="AS85" s="22">
        <f t="shared" si="86"/>
        <v>6755.4749371233338</v>
      </c>
      <c r="AT85" s="22">
        <f t="shared" si="86"/>
        <v>6527.3810607332252</v>
      </c>
      <c r="AU85" s="22">
        <f t="shared" si="86"/>
        <v>13863.127685717485</v>
      </c>
      <c r="AV85" s="22">
        <f t="shared" si="86"/>
        <v>7670.08</v>
      </c>
    </row>
    <row r="86" spans="1:48" x14ac:dyDescent="0.25">
      <c r="A86" s="14"/>
      <c r="B86" s="1"/>
      <c r="C86" s="1"/>
      <c r="D86" s="1"/>
      <c r="E86" s="1"/>
      <c r="F86" s="1"/>
      <c r="G86" s="1"/>
      <c r="H86" s="1"/>
      <c r="I86" s="1"/>
      <c r="J86" s="1"/>
      <c r="K86" s="1"/>
      <c r="L86" s="1"/>
      <c r="M86" s="1"/>
      <c r="N86" s="1"/>
      <c r="O86" s="1"/>
      <c r="P86" s="1"/>
      <c r="R86" s="1"/>
      <c r="S86" s="1"/>
      <c r="T86" s="1"/>
      <c r="U86" s="1"/>
      <c r="V86" s="1"/>
      <c r="W86" s="1"/>
      <c r="X86" s="1"/>
      <c r="Y86" s="1"/>
      <c r="Z86" s="1"/>
      <c r="AA86" s="1"/>
      <c r="AB86" s="1"/>
      <c r="AC86" s="1"/>
      <c r="AD86" s="1"/>
      <c r="AE86" s="1"/>
      <c r="AF86" s="1"/>
      <c r="AH86" s="1"/>
      <c r="AI86" s="1"/>
      <c r="AJ86" s="1"/>
      <c r="AK86" s="1"/>
      <c r="AL86" s="1"/>
      <c r="AM86" s="1"/>
      <c r="AN86" s="1"/>
      <c r="AO86" s="1"/>
      <c r="AP86" s="1"/>
      <c r="AQ86" s="1"/>
      <c r="AR86" s="1"/>
      <c r="AS86" s="1"/>
      <c r="AT86" s="1"/>
      <c r="AU86" s="1"/>
      <c r="AV86" s="1"/>
    </row>
    <row r="87" spans="1:48" x14ac:dyDescent="0.25">
      <c r="A87" s="6" t="s">
        <v>30</v>
      </c>
      <c r="B87" s="12">
        <f>VLOOKUP($A87,'Standardized Statements'!$A:$Q,B$4,FALSE)*B104</f>
        <v>-1018.6800000000001</v>
      </c>
      <c r="C87" s="12">
        <f>VLOOKUP($A87,'Standardized Statements'!$A:$Q,C$4,FALSE)*C104</f>
        <v>-270.66000000000003</v>
      </c>
      <c r="D87" s="12">
        <f>VLOOKUP($A87,'Standardized Statements'!$A:$Q,D$4,FALSE)*D104</f>
        <v>-124.80000000000001</v>
      </c>
      <c r="E87" s="12">
        <f>VLOOKUP($A87,'Standardized Statements'!$A:$Q,E$4,FALSE)*E104</f>
        <v>-42.120000000000005</v>
      </c>
      <c r="F87" s="12">
        <f>VLOOKUP($A87,'Standardized Statements'!$A:$Q,F$4,FALSE)*F104</f>
        <v>-20.28</v>
      </c>
      <c r="G87" s="12">
        <f>VLOOKUP($A87,'Standardized Statements'!$A:$Q,G$4,FALSE)*G104</f>
        <v>-24.18</v>
      </c>
      <c r="H87" s="12">
        <f>VLOOKUP($A87,'Standardized Statements'!$A:$Q,H$4,FALSE)*H104</f>
        <v>-32.76</v>
      </c>
      <c r="I87" s="12">
        <f>VLOOKUP($A87,'Standardized Statements'!$A:$Q,I$4,FALSE)*I104</f>
        <v>-24.18</v>
      </c>
      <c r="J87" s="12">
        <f>VLOOKUP($A87,'Standardized Statements'!$A:$Q,J$4,FALSE)*J104</f>
        <v>-22.11</v>
      </c>
      <c r="K87" s="12">
        <f>VLOOKUP($A87,'Standardized Statements'!$A:$Q,K$4,FALSE)*K104</f>
        <v>-25.058</v>
      </c>
      <c r="L87" s="12">
        <f>VLOOKUP($A87,'Standardized Statements'!$A:$Q,L$4,FALSE)*L104</f>
        <v>-14.003</v>
      </c>
      <c r="M87" s="12">
        <f>VLOOKUP($A87,'Standardized Statements'!$A:$Q,M$4,FALSE)*M104</f>
        <v>-13.68</v>
      </c>
      <c r="N87" s="12">
        <f>VLOOKUP($A87,'Standardized Statements'!$A:$Q,N$4,FALSE)*N104</f>
        <v>-12.959999999999999</v>
      </c>
      <c r="O87" s="12">
        <f>VLOOKUP($A87,'Standardized Statements'!$A:$Q,O$4,FALSE)*O104</f>
        <v>-9.36</v>
      </c>
      <c r="P87" s="12">
        <f>VLOOKUP($A87,'Standardized Statements'!$A:$Q,P$4,FALSE)*P104</f>
        <v>-10.08</v>
      </c>
      <c r="R87" s="12">
        <f t="shared" ref="R87" si="91">R12*E104</f>
        <v>0</v>
      </c>
      <c r="S87" s="12">
        <f>S12*C104</f>
        <v>-1020.2048006059556</v>
      </c>
      <c r="T87" s="12">
        <f t="shared" ref="T87:AF87" si="92">T12*D104</f>
        <v>-1135.3792053192522</v>
      </c>
      <c r="U87" s="12">
        <f t="shared" si="92"/>
        <v>-1204.140534011332</v>
      </c>
      <c r="V87" s="12">
        <f t="shared" si="92"/>
        <v>-1309.2511633048305</v>
      </c>
      <c r="W87" s="12">
        <f t="shared" si="92"/>
        <v>-1078.0423142045493</v>
      </c>
      <c r="X87" s="12">
        <f t="shared" si="92"/>
        <v>-957.24089368538102</v>
      </c>
      <c r="Y87" s="12">
        <f t="shared" si="92"/>
        <v>-741.28514105134298</v>
      </c>
      <c r="Z87" s="12">
        <f t="shared" si="92"/>
        <v>-1168.2306957306073</v>
      </c>
      <c r="AA87" s="12">
        <f t="shared" si="92"/>
        <v>-1007.8459987028041</v>
      </c>
      <c r="AB87" s="12">
        <f t="shared" si="92"/>
        <v>-1078.1060293137987</v>
      </c>
      <c r="AC87" s="12">
        <f t="shared" si="92"/>
        <v>-1626.2973250725513</v>
      </c>
      <c r="AD87" s="12">
        <f t="shared" si="92"/>
        <v>-1107.7325178922708</v>
      </c>
      <c r="AE87" s="12">
        <f t="shared" si="92"/>
        <v>-943.28229889169165</v>
      </c>
      <c r="AF87" s="12">
        <f t="shared" si="92"/>
        <v>0</v>
      </c>
      <c r="AH87" s="12">
        <f t="shared" ref="AH87:AV89" si="93">B87+R87</f>
        <v>-1018.6800000000001</v>
      </c>
      <c r="AI87" s="12">
        <f t="shared" si="93"/>
        <v>-1290.8648006059557</v>
      </c>
      <c r="AJ87" s="12">
        <f t="shared" si="93"/>
        <v>-1260.1792053192521</v>
      </c>
      <c r="AK87" s="12">
        <f t="shared" si="93"/>
        <v>-1246.2605340113319</v>
      </c>
      <c r="AL87" s="12">
        <f t="shared" si="93"/>
        <v>-1329.5311633048304</v>
      </c>
      <c r="AM87" s="12">
        <f t="shared" si="93"/>
        <v>-1102.2223142045493</v>
      </c>
      <c r="AN87" s="12">
        <f t="shared" si="93"/>
        <v>-990.00089368538102</v>
      </c>
      <c r="AO87" s="12">
        <f t="shared" si="93"/>
        <v>-765.46514105134293</v>
      </c>
      <c r="AP87" s="12">
        <f t="shared" si="93"/>
        <v>-1190.3406957306072</v>
      </c>
      <c r="AQ87" s="12">
        <f t="shared" si="93"/>
        <v>-1032.9039987028041</v>
      </c>
      <c r="AR87" s="12">
        <f t="shared" si="93"/>
        <v>-1092.1090293137986</v>
      </c>
      <c r="AS87" s="12">
        <f t="shared" si="93"/>
        <v>-1639.9773250725514</v>
      </c>
      <c r="AT87" s="12">
        <f t="shared" si="93"/>
        <v>-1120.6925178922709</v>
      </c>
      <c r="AU87" s="12">
        <f t="shared" si="93"/>
        <v>-952.64229889169167</v>
      </c>
      <c r="AV87" s="12">
        <f t="shared" si="93"/>
        <v>-10.08</v>
      </c>
    </row>
    <row r="88" spans="1:48" x14ac:dyDescent="0.25">
      <c r="A88" s="6" t="s">
        <v>8</v>
      </c>
      <c r="B88" s="13">
        <f>VLOOKUP($A88,'Standardized Statements'!$A:$Q,B$4,FALSE)</f>
        <v>-15159</v>
      </c>
      <c r="C88" s="13">
        <f>VLOOKUP($A88,'Standardized Statements'!$A:$Q,C$4,FALSE)</f>
        <v>-2155</v>
      </c>
      <c r="D88" s="13">
        <f>VLOOKUP($A88,'Standardized Statements'!$A:$Q,D$4,FALSE)</f>
        <v>9452</v>
      </c>
      <c r="E88" s="13">
        <f>VLOOKUP($A88,'Standardized Statements'!$A:$Q,E$4,FALSE)</f>
        <v>7620</v>
      </c>
      <c r="F88" s="13">
        <f>VLOOKUP($A88,'Standardized Statements'!$A:$Q,F$4,FALSE)</f>
        <v>2068</v>
      </c>
      <c r="G88" s="13">
        <f>VLOOKUP($A88,'Standardized Statements'!$A:$Q,G$4,FALSE)</f>
        <v>0</v>
      </c>
      <c r="H88" s="13">
        <f>VLOOKUP($A88,'Standardized Statements'!$A:$Q,H$4,FALSE)</f>
        <v>0</v>
      </c>
      <c r="I88" s="13">
        <f>VLOOKUP($A88,'Standardized Statements'!$A:$Q,I$4,FALSE)</f>
        <v>0</v>
      </c>
      <c r="J88" s="13">
        <f>VLOOKUP($A88,'Standardized Statements'!$A:$Q,J$4,FALSE)</f>
        <v>0</v>
      </c>
      <c r="K88" s="13">
        <f>VLOOKUP($A88,'Standardized Statements'!$A:$Q,K$4,FALSE)</f>
        <v>0</v>
      </c>
      <c r="L88" s="13">
        <f>VLOOKUP($A88,'Standardized Statements'!$A:$Q,L$4,FALSE)</f>
        <v>0</v>
      </c>
      <c r="M88" s="13">
        <f>VLOOKUP($A88,'Standardized Statements'!$A:$Q,M$4,FALSE)</f>
        <v>0</v>
      </c>
      <c r="N88" s="13">
        <f>VLOOKUP($A88,'Standardized Statements'!$A:$Q,N$4,FALSE)</f>
        <v>0</v>
      </c>
      <c r="O88" s="13">
        <f>VLOOKUP($A88,'Standardized Statements'!$A:$Q,O$4,FALSE)</f>
        <v>0</v>
      </c>
      <c r="P88" s="13">
        <f>VLOOKUP($A88,'Standardized Statements'!$A:$Q,P$4,FALSE)</f>
        <v>0</v>
      </c>
      <c r="R88" s="13">
        <f t="shared" ref="R88:W88" si="94">-R76-R84</f>
        <v>0</v>
      </c>
      <c r="S88" s="13">
        <f t="shared" si="94"/>
        <v>565.03671455207223</v>
      </c>
      <c r="T88" s="13">
        <f t="shared" si="94"/>
        <v>-7382.9746611087576</v>
      </c>
      <c r="U88" s="13">
        <f t="shared" si="94"/>
        <v>-2525.1312419698879</v>
      </c>
      <c r="V88" s="13">
        <f t="shared" si="94"/>
        <v>-2765.1798842456483</v>
      </c>
      <c r="W88" s="13">
        <f t="shared" si="94"/>
        <v>5328.6330458336488</v>
      </c>
      <c r="X88" s="13">
        <f t="shared" ref="X88:AF88" si="95">-X76-X84</f>
        <v>14302.781370970031</v>
      </c>
      <c r="Y88" s="13">
        <f t="shared" si="95"/>
        <v>7068.5033531377849</v>
      </c>
      <c r="Z88" s="13">
        <f t="shared" si="95"/>
        <v>1836.228007460255</v>
      </c>
      <c r="AA88" s="13">
        <f t="shared" si="95"/>
        <v>695.67067559010138</v>
      </c>
      <c r="AB88" s="13">
        <f t="shared" si="95"/>
        <v>877.55941335873285</v>
      </c>
      <c r="AC88" s="13">
        <f t="shared" si="95"/>
        <v>4102.5023879492182</v>
      </c>
      <c r="AD88" s="13">
        <f t="shared" si="95"/>
        <v>11469.311457159045</v>
      </c>
      <c r="AE88" s="13">
        <f t="shared" si="95"/>
        <v>2614.5146131742076</v>
      </c>
      <c r="AF88" s="13">
        <f t="shared" si="95"/>
        <v>0</v>
      </c>
      <c r="AH88" s="13">
        <f t="shared" si="93"/>
        <v>-15159</v>
      </c>
      <c r="AI88" s="13">
        <f t="shared" si="93"/>
        <v>-1589.9632854479278</v>
      </c>
      <c r="AJ88" s="13">
        <f t="shared" si="93"/>
        <v>2069.0253388912424</v>
      </c>
      <c r="AK88" s="13">
        <f t="shared" si="93"/>
        <v>5094.8687580301121</v>
      </c>
      <c r="AL88" s="13">
        <f t="shared" si="93"/>
        <v>-697.17988424564828</v>
      </c>
      <c r="AM88" s="13">
        <f t="shared" si="93"/>
        <v>5328.6330458336488</v>
      </c>
      <c r="AN88" s="13">
        <f t="shared" si="93"/>
        <v>14302.781370970031</v>
      </c>
      <c r="AO88" s="13">
        <f t="shared" si="93"/>
        <v>7068.5033531377849</v>
      </c>
      <c r="AP88" s="13">
        <f t="shared" si="93"/>
        <v>1836.228007460255</v>
      </c>
      <c r="AQ88" s="13">
        <f t="shared" si="93"/>
        <v>695.67067559010138</v>
      </c>
      <c r="AR88" s="13">
        <f t="shared" si="93"/>
        <v>877.55941335873285</v>
      </c>
      <c r="AS88" s="13">
        <f t="shared" si="93"/>
        <v>4102.5023879492182</v>
      </c>
      <c r="AT88" s="13">
        <f t="shared" si="93"/>
        <v>11469.311457159045</v>
      </c>
      <c r="AU88" s="13">
        <f t="shared" si="93"/>
        <v>2614.5146131742076</v>
      </c>
      <c r="AV88" s="13">
        <f t="shared" si="93"/>
        <v>0</v>
      </c>
    </row>
    <row r="89" spans="1:48" x14ac:dyDescent="0.25">
      <c r="A89" s="14" t="s">
        <v>71</v>
      </c>
      <c r="B89" s="22">
        <f>SUM(B85:B88)</f>
        <v>5497</v>
      </c>
      <c r="C89" s="22">
        <f>SUM(C85:C88)</f>
        <v>16303</v>
      </c>
      <c r="D89" s="22">
        <f>SUM(D85:D88)</f>
        <v>17587</v>
      </c>
      <c r="E89" s="22">
        <f t="shared" ref="E89:J89" si="96">SUM(E85:E88)</f>
        <v>16711</v>
      </c>
      <c r="F89" s="22">
        <f t="shared" si="96"/>
        <v>12344.999999999998</v>
      </c>
      <c r="G89" s="22">
        <f t="shared" si="96"/>
        <v>14457</v>
      </c>
      <c r="H89" s="22">
        <f t="shared" si="96"/>
        <v>15448.000000000002</v>
      </c>
      <c r="I89" s="22">
        <f t="shared" si="96"/>
        <v>15471</v>
      </c>
      <c r="J89" s="22">
        <f t="shared" si="96"/>
        <v>15999</v>
      </c>
      <c r="K89" s="22">
        <f t="shared" ref="K89:P89" si="97">SUM(K85:K88)</f>
        <v>13364</v>
      </c>
      <c r="L89" s="22">
        <f t="shared" si="97"/>
        <v>11709</v>
      </c>
      <c r="M89" s="22">
        <f t="shared" si="97"/>
        <v>9218</v>
      </c>
      <c r="N89" s="22">
        <f t="shared" si="97"/>
        <v>16876</v>
      </c>
      <c r="O89" s="22">
        <f t="shared" si="97"/>
        <v>15525</v>
      </c>
      <c r="P89" s="22">
        <f t="shared" si="97"/>
        <v>7660</v>
      </c>
      <c r="R89" s="22">
        <f>SUM(R85:R88)</f>
        <v>0</v>
      </c>
      <c r="S89" s="22">
        <f>SUM(S85:S88)</f>
        <v>0</v>
      </c>
      <c r="T89" s="22">
        <f>SUM(T85:T88)</f>
        <v>0</v>
      </c>
      <c r="U89" s="22">
        <f t="shared" ref="U89:Z89" si="98">SUM(U85:U88)</f>
        <v>0</v>
      </c>
      <c r="V89" s="22">
        <f t="shared" si="98"/>
        <v>0</v>
      </c>
      <c r="W89" s="22">
        <f t="shared" si="98"/>
        <v>0</v>
      </c>
      <c r="X89" s="22">
        <f t="shared" si="98"/>
        <v>0</v>
      </c>
      <c r="Y89" s="22">
        <f t="shared" si="98"/>
        <v>0</v>
      </c>
      <c r="Z89" s="22">
        <f t="shared" si="98"/>
        <v>0</v>
      </c>
      <c r="AA89" s="22">
        <f t="shared" ref="AA89:AF89" si="99">SUM(AA85:AA88)</f>
        <v>0</v>
      </c>
      <c r="AB89" s="22">
        <f t="shared" si="99"/>
        <v>0</v>
      </c>
      <c r="AC89" s="22">
        <f t="shared" si="99"/>
        <v>0</v>
      </c>
      <c r="AD89" s="22">
        <f t="shared" si="99"/>
        <v>0</v>
      </c>
      <c r="AE89" s="22">
        <f t="shared" si="99"/>
        <v>0</v>
      </c>
      <c r="AF89" s="22">
        <f t="shared" si="99"/>
        <v>0</v>
      </c>
      <c r="AH89" s="22">
        <f t="shared" si="93"/>
        <v>5497</v>
      </c>
      <c r="AI89" s="22">
        <f t="shared" si="93"/>
        <v>16303</v>
      </c>
      <c r="AJ89" s="22">
        <f t="shared" si="93"/>
        <v>17587</v>
      </c>
      <c r="AK89" s="22">
        <f t="shared" si="93"/>
        <v>16711</v>
      </c>
      <c r="AL89" s="22">
        <f t="shared" si="93"/>
        <v>12344.999999999998</v>
      </c>
      <c r="AM89" s="22">
        <f t="shared" si="93"/>
        <v>14457</v>
      </c>
      <c r="AN89" s="22">
        <f t="shared" si="93"/>
        <v>15448.000000000002</v>
      </c>
      <c r="AO89" s="22">
        <f t="shared" si="93"/>
        <v>15471</v>
      </c>
      <c r="AP89" s="22">
        <f t="shared" si="93"/>
        <v>15999</v>
      </c>
      <c r="AQ89" s="22">
        <f t="shared" si="93"/>
        <v>13364</v>
      </c>
      <c r="AR89" s="22">
        <f t="shared" si="93"/>
        <v>11709</v>
      </c>
      <c r="AS89" s="22">
        <f t="shared" si="93"/>
        <v>9218</v>
      </c>
      <c r="AT89" s="22">
        <f t="shared" si="93"/>
        <v>16876</v>
      </c>
      <c r="AU89" s="22">
        <f t="shared" si="93"/>
        <v>15525</v>
      </c>
      <c r="AV89" s="22">
        <f t="shared" si="93"/>
        <v>7660</v>
      </c>
    </row>
    <row r="90" spans="1:48" x14ac:dyDescent="0.25">
      <c r="A90" s="6"/>
    </row>
    <row r="91" spans="1:48" x14ac:dyDescent="0.25">
      <c r="A91" s="6" t="s">
        <v>9</v>
      </c>
      <c r="B91" s="12">
        <f>VLOOKUP($A91,'Standardized Statements'!$A:$Q,B$4,FALSE)</f>
        <v>0</v>
      </c>
      <c r="C91" s="12">
        <f>VLOOKUP($A91,'Standardized Statements'!$A:$Q,C$4,FALSE)</f>
        <v>-16137</v>
      </c>
      <c r="D91" s="12">
        <f>VLOOKUP($A91,'Standardized Statements'!$A:$Q,D$4,FALSE)</f>
        <v>-16137</v>
      </c>
      <c r="E91" s="12">
        <f>VLOOKUP($A91,'Standardized Statements'!$A:$Q,E$4,FALSE)</f>
        <v>-16137</v>
      </c>
      <c r="F91" s="12">
        <f>VLOOKUP($A91,'Standardized Statements'!$A:$Q,F$4,FALSE)</f>
        <v>-16137</v>
      </c>
      <c r="G91" s="12">
        <f>VLOOKUP($A91,'Standardized Statements'!$A:$Q,G$4,FALSE)</f>
        <v>-16137</v>
      </c>
      <c r="H91" s="12">
        <f>VLOOKUP($A91,'Standardized Statements'!$A:$Q,H$4,FALSE)</f>
        <v>-15723</v>
      </c>
      <c r="I91" s="12">
        <f>VLOOKUP($A91,'Standardized Statements'!$A:$Q,I$4,FALSE)</f>
        <v>-15723</v>
      </c>
      <c r="J91" s="12">
        <f>VLOOKUP($A91,'Standardized Statements'!$A:$Q,J$4,FALSE)</f>
        <v>-15723</v>
      </c>
      <c r="K91" s="12">
        <f>VLOOKUP($A91,'Standardized Statements'!$A:$Q,K$4,FALSE)</f>
        <v>-15723</v>
      </c>
      <c r="L91" s="12">
        <f>VLOOKUP($A91,'Standardized Statements'!$A:$Q,L$4,FALSE)</f>
        <v>-13239</v>
      </c>
      <c r="M91" s="12">
        <f>VLOOKUP($A91,'Standardized Statements'!$A:$Q,M$4,FALSE)</f>
        <v>-12825</v>
      </c>
      <c r="N91" s="12">
        <f>VLOOKUP($A91,'Standardized Statements'!$A:$Q,N$4,FALSE)</f>
        <v>-11584</v>
      </c>
      <c r="O91" s="12">
        <f>VLOOKUP($A91,'Standardized Statements'!$A:$Q,O$4,FALSE)</f>
        <v>-9515</v>
      </c>
      <c r="P91" s="12">
        <f>VLOOKUP($A91,'Standardized Statements'!$A:$Q,P$4,FALSE)</f>
        <v>-7861</v>
      </c>
      <c r="R91" s="12"/>
      <c r="S91" s="12"/>
      <c r="T91" s="12"/>
      <c r="U91" s="12"/>
      <c r="V91" s="12"/>
      <c r="W91" s="12"/>
      <c r="X91" s="12"/>
      <c r="Y91" s="12"/>
      <c r="Z91" s="12"/>
      <c r="AA91" s="12"/>
      <c r="AB91" s="12"/>
      <c r="AC91" s="12"/>
      <c r="AD91" s="12"/>
      <c r="AE91" s="12"/>
      <c r="AF91" s="12"/>
      <c r="AH91" s="12">
        <f t="shared" ref="AH91:AV93" si="100">B91+R91</f>
        <v>0</v>
      </c>
      <c r="AI91" s="12">
        <f t="shared" si="100"/>
        <v>-16137</v>
      </c>
      <c r="AJ91" s="12">
        <f t="shared" si="100"/>
        <v>-16137</v>
      </c>
      <c r="AK91" s="12">
        <f t="shared" si="100"/>
        <v>-16137</v>
      </c>
      <c r="AL91" s="12">
        <f t="shared" si="100"/>
        <v>-16137</v>
      </c>
      <c r="AM91" s="12">
        <f t="shared" si="100"/>
        <v>-16137</v>
      </c>
      <c r="AN91" s="12">
        <f t="shared" si="100"/>
        <v>-15723</v>
      </c>
      <c r="AO91" s="12">
        <f t="shared" si="100"/>
        <v>-15723</v>
      </c>
      <c r="AP91" s="12">
        <f t="shared" si="100"/>
        <v>-15723</v>
      </c>
      <c r="AQ91" s="12">
        <f t="shared" si="100"/>
        <v>-15723</v>
      </c>
      <c r="AR91" s="12">
        <f t="shared" si="100"/>
        <v>-13239</v>
      </c>
      <c r="AS91" s="12">
        <f t="shared" si="100"/>
        <v>-12825</v>
      </c>
      <c r="AT91" s="12">
        <f t="shared" si="100"/>
        <v>-11584</v>
      </c>
      <c r="AU91" s="12">
        <f t="shared" si="100"/>
        <v>-9515</v>
      </c>
      <c r="AV91" s="12">
        <f t="shared" si="100"/>
        <v>-7861</v>
      </c>
    </row>
    <row r="92" spans="1:48" x14ac:dyDescent="0.25">
      <c r="A92" s="6" t="s">
        <v>72</v>
      </c>
      <c r="B92" s="13">
        <f>VLOOKUP($A92,'Standardized Statements'!$A:$Q,B$4,FALSE)</f>
        <v>0</v>
      </c>
      <c r="C92" s="13">
        <f>VLOOKUP($A92,'Standardized Statements'!$A:$Q,C$4,FALSE)</f>
        <v>0</v>
      </c>
      <c r="D92" s="13">
        <f>VLOOKUP($A92,'Standardized Statements'!$A:$Q,D$4,FALSE)</f>
        <v>0</v>
      </c>
      <c r="E92" s="13">
        <f>VLOOKUP($A92,'Standardized Statements'!$A:$Q,E$4,FALSE)</f>
        <v>0</v>
      </c>
      <c r="F92" s="13">
        <f>VLOOKUP($A92,'Standardized Statements'!$A:$Q,F$4,FALSE)</f>
        <v>0</v>
      </c>
      <c r="G92" s="13">
        <f>VLOOKUP($A92,'Standardized Statements'!$A:$Q,G$4,FALSE)</f>
        <v>0</v>
      </c>
      <c r="H92" s="13">
        <f>VLOOKUP($A92,'Standardized Statements'!$A:$Q,H$4,FALSE)</f>
        <v>0</v>
      </c>
      <c r="I92" s="13">
        <f>VLOOKUP($A92,'Standardized Statements'!$A:$Q,I$4,FALSE)</f>
        <v>0</v>
      </c>
      <c r="J92" s="13">
        <f>VLOOKUP($A92,'Standardized Statements'!$A:$Q,J$4,FALSE)</f>
        <v>0</v>
      </c>
      <c r="K92" s="13">
        <f>VLOOKUP($A92,'Standardized Statements'!$A:$Q,K$4,FALSE)</f>
        <v>0</v>
      </c>
      <c r="L92" s="13">
        <f>VLOOKUP($A92,'Standardized Statements'!$A:$Q,L$4,FALSE)</f>
        <v>0</v>
      </c>
      <c r="M92" s="13">
        <f>VLOOKUP($A92,'Standardized Statements'!$A:$Q,M$4,FALSE)</f>
        <v>0</v>
      </c>
      <c r="N92" s="13">
        <f>VLOOKUP($A92,'Standardized Statements'!$A:$Q,N$4,FALSE)</f>
        <v>0</v>
      </c>
      <c r="O92" s="13">
        <f>VLOOKUP($A92,'Standardized Statements'!$A:$Q,O$4,FALSE)</f>
        <v>0</v>
      </c>
      <c r="P92" s="13">
        <f>VLOOKUP($A92,'Standardized Statements'!$A:$Q,P$4,FALSE)</f>
        <v>0</v>
      </c>
      <c r="R92" s="13"/>
      <c r="S92" s="13"/>
      <c r="T92" s="13"/>
      <c r="U92" s="13"/>
      <c r="V92" s="13"/>
      <c r="W92" s="13"/>
      <c r="X92" s="13"/>
      <c r="Y92" s="13"/>
      <c r="Z92" s="13"/>
      <c r="AA92" s="13"/>
      <c r="AB92" s="13"/>
      <c r="AC92" s="13"/>
      <c r="AD92" s="13"/>
      <c r="AE92" s="13"/>
      <c r="AF92" s="13"/>
      <c r="AH92" s="13">
        <f t="shared" si="100"/>
        <v>0</v>
      </c>
      <c r="AI92" s="13">
        <f t="shared" si="100"/>
        <v>0</v>
      </c>
      <c r="AJ92" s="13">
        <f t="shared" si="100"/>
        <v>0</v>
      </c>
      <c r="AK92" s="13">
        <f t="shared" si="100"/>
        <v>0</v>
      </c>
      <c r="AL92" s="13">
        <f t="shared" si="100"/>
        <v>0</v>
      </c>
      <c r="AM92" s="13">
        <f t="shared" si="100"/>
        <v>0</v>
      </c>
      <c r="AN92" s="13">
        <f t="shared" si="100"/>
        <v>0</v>
      </c>
      <c r="AO92" s="13">
        <f t="shared" si="100"/>
        <v>0</v>
      </c>
      <c r="AP92" s="13">
        <f t="shared" si="100"/>
        <v>0</v>
      </c>
      <c r="AQ92" s="13">
        <f t="shared" si="100"/>
        <v>0</v>
      </c>
      <c r="AR92" s="13">
        <f t="shared" si="100"/>
        <v>0</v>
      </c>
      <c r="AS92" s="13">
        <f t="shared" si="100"/>
        <v>0</v>
      </c>
      <c r="AT92" s="13">
        <f t="shared" si="100"/>
        <v>0</v>
      </c>
      <c r="AU92" s="13">
        <f t="shared" si="100"/>
        <v>0</v>
      </c>
      <c r="AV92" s="13">
        <f t="shared" si="100"/>
        <v>0</v>
      </c>
    </row>
    <row r="93" spans="1:48" ht="15.75" thickBot="1" x14ac:dyDescent="0.3">
      <c r="A93" s="30" t="s">
        <v>73</v>
      </c>
      <c r="B93" s="29">
        <f>SUM(B89:B92)</f>
        <v>5497</v>
      </c>
      <c r="C93" s="29">
        <f>SUM(C89:C92)</f>
        <v>166</v>
      </c>
      <c r="D93" s="29">
        <f>SUM(D89:D92)</f>
        <v>1450</v>
      </c>
      <c r="E93" s="29">
        <f t="shared" ref="E93:J93" si="101">SUM(E89:E92)</f>
        <v>574</v>
      </c>
      <c r="F93" s="29">
        <f t="shared" si="101"/>
        <v>-3792.0000000000018</v>
      </c>
      <c r="G93" s="29">
        <f t="shared" si="101"/>
        <v>-1680</v>
      </c>
      <c r="H93" s="29">
        <f t="shared" si="101"/>
        <v>-274.99999999999818</v>
      </c>
      <c r="I93" s="29">
        <f t="shared" si="101"/>
        <v>-252</v>
      </c>
      <c r="J93" s="29">
        <f t="shared" si="101"/>
        <v>276</v>
      </c>
      <c r="K93" s="29">
        <f t="shared" ref="K93:P93" si="102">SUM(K89:K92)</f>
        <v>-2359</v>
      </c>
      <c r="L93" s="29">
        <f t="shared" si="102"/>
        <v>-1530</v>
      </c>
      <c r="M93" s="29">
        <f t="shared" si="102"/>
        <v>-3607</v>
      </c>
      <c r="N93" s="29">
        <f t="shared" si="102"/>
        <v>5292</v>
      </c>
      <c r="O93" s="29">
        <f t="shared" si="102"/>
        <v>6010</v>
      </c>
      <c r="P93" s="29">
        <f t="shared" si="102"/>
        <v>-201</v>
      </c>
      <c r="R93" s="29">
        <f>SUM(R89:R92)</f>
        <v>0</v>
      </c>
      <c r="S93" s="29">
        <f>SUM(S89:S92)</f>
        <v>0</v>
      </c>
      <c r="T93" s="29">
        <f>SUM(T89:T92)</f>
        <v>0</v>
      </c>
      <c r="U93" s="29">
        <f t="shared" ref="U93:Z93" si="103">SUM(U89:U92)</f>
        <v>0</v>
      </c>
      <c r="V93" s="29">
        <f t="shared" si="103"/>
        <v>0</v>
      </c>
      <c r="W93" s="29">
        <f t="shared" si="103"/>
        <v>0</v>
      </c>
      <c r="X93" s="29">
        <f t="shared" si="103"/>
        <v>0</v>
      </c>
      <c r="Y93" s="29">
        <f t="shared" si="103"/>
        <v>0</v>
      </c>
      <c r="Z93" s="29">
        <f t="shared" si="103"/>
        <v>0</v>
      </c>
      <c r="AA93" s="29">
        <f t="shared" ref="AA93:AF93" si="104">SUM(AA89:AA92)</f>
        <v>0</v>
      </c>
      <c r="AB93" s="29">
        <f t="shared" si="104"/>
        <v>0</v>
      </c>
      <c r="AC93" s="29">
        <f t="shared" si="104"/>
        <v>0</v>
      </c>
      <c r="AD93" s="29">
        <f t="shared" si="104"/>
        <v>0</v>
      </c>
      <c r="AE93" s="29">
        <f t="shared" si="104"/>
        <v>0</v>
      </c>
      <c r="AF93" s="29">
        <f t="shared" si="104"/>
        <v>0</v>
      </c>
      <c r="AH93" s="29">
        <f t="shared" si="100"/>
        <v>5497</v>
      </c>
      <c r="AI93" s="29">
        <f t="shared" si="100"/>
        <v>166</v>
      </c>
      <c r="AJ93" s="29">
        <f t="shared" si="100"/>
        <v>1450</v>
      </c>
      <c r="AK93" s="29">
        <f t="shared" si="100"/>
        <v>574</v>
      </c>
      <c r="AL93" s="29">
        <f t="shared" si="100"/>
        <v>-3792.0000000000018</v>
      </c>
      <c r="AM93" s="29">
        <f t="shared" si="100"/>
        <v>-1680</v>
      </c>
      <c r="AN93" s="29">
        <f t="shared" si="100"/>
        <v>-274.99999999999818</v>
      </c>
      <c r="AO93" s="29">
        <f t="shared" si="100"/>
        <v>-252</v>
      </c>
      <c r="AP93" s="29">
        <f t="shared" si="100"/>
        <v>276</v>
      </c>
      <c r="AQ93" s="29">
        <f t="shared" si="100"/>
        <v>-2359</v>
      </c>
      <c r="AR93" s="29">
        <f t="shared" si="100"/>
        <v>-1530</v>
      </c>
      <c r="AS93" s="29">
        <f t="shared" si="100"/>
        <v>-3607</v>
      </c>
      <c r="AT93" s="29">
        <f t="shared" si="100"/>
        <v>5292</v>
      </c>
      <c r="AU93" s="29">
        <f t="shared" si="100"/>
        <v>6010</v>
      </c>
      <c r="AV93" s="29">
        <f t="shared" si="100"/>
        <v>-201</v>
      </c>
    </row>
    <row r="94" spans="1:48" ht="16.5" thickTop="1" thickBot="1" x14ac:dyDescent="0.3">
      <c r="A94" s="6"/>
    </row>
    <row r="95" spans="1:48" s="63" customFormat="1" ht="15.75" thickTop="1" x14ac:dyDescent="0.25">
      <c r="A95" s="61" t="s">
        <v>74</v>
      </c>
      <c r="B95" s="62">
        <v>2020</v>
      </c>
      <c r="C95" s="62">
        <v>2019</v>
      </c>
      <c r="D95" s="62">
        <v>2018</v>
      </c>
      <c r="E95" s="62">
        <v>2017</v>
      </c>
      <c r="F95" s="62">
        <v>2016</v>
      </c>
      <c r="G95" s="62">
        <v>2015</v>
      </c>
      <c r="H95" s="62">
        <v>2014</v>
      </c>
      <c r="I95" s="62">
        <v>2013</v>
      </c>
      <c r="J95" s="62">
        <v>2012</v>
      </c>
      <c r="K95" s="62">
        <v>2011</v>
      </c>
      <c r="L95" s="62">
        <v>2010</v>
      </c>
      <c r="M95" s="62">
        <v>2009</v>
      </c>
      <c r="N95" s="62">
        <v>2008</v>
      </c>
      <c r="O95" s="62">
        <v>2007</v>
      </c>
      <c r="P95" s="62">
        <v>2006</v>
      </c>
      <c r="R95" s="62"/>
      <c r="S95" s="62"/>
      <c r="T95" s="62"/>
      <c r="U95" s="62"/>
      <c r="V95" s="62"/>
      <c r="W95" s="62"/>
      <c r="X95" s="62"/>
      <c r="Y95" s="62"/>
      <c r="Z95" s="62"/>
      <c r="AA95" s="62"/>
      <c r="AB95" s="62"/>
      <c r="AC95" s="62"/>
      <c r="AD95" s="62"/>
      <c r="AE95" s="62"/>
      <c r="AF95" s="62"/>
      <c r="AH95" s="62">
        <v>2020</v>
      </c>
      <c r="AI95" s="62">
        <v>2019</v>
      </c>
      <c r="AJ95" s="62">
        <v>2018</v>
      </c>
      <c r="AK95" s="62">
        <v>2017</v>
      </c>
      <c r="AL95" s="62">
        <v>2016</v>
      </c>
      <c r="AM95" s="62">
        <v>2015</v>
      </c>
      <c r="AN95" s="62">
        <v>2014</v>
      </c>
      <c r="AO95" s="62">
        <v>2013</v>
      </c>
      <c r="AP95" s="62">
        <v>2012</v>
      </c>
      <c r="AQ95" s="62">
        <v>2011</v>
      </c>
      <c r="AR95" s="62">
        <v>2010</v>
      </c>
      <c r="AS95" s="62">
        <v>2009</v>
      </c>
      <c r="AT95" s="62">
        <v>2008</v>
      </c>
      <c r="AU95" s="62">
        <v>2007</v>
      </c>
      <c r="AV95" s="62">
        <v>2006</v>
      </c>
    </row>
    <row r="96" spans="1:48" s="63" customFormat="1" x14ac:dyDescent="0.25">
      <c r="A96" s="64" t="s">
        <v>231</v>
      </c>
      <c r="B96" s="65">
        <f>B6</f>
        <v>187031</v>
      </c>
      <c r="C96" s="65">
        <f>C6</f>
        <v>232755</v>
      </c>
      <c r="D96" s="65">
        <f>D6</f>
        <v>210400</v>
      </c>
      <c r="E96" s="65">
        <f t="shared" ref="E96:P96" si="105">E6</f>
        <v>200004</v>
      </c>
      <c r="F96" s="65">
        <f t="shared" si="105"/>
        <v>192267</v>
      </c>
      <c r="G96" s="65">
        <f t="shared" si="105"/>
        <v>180861</v>
      </c>
      <c r="H96" s="65">
        <f t="shared" si="105"/>
        <v>151419</v>
      </c>
      <c r="I96" s="65">
        <f t="shared" si="105"/>
        <v>128562</v>
      </c>
      <c r="J96" s="65">
        <f t="shared" si="105"/>
        <v>120799</v>
      </c>
      <c r="K96" s="65">
        <f t="shared" si="105"/>
        <v>109999</v>
      </c>
      <c r="L96" s="65">
        <f t="shared" si="105"/>
        <v>108483</v>
      </c>
      <c r="M96" s="65">
        <f t="shared" si="105"/>
        <v>101393</v>
      </c>
      <c r="N96" s="65">
        <f t="shared" si="105"/>
        <v>88532</v>
      </c>
      <c r="O96" s="65">
        <f t="shared" si="105"/>
        <v>78346</v>
      </c>
      <c r="P96" s="65">
        <f t="shared" si="105"/>
        <v>68400</v>
      </c>
      <c r="R96" s="65">
        <f>R6</f>
        <v>0</v>
      </c>
      <c r="S96" s="65">
        <f t="shared" ref="S96:AF96" si="106">S6</f>
        <v>0</v>
      </c>
      <c r="T96" s="65">
        <f t="shared" si="106"/>
        <v>0</v>
      </c>
      <c r="U96" s="65">
        <f t="shared" si="106"/>
        <v>0</v>
      </c>
      <c r="V96" s="65">
        <f t="shared" si="106"/>
        <v>0</v>
      </c>
      <c r="W96" s="65">
        <f t="shared" si="106"/>
        <v>0</v>
      </c>
      <c r="X96" s="65">
        <f t="shared" si="106"/>
        <v>0</v>
      </c>
      <c r="Y96" s="65">
        <f t="shared" si="106"/>
        <v>0</v>
      </c>
      <c r="Z96" s="65">
        <f t="shared" si="106"/>
        <v>0</v>
      </c>
      <c r="AA96" s="65">
        <f t="shared" si="106"/>
        <v>0</v>
      </c>
      <c r="AB96" s="65">
        <f t="shared" si="106"/>
        <v>0</v>
      </c>
      <c r="AC96" s="65">
        <f t="shared" si="106"/>
        <v>0</v>
      </c>
      <c r="AD96" s="65">
        <f t="shared" si="106"/>
        <v>0</v>
      </c>
      <c r="AE96" s="65">
        <f t="shared" si="106"/>
        <v>0</v>
      </c>
      <c r="AF96" s="65">
        <f t="shared" si="106"/>
        <v>0</v>
      </c>
      <c r="AH96" s="65">
        <f>AH6</f>
        <v>187031</v>
      </c>
      <c r="AI96" s="65">
        <f>AI6</f>
        <v>232755</v>
      </c>
      <c r="AJ96" s="65">
        <f>AJ6</f>
        <v>210400</v>
      </c>
      <c r="AK96" s="65">
        <f t="shared" ref="AK96:AV96" si="107">AK6</f>
        <v>200004</v>
      </c>
      <c r="AL96" s="65">
        <f t="shared" si="107"/>
        <v>192267</v>
      </c>
      <c r="AM96" s="65">
        <f t="shared" si="107"/>
        <v>180861</v>
      </c>
      <c r="AN96" s="65">
        <f t="shared" si="107"/>
        <v>151419</v>
      </c>
      <c r="AO96" s="65">
        <f t="shared" si="107"/>
        <v>128562</v>
      </c>
      <c r="AP96" s="65">
        <f t="shared" si="107"/>
        <v>120799</v>
      </c>
      <c r="AQ96" s="65">
        <f t="shared" si="107"/>
        <v>109999</v>
      </c>
      <c r="AR96" s="65">
        <f t="shared" si="107"/>
        <v>108483</v>
      </c>
      <c r="AS96" s="65">
        <f t="shared" si="107"/>
        <v>101393</v>
      </c>
      <c r="AT96" s="65">
        <f t="shared" si="107"/>
        <v>88532</v>
      </c>
      <c r="AU96" s="65">
        <f t="shared" si="107"/>
        <v>78346</v>
      </c>
      <c r="AV96" s="65">
        <f t="shared" si="107"/>
        <v>68400</v>
      </c>
    </row>
    <row r="97" spans="1:48" s="63" customFormat="1" x14ac:dyDescent="0.25">
      <c r="A97" s="64" t="s">
        <v>250</v>
      </c>
      <c r="B97" s="65">
        <f>B101</f>
        <v>2065.12</v>
      </c>
      <c r="C97" s="65">
        <f>C101</f>
        <v>13420.38</v>
      </c>
      <c r="D97" s="65">
        <f>D101</f>
        <v>12549.039999999999</v>
      </c>
      <c r="E97" s="65">
        <f t="shared" ref="E97:J97" si="108">E101</f>
        <v>16006.94</v>
      </c>
      <c r="F97" s="65">
        <f t="shared" si="108"/>
        <v>18481.559999999998</v>
      </c>
      <c r="G97" s="65">
        <f t="shared" si="108"/>
        <v>20680.38</v>
      </c>
      <c r="H97" s="65">
        <f t="shared" si="108"/>
        <v>19752.919999999998</v>
      </c>
      <c r="I97" s="65">
        <f t="shared" si="108"/>
        <v>16889.920000000002</v>
      </c>
      <c r="J97" s="65">
        <f t="shared" si="108"/>
        <v>16494.078000000001</v>
      </c>
      <c r="K97" s="65">
        <f t="shared" ref="K97:P97" si="109">K101</f>
        <v>15427.442000000001</v>
      </c>
      <c r="L97" s="65">
        <f t="shared" si="109"/>
        <v>18432.631000000001</v>
      </c>
      <c r="M97" s="65">
        <f t="shared" si="109"/>
        <v>16061.44</v>
      </c>
      <c r="N97" s="65">
        <f t="shared" si="109"/>
        <v>14543.759999999998</v>
      </c>
      <c r="O97" s="65">
        <f t="shared" si="109"/>
        <v>13026.400000000001</v>
      </c>
      <c r="P97" s="65">
        <f t="shared" si="109"/>
        <v>10436.280000000001</v>
      </c>
      <c r="R97" s="65">
        <f>R101</f>
        <v>0</v>
      </c>
      <c r="S97" s="65">
        <f t="shared" ref="S97:AF97" si="110">S101</f>
        <v>1307.954872571738</v>
      </c>
      <c r="T97" s="65">
        <f t="shared" si="110"/>
        <v>1455.6143657939131</v>
      </c>
      <c r="U97" s="65">
        <f t="shared" si="110"/>
        <v>1543.7699153991421</v>
      </c>
      <c r="V97" s="65">
        <f t="shared" si="110"/>
        <v>1678.5271324420903</v>
      </c>
      <c r="W97" s="65">
        <f t="shared" si="110"/>
        <v>1382.1055310314732</v>
      </c>
      <c r="X97" s="65">
        <f t="shared" si="110"/>
        <v>1227.2319149812577</v>
      </c>
      <c r="Y97" s="65">
        <f t="shared" si="110"/>
        <v>950.3655654504397</v>
      </c>
      <c r="Z97" s="65">
        <f t="shared" si="110"/>
        <v>1585.116276432303</v>
      </c>
      <c r="AA97" s="65">
        <f t="shared" si="110"/>
        <v>1367.4979629617424</v>
      </c>
      <c r="AB97" s="65">
        <f t="shared" si="110"/>
        <v>1462.8304332615994</v>
      </c>
      <c r="AC97" s="65">
        <f t="shared" si="110"/>
        <v>2258.7462848229879</v>
      </c>
      <c r="AD97" s="65">
        <f t="shared" si="110"/>
        <v>1538.5173859614872</v>
      </c>
      <c r="AE97" s="65">
        <f t="shared" si="110"/>
        <v>1310.1143040162385</v>
      </c>
      <c r="AF97" s="65">
        <f t="shared" si="110"/>
        <v>0</v>
      </c>
      <c r="AH97" s="65">
        <f>AH101</f>
        <v>2065.12</v>
      </c>
      <c r="AI97" s="65">
        <f>AI101</f>
        <v>14440.584800605955</v>
      </c>
      <c r="AJ97" s="65">
        <f>AJ101</f>
        <v>13684.419205319253</v>
      </c>
      <c r="AK97" s="65">
        <f t="shared" ref="AK97:AP97" si="111">AK101</f>
        <v>17211.080534011329</v>
      </c>
      <c r="AL97" s="65">
        <f t="shared" si="111"/>
        <v>19790.811163304828</v>
      </c>
      <c r="AM97" s="65">
        <f t="shared" si="111"/>
        <v>21758.422314204548</v>
      </c>
      <c r="AN97" s="65">
        <f t="shared" si="111"/>
        <v>20710.160893685381</v>
      </c>
      <c r="AO97" s="65">
        <f t="shared" si="111"/>
        <v>17631.205141051345</v>
      </c>
      <c r="AP97" s="65">
        <f t="shared" si="111"/>
        <v>17662.308695730608</v>
      </c>
      <c r="AQ97" s="65">
        <f t="shared" ref="AQ97:AV97" si="112">AQ101</f>
        <v>16435.287998702803</v>
      </c>
      <c r="AR97" s="65">
        <f t="shared" si="112"/>
        <v>19510.737029313801</v>
      </c>
      <c r="AS97" s="65">
        <f t="shared" si="112"/>
        <v>17687.73732507255</v>
      </c>
      <c r="AT97" s="65">
        <f t="shared" si="112"/>
        <v>15651.492517892269</v>
      </c>
      <c r="AU97" s="65">
        <f t="shared" si="112"/>
        <v>13969.682298891692</v>
      </c>
      <c r="AV97" s="65">
        <f t="shared" si="112"/>
        <v>10436.280000000001</v>
      </c>
    </row>
    <row r="98" spans="1:48" s="63" customFormat="1" x14ac:dyDescent="0.25">
      <c r="A98" s="66" t="s">
        <v>249</v>
      </c>
      <c r="B98" s="67">
        <f>B15</f>
        <v>1243</v>
      </c>
      <c r="C98" s="67">
        <f>C15</f>
        <v>13443</v>
      </c>
      <c r="D98" s="67">
        <f>D15</f>
        <v>12652</v>
      </c>
      <c r="E98" s="67">
        <f t="shared" ref="E98:J98" si="113">E15</f>
        <v>16184</v>
      </c>
      <c r="F98" s="67">
        <f t="shared" si="113"/>
        <v>18636</v>
      </c>
      <c r="G98" s="67">
        <f t="shared" si="113"/>
        <v>20898</v>
      </c>
      <c r="H98" s="67">
        <f t="shared" si="113"/>
        <v>19976</v>
      </c>
      <c r="I98" s="67">
        <f t="shared" si="113"/>
        <v>17152</v>
      </c>
      <c r="J98" s="67">
        <f t="shared" si="113"/>
        <v>16867</v>
      </c>
      <c r="K98" s="67">
        <f t="shared" ref="K98:P98" si="114">K15</f>
        <v>15821</v>
      </c>
      <c r="L98" s="67">
        <f t="shared" si="114"/>
        <v>18681</v>
      </c>
      <c r="M98" s="67">
        <f t="shared" si="114"/>
        <v>16384</v>
      </c>
      <c r="N98" s="67">
        <f t="shared" si="114"/>
        <v>15294</v>
      </c>
      <c r="O98" s="67">
        <f t="shared" si="114"/>
        <v>13588</v>
      </c>
      <c r="P98" s="67">
        <f t="shared" si="114"/>
        <v>10797</v>
      </c>
      <c r="R98" s="67">
        <f>R15</f>
        <v>0</v>
      </c>
      <c r="S98" s="67">
        <f t="shared" ref="S98:AF98" si="115">S15</f>
        <v>0</v>
      </c>
      <c r="T98" s="67">
        <f t="shared" si="115"/>
        <v>0</v>
      </c>
      <c r="U98" s="67">
        <f t="shared" si="115"/>
        <v>-1.4188117347657681E-12</v>
      </c>
      <c r="V98" s="67">
        <f t="shared" si="115"/>
        <v>0</v>
      </c>
      <c r="W98" s="67">
        <f t="shared" si="115"/>
        <v>0</v>
      </c>
      <c r="X98" s="67">
        <f t="shared" si="115"/>
        <v>0</v>
      </c>
      <c r="Y98" s="67">
        <f t="shared" si="115"/>
        <v>0</v>
      </c>
      <c r="Z98" s="67">
        <f t="shared" si="115"/>
        <v>0</v>
      </c>
      <c r="AA98" s="67">
        <f t="shared" si="115"/>
        <v>0</v>
      </c>
      <c r="AB98" s="67">
        <f t="shared" si="115"/>
        <v>0</v>
      </c>
      <c r="AC98" s="67">
        <f t="shared" si="115"/>
        <v>0</v>
      </c>
      <c r="AD98" s="67">
        <f t="shared" si="115"/>
        <v>0</v>
      </c>
      <c r="AE98" s="67">
        <f t="shared" si="115"/>
        <v>0</v>
      </c>
      <c r="AF98" s="67">
        <f t="shared" si="115"/>
        <v>0</v>
      </c>
      <c r="AH98" s="67">
        <f>AH15</f>
        <v>1243</v>
      </c>
      <c r="AI98" s="67">
        <f>AI15</f>
        <v>13443</v>
      </c>
      <c r="AJ98" s="67">
        <f>AJ15</f>
        <v>12652</v>
      </c>
      <c r="AK98" s="67">
        <f t="shared" ref="AK98:AP98" si="116">AK15</f>
        <v>16183.999999999998</v>
      </c>
      <c r="AL98" s="67">
        <f t="shared" si="116"/>
        <v>18636</v>
      </c>
      <c r="AM98" s="67">
        <f t="shared" si="116"/>
        <v>20898</v>
      </c>
      <c r="AN98" s="67">
        <f t="shared" si="116"/>
        <v>19976</v>
      </c>
      <c r="AO98" s="67">
        <f t="shared" si="116"/>
        <v>17152</v>
      </c>
      <c r="AP98" s="67">
        <f t="shared" si="116"/>
        <v>16867</v>
      </c>
      <c r="AQ98" s="67">
        <f t="shared" ref="AQ98:AV98" si="117">AQ15</f>
        <v>15821</v>
      </c>
      <c r="AR98" s="67">
        <f t="shared" si="117"/>
        <v>18681</v>
      </c>
      <c r="AS98" s="67">
        <f t="shared" si="117"/>
        <v>16384</v>
      </c>
      <c r="AT98" s="67">
        <f t="shared" si="117"/>
        <v>15294</v>
      </c>
      <c r="AU98" s="67">
        <f t="shared" si="117"/>
        <v>13588</v>
      </c>
      <c r="AV98" s="67">
        <f t="shared" si="117"/>
        <v>10797</v>
      </c>
    </row>
    <row r="99" spans="1:48" s="63" customFormat="1" x14ac:dyDescent="0.25">
      <c r="A99" s="68" t="s">
        <v>300</v>
      </c>
      <c r="B99" s="67">
        <f>-B106</f>
        <v>-196.56</v>
      </c>
      <c r="C99" s="67">
        <f>-C106</f>
        <v>-293.28000000000003</v>
      </c>
      <c r="D99" s="67">
        <f>-D106</f>
        <v>-227.76000000000002</v>
      </c>
      <c r="E99" s="67">
        <f t="shared" ref="E99:J99" si="118">-E106</f>
        <v>-219.18</v>
      </c>
      <c r="F99" s="67">
        <f t="shared" si="118"/>
        <v>-174.72</v>
      </c>
      <c r="G99" s="67">
        <f t="shared" si="118"/>
        <v>-241.8</v>
      </c>
      <c r="H99" s="67">
        <f t="shared" si="118"/>
        <v>-255.84</v>
      </c>
      <c r="I99" s="67">
        <f t="shared" si="118"/>
        <v>-286.26</v>
      </c>
      <c r="J99" s="67">
        <f t="shared" si="118"/>
        <v>-395.03199999999998</v>
      </c>
      <c r="K99" s="67">
        <f t="shared" ref="K99:P99" si="119">-K106</f>
        <v>-418.61599999999999</v>
      </c>
      <c r="L99" s="67">
        <f t="shared" si="119"/>
        <v>-262.37200000000001</v>
      </c>
      <c r="M99" s="67">
        <f t="shared" si="119"/>
        <v>-336.24</v>
      </c>
      <c r="N99" s="67">
        <f t="shared" si="119"/>
        <v>-763.19999999999993</v>
      </c>
      <c r="O99" s="67">
        <f t="shared" si="119"/>
        <v>-570.95999999999992</v>
      </c>
      <c r="P99" s="67">
        <f t="shared" si="119"/>
        <v>-370.8</v>
      </c>
      <c r="R99" s="67">
        <f>-R106</f>
        <v>0</v>
      </c>
      <c r="S99" s="67">
        <f t="shared" ref="S99:AF99" si="120">-S106</f>
        <v>0</v>
      </c>
      <c r="T99" s="67">
        <f t="shared" si="120"/>
        <v>0</v>
      </c>
      <c r="U99" s="67">
        <f t="shared" si="120"/>
        <v>0</v>
      </c>
      <c r="V99" s="67">
        <f t="shared" si="120"/>
        <v>0</v>
      </c>
      <c r="W99" s="67">
        <f t="shared" si="120"/>
        <v>0</v>
      </c>
      <c r="X99" s="67">
        <f t="shared" si="120"/>
        <v>0</v>
      </c>
      <c r="Y99" s="67">
        <f t="shared" si="120"/>
        <v>0</v>
      </c>
      <c r="Z99" s="67">
        <f t="shared" si="120"/>
        <v>0</v>
      </c>
      <c r="AA99" s="67">
        <f t="shared" si="120"/>
        <v>0</v>
      </c>
      <c r="AB99" s="67">
        <f t="shared" si="120"/>
        <v>0</v>
      </c>
      <c r="AC99" s="67">
        <f t="shared" si="120"/>
        <v>0</v>
      </c>
      <c r="AD99" s="67">
        <f t="shared" si="120"/>
        <v>0</v>
      </c>
      <c r="AE99" s="67">
        <f t="shared" si="120"/>
        <v>0</v>
      </c>
      <c r="AF99" s="67">
        <f t="shared" si="120"/>
        <v>0</v>
      </c>
      <c r="AH99" s="67">
        <f>-AH106</f>
        <v>-196.56</v>
      </c>
      <c r="AI99" s="67">
        <f>-AI106</f>
        <v>-293.28000000000003</v>
      </c>
      <c r="AJ99" s="67">
        <f>-AJ106</f>
        <v>-227.76000000000002</v>
      </c>
      <c r="AK99" s="67">
        <f t="shared" ref="AK99:AP99" si="121">-AK106</f>
        <v>-219.18</v>
      </c>
      <c r="AL99" s="67">
        <f t="shared" si="121"/>
        <v>-174.72</v>
      </c>
      <c r="AM99" s="67">
        <f t="shared" si="121"/>
        <v>-241.8</v>
      </c>
      <c r="AN99" s="67">
        <f t="shared" si="121"/>
        <v>-255.84</v>
      </c>
      <c r="AO99" s="67">
        <f t="shared" si="121"/>
        <v>-286.26</v>
      </c>
      <c r="AP99" s="67">
        <f t="shared" si="121"/>
        <v>-395.03199999999998</v>
      </c>
      <c r="AQ99" s="67">
        <f t="shared" ref="AQ99:AV99" si="122">-AQ106</f>
        <v>-418.61599999999999</v>
      </c>
      <c r="AR99" s="67">
        <f t="shared" si="122"/>
        <v>-262.37200000000001</v>
      </c>
      <c r="AS99" s="67">
        <f t="shared" si="122"/>
        <v>-336.24</v>
      </c>
      <c r="AT99" s="67">
        <f t="shared" si="122"/>
        <v>-763.19999999999993</v>
      </c>
      <c r="AU99" s="67">
        <f t="shared" si="122"/>
        <v>-570.95999999999992</v>
      </c>
      <c r="AV99" s="67">
        <f t="shared" si="122"/>
        <v>-370.8</v>
      </c>
    </row>
    <row r="100" spans="1:48" s="63" customFormat="1" x14ac:dyDescent="0.25">
      <c r="A100" s="68" t="s">
        <v>138</v>
      </c>
      <c r="B100" s="69">
        <f>B110</f>
        <v>1018.6800000000001</v>
      </c>
      <c r="C100" s="69">
        <f>C110</f>
        <v>270.66000000000003</v>
      </c>
      <c r="D100" s="69">
        <f>D110</f>
        <v>124.80000000000001</v>
      </c>
      <c r="E100" s="69">
        <f>E110</f>
        <v>42.120000000000005</v>
      </c>
      <c r="F100" s="69">
        <f t="shared" ref="F100:K100" si="123">F110</f>
        <v>20.28</v>
      </c>
      <c r="G100" s="69">
        <f t="shared" si="123"/>
        <v>24.18</v>
      </c>
      <c r="H100" s="69">
        <f t="shared" si="123"/>
        <v>32.76</v>
      </c>
      <c r="I100" s="69">
        <f t="shared" si="123"/>
        <v>24.18</v>
      </c>
      <c r="J100" s="69">
        <f t="shared" si="123"/>
        <v>22.11</v>
      </c>
      <c r="K100" s="69">
        <f t="shared" si="123"/>
        <v>25.058</v>
      </c>
      <c r="L100" s="69">
        <f>L110</f>
        <v>14.003</v>
      </c>
      <c r="M100" s="69">
        <f>M110</f>
        <v>13.68</v>
      </c>
      <c r="N100" s="69">
        <f>N110</f>
        <v>12.959999999999999</v>
      </c>
      <c r="O100" s="69">
        <f>O110</f>
        <v>9.36</v>
      </c>
      <c r="P100" s="69">
        <f>P110</f>
        <v>10.08</v>
      </c>
      <c r="R100" s="69">
        <f>R110</f>
        <v>0</v>
      </c>
      <c r="S100" s="69">
        <f t="shared" ref="S100:AF100" si="124">S110</f>
        <v>1307.954872571738</v>
      </c>
      <c r="T100" s="69">
        <f t="shared" si="124"/>
        <v>1455.6143657939131</v>
      </c>
      <c r="U100" s="69">
        <f t="shared" si="124"/>
        <v>1543.7699153991434</v>
      </c>
      <c r="V100" s="69">
        <f t="shared" si="124"/>
        <v>1678.5271324420903</v>
      </c>
      <c r="W100" s="69">
        <f t="shared" si="124"/>
        <v>1382.1055310314732</v>
      </c>
      <c r="X100" s="69">
        <f t="shared" si="124"/>
        <v>1227.2319149812577</v>
      </c>
      <c r="Y100" s="69">
        <f t="shared" si="124"/>
        <v>950.3655654504397</v>
      </c>
      <c r="Z100" s="69">
        <f t="shared" si="124"/>
        <v>1585.116276432303</v>
      </c>
      <c r="AA100" s="69">
        <f t="shared" si="124"/>
        <v>1367.4979629617424</v>
      </c>
      <c r="AB100" s="69">
        <f t="shared" si="124"/>
        <v>1462.8304332615994</v>
      </c>
      <c r="AC100" s="69">
        <f t="shared" si="124"/>
        <v>2258.7462848229879</v>
      </c>
      <c r="AD100" s="69">
        <f t="shared" si="124"/>
        <v>1538.5173859614872</v>
      </c>
      <c r="AE100" s="69">
        <f t="shared" si="124"/>
        <v>1310.1143040162385</v>
      </c>
      <c r="AF100" s="69">
        <f t="shared" si="124"/>
        <v>0</v>
      </c>
      <c r="AH100" s="69">
        <f>AH110</f>
        <v>1018.6800000000001</v>
      </c>
      <c r="AI100" s="69">
        <f>AI110</f>
        <v>1290.8648006059557</v>
      </c>
      <c r="AJ100" s="69">
        <f>AJ110</f>
        <v>1260.1792053192523</v>
      </c>
      <c r="AK100" s="69">
        <f>AK110</f>
        <v>1246.2605340113319</v>
      </c>
      <c r="AL100" s="69">
        <f t="shared" ref="AL100:AQ100" si="125">AL110</f>
        <v>1329.5311633048304</v>
      </c>
      <c r="AM100" s="69">
        <f t="shared" si="125"/>
        <v>1102.2223142045491</v>
      </c>
      <c r="AN100" s="69">
        <f t="shared" si="125"/>
        <v>990.00089368538102</v>
      </c>
      <c r="AO100" s="69">
        <f t="shared" si="125"/>
        <v>765.46514105134304</v>
      </c>
      <c r="AP100" s="69">
        <f t="shared" si="125"/>
        <v>1190.3406957306074</v>
      </c>
      <c r="AQ100" s="69">
        <f t="shared" si="125"/>
        <v>1032.9039987028041</v>
      </c>
      <c r="AR100" s="69">
        <f>AR110</f>
        <v>1092.1090293137988</v>
      </c>
      <c r="AS100" s="69">
        <f>AS110</f>
        <v>1639.9773250725514</v>
      </c>
      <c r="AT100" s="69">
        <f>AT110</f>
        <v>1120.6925178922706</v>
      </c>
      <c r="AU100" s="69">
        <f>AU110</f>
        <v>952.64229889169167</v>
      </c>
      <c r="AV100" s="69">
        <f>AV110</f>
        <v>10.08</v>
      </c>
    </row>
    <row r="101" spans="1:48" s="63" customFormat="1" x14ac:dyDescent="0.25">
      <c r="A101" s="70" t="s">
        <v>75</v>
      </c>
      <c r="B101" s="65">
        <f>SUM(B98:B100)</f>
        <v>2065.12</v>
      </c>
      <c r="C101" s="65">
        <f>SUM(C98:C100)</f>
        <v>13420.38</v>
      </c>
      <c r="D101" s="65">
        <f>SUM(D98:D100)</f>
        <v>12549.039999999999</v>
      </c>
      <c r="E101" s="65">
        <f t="shared" ref="E101:J101" si="126">SUM(E98:E100)</f>
        <v>16006.94</v>
      </c>
      <c r="F101" s="65">
        <f t="shared" si="126"/>
        <v>18481.559999999998</v>
      </c>
      <c r="G101" s="65">
        <f t="shared" si="126"/>
        <v>20680.38</v>
      </c>
      <c r="H101" s="65">
        <f t="shared" si="126"/>
        <v>19752.919999999998</v>
      </c>
      <c r="I101" s="65">
        <f t="shared" si="126"/>
        <v>16889.920000000002</v>
      </c>
      <c r="J101" s="65">
        <f t="shared" si="126"/>
        <v>16494.078000000001</v>
      </c>
      <c r="K101" s="65">
        <f t="shared" ref="K101:P101" si="127">SUM(K98:K100)</f>
        <v>15427.442000000001</v>
      </c>
      <c r="L101" s="65">
        <f t="shared" si="127"/>
        <v>18432.631000000001</v>
      </c>
      <c r="M101" s="65">
        <f t="shared" si="127"/>
        <v>16061.44</v>
      </c>
      <c r="N101" s="65">
        <f t="shared" si="127"/>
        <v>14543.759999999998</v>
      </c>
      <c r="O101" s="65">
        <f t="shared" si="127"/>
        <v>13026.400000000001</v>
      </c>
      <c r="P101" s="65">
        <f t="shared" si="127"/>
        <v>10436.280000000001</v>
      </c>
      <c r="R101" s="65">
        <f>SUM(R98:R100)</f>
        <v>0</v>
      </c>
      <c r="S101" s="65">
        <f t="shared" ref="S101:AF101" si="128">SUM(S98:S100)</f>
        <v>1307.954872571738</v>
      </c>
      <c r="T101" s="65">
        <f t="shared" si="128"/>
        <v>1455.6143657939131</v>
      </c>
      <c r="U101" s="65">
        <f t="shared" si="128"/>
        <v>1543.7699153991421</v>
      </c>
      <c r="V101" s="65">
        <f t="shared" si="128"/>
        <v>1678.5271324420903</v>
      </c>
      <c r="W101" s="65">
        <f t="shared" si="128"/>
        <v>1382.1055310314732</v>
      </c>
      <c r="X101" s="65">
        <f t="shared" si="128"/>
        <v>1227.2319149812577</v>
      </c>
      <c r="Y101" s="65">
        <f t="shared" si="128"/>
        <v>950.3655654504397</v>
      </c>
      <c r="Z101" s="65">
        <f t="shared" si="128"/>
        <v>1585.116276432303</v>
      </c>
      <c r="AA101" s="65">
        <f t="shared" si="128"/>
        <v>1367.4979629617424</v>
      </c>
      <c r="AB101" s="65">
        <f t="shared" si="128"/>
        <v>1462.8304332615994</v>
      </c>
      <c r="AC101" s="65">
        <f t="shared" si="128"/>
        <v>2258.7462848229879</v>
      </c>
      <c r="AD101" s="65">
        <f t="shared" si="128"/>
        <v>1538.5173859614872</v>
      </c>
      <c r="AE101" s="65">
        <f t="shared" si="128"/>
        <v>1310.1143040162385</v>
      </c>
      <c r="AF101" s="65">
        <f t="shared" si="128"/>
        <v>0</v>
      </c>
      <c r="AH101" s="65">
        <f>SUM(AH98:AH100)</f>
        <v>2065.12</v>
      </c>
      <c r="AI101" s="65">
        <f>SUM(AI98:AI100)</f>
        <v>14440.584800605955</v>
      </c>
      <c r="AJ101" s="65">
        <f>SUM(AJ98:AJ100)</f>
        <v>13684.419205319253</v>
      </c>
      <c r="AK101" s="65">
        <f t="shared" ref="AK101:AP101" si="129">SUM(AK98:AK100)</f>
        <v>17211.080534011329</v>
      </c>
      <c r="AL101" s="65">
        <f t="shared" si="129"/>
        <v>19790.811163304828</v>
      </c>
      <c r="AM101" s="65">
        <f t="shared" si="129"/>
        <v>21758.422314204548</v>
      </c>
      <c r="AN101" s="65">
        <f t="shared" si="129"/>
        <v>20710.160893685381</v>
      </c>
      <c r="AO101" s="65">
        <f t="shared" si="129"/>
        <v>17631.205141051345</v>
      </c>
      <c r="AP101" s="65">
        <f t="shared" si="129"/>
        <v>17662.308695730608</v>
      </c>
      <c r="AQ101" s="65">
        <f t="shared" ref="AQ101:AV101" si="130">SUM(AQ98:AQ100)</f>
        <v>16435.287998702803</v>
      </c>
      <c r="AR101" s="65">
        <f t="shared" si="130"/>
        <v>19510.737029313801</v>
      </c>
      <c r="AS101" s="65">
        <f t="shared" si="130"/>
        <v>17687.73732507255</v>
      </c>
      <c r="AT101" s="65">
        <f t="shared" si="130"/>
        <v>15651.492517892269</v>
      </c>
      <c r="AU101" s="65">
        <f t="shared" si="130"/>
        <v>13969.682298891692</v>
      </c>
      <c r="AV101" s="65">
        <f t="shared" si="130"/>
        <v>10436.280000000001</v>
      </c>
    </row>
    <row r="102" spans="1:48" s="63" customFormat="1" x14ac:dyDescent="0.25">
      <c r="A102" s="64" t="s">
        <v>251</v>
      </c>
      <c r="B102" s="71">
        <f>B105</f>
        <v>0</v>
      </c>
      <c r="C102" s="71">
        <f>C105</f>
        <v>0</v>
      </c>
      <c r="D102" s="71">
        <f>D105</f>
        <v>0</v>
      </c>
      <c r="E102" s="71">
        <f t="shared" ref="E102:J102" si="131">E105</f>
        <v>0</v>
      </c>
      <c r="F102" s="71">
        <f t="shared" si="131"/>
        <v>0</v>
      </c>
      <c r="G102" s="71">
        <f t="shared" si="131"/>
        <v>0</v>
      </c>
      <c r="H102" s="71">
        <f t="shared" si="131"/>
        <v>0</v>
      </c>
      <c r="I102" s="71">
        <f t="shared" si="131"/>
        <v>0</v>
      </c>
      <c r="J102" s="71">
        <f t="shared" si="131"/>
        <v>0</v>
      </c>
      <c r="K102" s="71">
        <f t="shared" ref="K102:P102" si="132">K105</f>
        <v>0</v>
      </c>
      <c r="L102" s="71">
        <f t="shared" si="132"/>
        <v>0</v>
      </c>
      <c r="M102" s="71">
        <f t="shared" si="132"/>
        <v>0</v>
      </c>
      <c r="N102" s="71">
        <f t="shared" si="132"/>
        <v>0</v>
      </c>
      <c r="O102" s="71">
        <f t="shared" si="132"/>
        <v>0</v>
      </c>
      <c r="P102" s="71">
        <f t="shared" si="132"/>
        <v>0</v>
      </c>
      <c r="R102" s="71">
        <f>R105</f>
        <v>0</v>
      </c>
      <c r="S102" s="71">
        <f t="shared" ref="S102:AF102" si="133">S105</f>
        <v>0</v>
      </c>
      <c r="T102" s="71">
        <f t="shared" si="133"/>
        <v>0</v>
      </c>
      <c r="U102" s="71">
        <f t="shared" si="133"/>
        <v>0</v>
      </c>
      <c r="V102" s="71">
        <f t="shared" si="133"/>
        <v>0</v>
      </c>
      <c r="W102" s="71">
        <f t="shared" si="133"/>
        <v>0</v>
      </c>
      <c r="X102" s="71">
        <f t="shared" si="133"/>
        <v>0</v>
      </c>
      <c r="Y102" s="71">
        <f t="shared" si="133"/>
        <v>0</v>
      </c>
      <c r="Z102" s="71">
        <f t="shared" si="133"/>
        <v>0</v>
      </c>
      <c r="AA102" s="71">
        <f t="shared" si="133"/>
        <v>0</v>
      </c>
      <c r="AB102" s="71">
        <f t="shared" si="133"/>
        <v>0</v>
      </c>
      <c r="AC102" s="71">
        <f t="shared" si="133"/>
        <v>0</v>
      </c>
      <c r="AD102" s="71">
        <f t="shared" si="133"/>
        <v>0</v>
      </c>
      <c r="AE102" s="71">
        <f t="shared" si="133"/>
        <v>0</v>
      </c>
      <c r="AF102" s="71">
        <f t="shared" si="133"/>
        <v>0</v>
      </c>
      <c r="AH102" s="71">
        <f>AH105</f>
        <v>0</v>
      </c>
      <c r="AI102" s="71">
        <f>AI105</f>
        <v>0</v>
      </c>
      <c r="AJ102" s="71">
        <f>AJ105</f>
        <v>0</v>
      </c>
      <c r="AK102" s="71">
        <f t="shared" ref="AK102:AP102" si="134">AK105</f>
        <v>0</v>
      </c>
      <c r="AL102" s="71">
        <f t="shared" si="134"/>
        <v>0</v>
      </c>
      <c r="AM102" s="71">
        <f t="shared" si="134"/>
        <v>0</v>
      </c>
      <c r="AN102" s="71">
        <f t="shared" si="134"/>
        <v>0</v>
      </c>
      <c r="AO102" s="71">
        <f t="shared" si="134"/>
        <v>0</v>
      </c>
      <c r="AP102" s="71">
        <f t="shared" si="134"/>
        <v>0</v>
      </c>
      <c r="AQ102" s="71">
        <f t="shared" ref="AQ102:AV102" si="135">AQ105</f>
        <v>0</v>
      </c>
      <c r="AR102" s="71">
        <f t="shared" si="135"/>
        <v>0</v>
      </c>
      <c r="AS102" s="71">
        <f t="shared" si="135"/>
        <v>0</v>
      </c>
      <c r="AT102" s="71">
        <f t="shared" si="135"/>
        <v>0</v>
      </c>
      <c r="AU102" s="71">
        <f t="shared" si="135"/>
        <v>0</v>
      </c>
      <c r="AV102" s="71">
        <f t="shared" si="135"/>
        <v>0</v>
      </c>
    </row>
    <row r="103" spans="1:48" s="63" customFormat="1" x14ac:dyDescent="0.25">
      <c r="A103" s="66" t="s">
        <v>252</v>
      </c>
      <c r="B103" s="67">
        <f>-B10</f>
        <v>0</v>
      </c>
      <c r="C103" s="67">
        <f>-C10</f>
        <v>0</v>
      </c>
      <c r="D103" s="67">
        <f>-D10</f>
        <v>0</v>
      </c>
      <c r="E103" s="67">
        <f t="shared" ref="E103:P103" si="136">-E10</f>
        <v>0</v>
      </c>
      <c r="F103" s="67">
        <f t="shared" si="136"/>
        <v>0</v>
      </c>
      <c r="G103" s="67">
        <f t="shared" si="136"/>
        <v>0</v>
      </c>
      <c r="H103" s="67">
        <f t="shared" si="136"/>
        <v>0</v>
      </c>
      <c r="I103" s="67">
        <f t="shared" si="136"/>
        <v>0</v>
      </c>
      <c r="J103" s="67">
        <f t="shared" si="136"/>
        <v>0</v>
      </c>
      <c r="K103" s="67">
        <f t="shared" si="136"/>
        <v>0</v>
      </c>
      <c r="L103" s="67">
        <f t="shared" si="136"/>
        <v>0</v>
      </c>
      <c r="M103" s="67">
        <f t="shared" si="136"/>
        <v>0</v>
      </c>
      <c r="N103" s="67">
        <f t="shared" si="136"/>
        <v>0</v>
      </c>
      <c r="O103" s="67">
        <f t="shared" si="136"/>
        <v>0</v>
      </c>
      <c r="P103" s="67">
        <f t="shared" si="136"/>
        <v>0</v>
      </c>
      <c r="R103" s="67">
        <f>-R10</f>
        <v>0</v>
      </c>
      <c r="S103" s="67">
        <f t="shared" ref="S103:AF103" si="137">-S10</f>
        <v>0</v>
      </c>
      <c r="T103" s="67">
        <f t="shared" si="137"/>
        <v>0</v>
      </c>
      <c r="U103" s="67">
        <f t="shared" si="137"/>
        <v>0</v>
      </c>
      <c r="V103" s="67">
        <f t="shared" si="137"/>
        <v>0</v>
      </c>
      <c r="W103" s="67">
        <f t="shared" si="137"/>
        <v>0</v>
      </c>
      <c r="X103" s="67">
        <f t="shared" si="137"/>
        <v>0</v>
      </c>
      <c r="Y103" s="67">
        <f t="shared" si="137"/>
        <v>0</v>
      </c>
      <c r="Z103" s="67">
        <f t="shared" si="137"/>
        <v>0</v>
      </c>
      <c r="AA103" s="67">
        <f t="shared" si="137"/>
        <v>0</v>
      </c>
      <c r="AB103" s="67">
        <f t="shared" si="137"/>
        <v>0</v>
      </c>
      <c r="AC103" s="67">
        <f t="shared" si="137"/>
        <v>0</v>
      </c>
      <c r="AD103" s="67">
        <f t="shared" si="137"/>
        <v>0</v>
      </c>
      <c r="AE103" s="67">
        <f t="shared" si="137"/>
        <v>0</v>
      </c>
      <c r="AF103" s="67">
        <f t="shared" si="137"/>
        <v>0</v>
      </c>
      <c r="AH103" s="67">
        <f>-AH10</f>
        <v>0</v>
      </c>
      <c r="AI103" s="67">
        <f>-AI10</f>
        <v>0</v>
      </c>
      <c r="AJ103" s="67">
        <f>-AJ10</f>
        <v>0</v>
      </c>
      <c r="AK103" s="67">
        <f t="shared" ref="AK103:AV103" si="138">-AK10</f>
        <v>0</v>
      </c>
      <c r="AL103" s="67">
        <f t="shared" si="138"/>
        <v>0</v>
      </c>
      <c r="AM103" s="67">
        <f t="shared" si="138"/>
        <v>0</v>
      </c>
      <c r="AN103" s="67">
        <f t="shared" si="138"/>
        <v>0</v>
      </c>
      <c r="AO103" s="67">
        <f t="shared" si="138"/>
        <v>0</v>
      </c>
      <c r="AP103" s="67">
        <f t="shared" si="138"/>
        <v>0</v>
      </c>
      <c r="AQ103" s="67">
        <f t="shared" si="138"/>
        <v>0</v>
      </c>
      <c r="AR103" s="67">
        <f t="shared" si="138"/>
        <v>0</v>
      </c>
      <c r="AS103" s="67">
        <f t="shared" si="138"/>
        <v>0</v>
      </c>
      <c r="AT103" s="67">
        <f t="shared" si="138"/>
        <v>0</v>
      </c>
      <c r="AU103" s="67">
        <f t="shared" si="138"/>
        <v>0</v>
      </c>
      <c r="AV103" s="67">
        <f t="shared" si="138"/>
        <v>0</v>
      </c>
    </row>
    <row r="104" spans="1:48" s="63" customFormat="1" x14ac:dyDescent="0.25">
      <c r="A104" s="66" t="s">
        <v>148</v>
      </c>
      <c r="B104" s="72">
        <f>(1-'Lease adjustments'!B8)</f>
        <v>0.78</v>
      </c>
      <c r="C104" s="72">
        <f>(1-'Lease adjustments'!C8)</f>
        <v>0.78</v>
      </c>
      <c r="D104" s="72">
        <f>(1-'Lease adjustments'!D8)</f>
        <v>0.78</v>
      </c>
      <c r="E104" s="72">
        <f>(1-'Lease adjustments'!E8)</f>
        <v>0.78</v>
      </c>
      <c r="F104" s="72">
        <f>(1-'Lease adjustments'!F8)</f>
        <v>0.78</v>
      </c>
      <c r="G104" s="72">
        <f>(1-'Lease adjustments'!G8)</f>
        <v>0.78</v>
      </c>
      <c r="H104" s="72">
        <f>(1-'Lease adjustments'!H8)</f>
        <v>0.78</v>
      </c>
      <c r="I104" s="72">
        <f>(1-'Lease adjustments'!I8)</f>
        <v>0.78</v>
      </c>
      <c r="J104" s="72">
        <f>(1-'Lease adjustments'!J8)</f>
        <v>0.73699999999999999</v>
      </c>
      <c r="K104" s="72">
        <f>(1-'Lease adjustments'!K8)</f>
        <v>0.73699999999999999</v>
      </c>
      <c r="L104" s="72">
        <f>(1-'Lease adjustments'!L8)</f>
        <v>0.73699999999999999</v>
      </c>
      <c r="M104" s="72">
        <f>(1-'Lease adjustments'!M8)</f>
        <v>0.72</v>
      </c>
      <c r="N104" s="72">
        <f>(1-'Lease adjustments'!N8)</f>
        <v>0.72</v>
      </c>
      <c r="O104" s="72">
        <f>(1-'Lease adjustments'!O8)</f>
        <v>0.72</v>
      </c>
      <c r="P104" s="72">
        <f>(1-'Lease adjustments'!P8)</f>
        <v>0.72</v>
      </c>
      <c r="R104" s="72">
        <f>(1-'Lease adjustments'!R8)</f>
        <v>1</v>
      </c>
      <c r="S104" s="72">
        <f>(1-'Lease adjustments'!S8)</f>
        <v>1</v>
      </c>
      <c r="T104" s="72">
        <f>(1-'Lease adjustments'!T8)</f>
        <v>1</v>
      </c>
      <c r="U104" s="72">
        <f>(1-'Lease adjustments'!U8)</f>
        <v>1</v>
      </c>
      <c r="V104" s="72">
        <f>(1-'Lease adjustments'!V8)</f>
        <v>1</v>
      </c>
      <c r="W104" s="72">
        <f>(1-'Lease adjustments'!W8)</f>
        <v>1</v>
      </c>
      <c r="X104" s="72">
        <f>(1-'Lease adjustments'!X8)</f>
        <v>1</v>
      </c>
      <c r="Y104" s="72">
        <f>(1-'Lease adjustments'!Y8)</f>
        <v>1</v>
      </c>
      <c r="Z104" s="72">
        <f>(1-'Lease adjustments'!Z8)</f>
        <v>1</v>
      </c>
      <c r="AA104" s="72">
        <f>(1-'Lease adjustments'!AA8)</f>
        <v>1</v>
      </c>
      <c r="AB104" s="72">
        <f>(1-'Lease adjustments'!AB8)</f>
        <v>1</v>
      </c>
      <c r="AC104" s="72">
        <f>(1-'Lease adjustments'!AC8)</f>
        <v>1</v>
      </c>
      <c r="AD104" s="72">
        <f>(1-'Lease adjustments'!AD8)</f>
        <v>1</v>
      </c>
      <c r="AE104" s="72">
        <f>(1-'Lease adjustments'!AE8)</f>
        <v>1</v>
      </c>
      <c r="AF104" s="72">
        <f>(1-'Lease adjustments'!AF8)</f>
        <v>1</v>
      </c>
      <c r="AH104" s="72">
        <f t="shared" ref="AH104:AV104" si="139">B104</f>
        <v>0.78</v>
      </c>
      <c r="AI104" s="72">
        <f t="shared" si="139"/>
        <v>0.78</v>
      </c>
      <c r="AJ104" s="72">
        <f t="shared" si="139"/>
        <v>0.78</v>
      </c>
      <c r="AK104" s="72">
        <f t="shared" si="139"/>
        <v>0.78</v>
      </c>
      <c r="AL104" s="72">
        <f t="shared" si="139"/>
        <v>0.78</v>
      </c>
      <c r="AM104" s="72">
        <f t="shared" si="139"/>
        <v>0.78</v>
      </c>
      <c r="AN104" s="72">
        <f t="shared" si="139"/>
        <v>0.78</v>
      </c>
      <c r="AO104" s="72">
        <f t="shared" si="139"/>
        <v>0.78</v>
      </c>
      <c r="AP104" s="72">
        <f t="shared" si="139"/>
        <v>0.73699999999999999</v>
      </c>
      <c r="AQ104" s="72">
        <f t="shared" si="139"/>
        <v>0.73699999999999999</v>
      </c>
      <c r="AR104" s="72">
        <f t="shared" si="139"/>
        <v>0.73699999999999999</v>
      </c>
      <c r="AS104" s="72">
        <f t="shared" si="139"/>
        <v>0.72</v>
      </c>
      <c r="AT104" s="72">
        <f t="shared" si="139"/>
        <v>0.72</v>
      </c>
      <c r="AU104" s="72">
        <f t="shared" si="139"/>
        <v>0.72</v>
      </c>
      <c r="AV104" s="72">
        <f t="shared" si="139"/>
        <v>0.72</v>
      </c>
    </row>
    <row r="105" spans="1:48" s="63" customFormat="1" x14ac:dyDescent="0.25">
      <c r="A105" s="70" t="s">
        <v>253</v>
      </c>
      <c r="B105" s="65">
        <f>B104*B103</f>
        <v>0</v>
      </c>
      <c r="C105" s="65">
        <f>C104*C103</f>
        <v>0</v>
      </c>
      <c r="D105" s="65">
        <f>D104*D103</f>
        <v>0</v>
      </c>
      <c r="E105" s="65">
        <f>E104*E103</f>
        <v>0</v>
      </c>
      <c r="F105" s="65">
        <f>F104*F103</f>
        <v>0</v>
      </c>
      <c r="G105" s="65">
        <f t="shared" ref="G105:L105" si="140">G104*G103</f>
        <v>0</v>
      </c>
      <c r="H105" s="65">
        <f t="shared" si="140"/>
        <v>0</v>
      </c>
      <c r="I105" s="65">
        <f t="shared" si="140"/>
        <v>0</v>
      </c>
      <c r="J105" s="65">
        <f t="shared" si="140"/>
        <v>0</v>
      </c>
      <c r="K105" s="65">
        <f t="shared" si="140"/>
        <v>0</v>
      </c>
      <c r="L105" s="65">
        <f t="shared" si="140"/>
        <v>0</v>
      </c>
      <c r="M105" s="65">
        <f>M104*M103</f>
        <v>0</v>
      </c>
      <c r="N105" s="65">
        <f>N104*N103</f>
        <v>0</v>
      </c>
      <c r="O105" s="65">
        <f>O104*O103</f>
        <v>0</v>
      </c>
      <c r="P105" s="65">
        <f>P104*P103</f>
        <v>0</v>
      </c>
      <c r="R105" s="65">
        <f>R104*R103</f>
        <v>0</v>
      </c>
      <c r="S105" s="65">
        <f t="shared" ref="S105:AF105" si="141">S104*S103</f>
        <v>0</v>
      </c>
      <c r="T105" s="65">
        <f t="shared" si="141"/>
        <v>0</v>
      </c>
      <c r="U105" s="65">
        <f t="shared" si="141"/>
        <v>0</v>
      </c>
      <c r="V105" s="65">
        <f t="shared" si="141"/>
        <v>0</v>
      </c>
      <c r="W105" s="65">
        <f t="shared" si="141"/>
        <v>0</v>
      </c>
      <c r="X105" s="65">
        <f t="shared" si="141"/>
        <v>0</v>
      </c>
      <c r="Y105" s="65">
        <f t="shared" si="141"/>
        <v>0</v>
      </c>
      <c r="Z105" s="65">
        <f t="shared" si="141"/>
        <v>0</v>
      </c>
      <c r="AA105" s="65">
        <f t="shared" si="141"/>
        <v>0</v>
      </c>
      <c r="AB105" s="65">
        <f t="shared" si="141"/>
        <v>0</v>
      </c>
      <c r="AC105" s="65">
        <f t="shared" si="141"/>
        <v>0</v>
      </c>
      <c r="AD105" s="65">
        <f t="shared" si="141"/>
        <v>0</v>
      </c>
      <c r="AE105" s="65">
        <f t="shared" si="141"/>
        <v>0</v>
      </c>
      <c r="AF105" s="65">
        <f t="shared" si="141"/>
        <v>0</v>
      </c>
      <c r="AH105" s="65">
        <f>AH104*AH103</f>
        <v>0</v>
      </c>
      <c r="AI105" s="65">
        <f>AI104*AI103</f>
        <v>0</v>
      </c>
      <c r="AJ105" s="65">
        <f>AJ104*AJ103</f>
        <v>0</v>
      </c>
      <c r="AK105" s="65">
        <f>AK104*AK103</f>
        <v>0</v>
      </c>
      <c r="AL105" s="65">
        <f>AL104*AL103</f>
        <v>0</v>
      </c>
      <c r="AM105" s="65">
        <f t="shared" ref="AM105:AR105" si="142">AM104*AM103</f>
        <v>0</v>
      </c>
      <c r="AN105" s="65">
        <f t="shared" si="142"/>
        <v>0</v>
      </c>
      <c r="AO105" s="65">
        <f t="shared" si="142"/>
        <v>0</v>
      </c>
      <c r="AP105" s="65">
        <f t="shared" si="142"/>
        <v>0</v>
      </c>
      <c r="AQ105" s="65">
        <f t="shared" si="142"/>
        <v>0</v>
      </c>
      <c r="AR105" s="65">
        <f t="shared" si="142"/>
        <v>0</v>
      </c>
      <c r="AS105" s="65">
        <f>AS104*AS103</f>
        <v>0</v>
      </c>
      <c r="AT105" s="65">
        <f>AT104*AT103</f>
        <v>0</v>
      </c>
      <c r="AU105" s="65">
        <f>AU104*AU103</f>
        <v>0</v>
      </c>
      <c r="AV105" s="65">
        <f>AV104*AV103</f>
        <v>0</v>
      </c>
    </row>
    <row r="106" spans="1:48" s="63" customFormat="1" x14ac:dyDescent="0.25">
      <c r="A106" s="73" t="s">
        <v>254</v>
      </c>
      <c r="B106" s="71">
        <f>B109</f>
        <v>196.56</v>
      </c>
      <c r="C106" s="71">
        <f>C109</f>
        <v>293.28000000000003</v>
      </c>
      <c r="D106" s="71">
        <f>D109</f>
        <v>227.76000000000002</v>
      </c>
      <c r="E106" s="71">
        <f t="shared" ref="E106:J106" si="143">E109</f>
        <v>219.18</v>
      </c>
      <c r="F106" s="71">
        <f t="shared" si="143"/>
        <v>174.72</v>
      </c>
      <c r="G106" s="71">
        <f t="shared" si="143"/>
        <v>241.8</v>
      </c>
      <c r="H106" s="71">
        <f t="shared" si="143"/>
        <v>255.84</v>
      </c>
      <c r="I106" s="71">
        <f t="shared" si="143"/>
        <v>286.26</v>
      </c>
      <c r="J106" s="71">
        <f t="shared" si="143"/>
        <v>395.03199999999998</v>
      </c>
      <c r="K106" s="71">
        <f t="shared" ref="K106:P106" si="144">K109</f>
        <v>418.61599999999999</v>
      </c>
      <c r="L106" s="71">
        <f t="shared" si="144"/>
        <v>262.37200000000001</v>
      </c>
      <c r="M106" s="71">
        <f t="shared" si="144"/>
        <v>336.24</v>
      </c>
      <c r="N106" s="71">
        <f t="shared" si="144"/>
        <v>763.19999999999993</v>
      </c>
      <c r="O106" s="71">
        <f t="shared" si="144"/>
        <v>570.95999999999992</v>
      </c>
      <c r="P106" s="71">
        <f t="shared" si="144"/>
        <v>370.8</v>
      </c>
      <c r="R106" s="71">
        <f>R109</f>
        <v>0</v>
      </c>
      <c r="S106" s="71">
        <f t="shared" ref="S106:AF106" si="145">S109</f>
        <v>0</v>
      </c>
      <c r="T106" s="71">
        <f t="shared" si="145"/>
        <v>0</v>
      </c>
      <c r="U106" s="71">
        <f t="shared" si="145"/>
        <v>0</v>
      </c>
      <c r="V106" s="71">
        <f t="shared" si="145"/>
        <v>0</v>
      </c>
      <c r="W106" s="71">
        <f t="shared" si="145"/>
        <v>0</v>
      </c>
      <c r="X106" s="71">
        <f t="shared" si="145"/>
        <v>0</v>
      </c>
      <c r="Y106" s="71">
        <f t="shared" si="145"/>
        <v>0</v>
      </c>
      <c r="Z106" s="71">
        <f t="shared" si="145"/>
        <v>0</v>
      </c>
      <c r="AA106" s="71">
        <f t="shared" si="145"/>
        <v>0</v>
      </c>
      <c r="AB106" s="71">
        <f t="shared" si="145"/>
        <v>0</v>
      </c>
      <c r="AC106" s="71">
        <f t="shared" si="145"/>
        <v>0</v>
      </c>
      <c r="AD106" s="71">
        <f t="shared" si="145"/>
        <v>0</v>
      </c>
      <c r="AE106" s="71">
        <f t="shared" si="145"/>
        <v>0</v>
      </c>
      <c r="AF106" s="71">
        <f t="shared" si="145"/>
        <v>0</v>
      </c>
      <c r="AH106" s="71">
        <f>AH109</f>
        <v>196.56</v>
      </c>
      <c r="AI106" s="71">
        <f>AI109</f>
        <v>293.28000000000003</v>
      </c>
      <c r="AJ106" s="71">
        <f>AJ109</f>
        <v>227.76000000000002</v>
      </c>
      <c r="AK106" s="71">
        <f t="shared" ref="AK106:AP106" si="146">AK109</f>
        <v>219.18</v>
      </c>
      <c r="AL106" s="71">
        <f t="shared" si="146"/>
        <v>174.72</v>
      </c>
      <c r="AM106" s="71">
        <f t="shared" si="146"/>
        <v>241.8</v>
      </c>
      <c r="AN106" s="71">
        <f t="shared" si="146"/>
        <v>255.84</v>
      </c>
      <c r="AO106" s="71">
        <f t="shared" si="146"/>
        <v>286.26</v>
      </c>
      <c r="AP106" s="71">
        <f t="shared" si="146"/>
        <v>395.03199999999998</v>
      </c>
      <c r="AQ106" s="71">
        <f t="shared" ref="AQ106:AV106" si="147">AQ109</f>
        <v>418.61599999999999</v>
      </c>
      <c r="AR106" s="71">
        <f t="shared" si="147"/>
        <v>262.37200000000001</v>
      </c>
      <c r="AS106" s="71">
        <f t="shared" si="147"/>
        <v>336.24</v>
      </c>
      <c r="AT106" s="71">
        <f t="shared" si="147"/>
        <v>763.19999999999993</v>
      </c>
      <c r="AU106" s="71">
        <f t="shared" si="147"/>
        <v>570.95999999999992</v>
      </c>
      <c r="AV106" s="71">
        <f t="shared" si="147"/>
        <v>370.8</v>
      </c>
    </row>
    <row r="107" spans="1:48" s="63" customFormat="1" x14ac:dyDescent="0.25">
      <c r="A107" s="66" t="s">
        <v>255</v>
      </c>
      <c r="B107" s="67">
        <f>B9+B11</f>
        <v>252</v>
      </c>
      <c r="C107" s="67">
        <f>C9+C11</f>
        <v>376</v>
      </c>
      <c r="D107" s="67">
        <f>D9+D11</f>
        <v>292</v>
      </c>
      <c r="E107" s="67">
        <f t="shared" ref="E107:P107" si="148">E9+E11</f>
        <v>281</v>
      </c>
      <c r="F107" s="67">
        <f t="shared" si="148"/>
        <v>224</v>
      </c>
      <c r="G107" s="67">
        <f t="shared" si="148"/>
        <v>310</v>
      </c>
      <c r="H107" s="67">
        <f t="shared" si="148"/>
        <v>328</v>
      </c>
      <c r="I107" s="67">
        <f t="shared" si="148"/>
        <v>367</v>
      </c>
      <c r="J107" s="67">
        <f t="shared" si="148"/>
        <v>536</v>
      </c>
      <c r="K107" s="67">
        <f t="shared" si="148"/>
        <v>568</v>
      </c>
      <c r="L107" s="67">
        <f t="shared" si="148"/>
        <v>356</v>
      </c>
      <c r="M107" s="67">
        <f t="shared" si="148"/>
        <v>467</v>
      </c>
      <c r="N107" s="67">
        <f t="shared" si="148"/>
        <v>1060</v>
      </c>
      <c r="O107" s="67">
        <f t="shared" si="148"/>
        <v>793</v>
      </c>
      <c r="P107" s="67">
        <f t="shared" si="148"/>
        <v>515</v>
      </c>
      <c r="R107" s="67">
        <f>R9+R11</f>
        <v>0</v>
      </c>
      <c r="S107" s="67">
        <f t="shared" ref="S107:AF107" si="149">S9+S11</f>
        <v>0</v>
      </c>
      <c r="T107" s="67">
        <f t="shared" si="149"/>
        <v>0</v>
      </c>
      <c r="U107" s="67">
        <f t="shared" si="149"/>
        <v>0</v>
      </c>
      <c r="V107" s="67">
        <f t="shared" si="149"/>
        <v>0</v>
      </c>
      <c r="W107" s="67">
        <f t="shared" si="149"/>
        <v>0</v>
      </c>
      <c r="X107" s="67">
        <f t="shared" si="149"/>
        <v>0</v>
      </c>
      <c r="Y107" s="67">
        <f t="shared" si="149"/>
        <v>0</v>
      </c>
      <c r="Z107" s="67">
        <f t="shared" si="149"/>
        <v>0</v>
      </c>
      <c r="AA107" s="67">
        <f t="shared" si="149"/>
        <v>0</v>
      </c>
      <c r="AB107" s="67">
        <f t="shared" si="149"/>
        <v>0</v>
      </c>
      <c r="AC107" s="67">
        <f t="shared" si="149"/>
        <v>0</v>
      </c>
      <c r="AD107" s="67">
        <f t="shared" si="149"/>
        <v>0</v>
      </c>
      <c r="AE107" s="67">
        <f t="shared" si="149"/>
        <v>0</v>
      </c>
      <c r="AF107" s="67">
        <f t="shared" si="149"/>
        <v>0</v>
      </c>
      <c r="AH107" s="67">
        <f>AH9+AH11</f>
        <v>252</v>
      </c>
      <c r="AI107" s="67">
        <f>AI9+AI11</f>
        <v>376</v>
      </c>
      <c r="AJ107" s="67">
        <f>AJ9+AJ11</f>
        <v>292</v>
      </c>
      <c r="AK107" s="67">
        <f t="shared" ref="AK107:AV107" si="150">AK9+AK11</f>
        <v>281</v>
      </c>
      <c r="AL107" s="67">
        <f t="shared" si="150"/>
        <v>224</v>
      </c>
      <c r="AM107" s="67">
        <f t="shared" si="150"/>
        <v>310</v>
      </c>
      <c r="AN107" s="67">
        <f t="shared" si="150"/>
        <v>328</v>
      </c>
      <c r="AO107" s="67">
        <f t="shared" si="150"/>
        <v>367</v>
      </c>
      <c r="AP107" s="67">
        <f t="shared" si="150"/>
        <v>536</v>
      </c>
      <c r="AQ107" s="67">
        <f t="shared" si="150"/>
        <v>568</v>
      </c>
      <c r="AR107" s="67">
        <f t="shared" si="150"/>
        <v>356</v>
      </c>
      <c r="AS107" s="67">
        <f t="shared" si="150"/>
        <v>467</v>
      </c>
      <c r="AT107" s="67">
        <f t="shared" si="150"/>
        <v>1060</v>
      </c>
      <c r="AU107" s="67">
        <f t="shared" si="150"/>
        <v>793</v>
      </c>
      <c r="AV107" s="67">
        <f t="shared" si="150"/>
        <v>515</v>
      </c>
    </row>
    <row r="108" spans="1:48" s="63" customFormat="1" x14ac:dyDescent="0.25">
      <c r="A108" s="66" t="s">
        <v>148</v>
      </c>
      <c r="B108" s="72">
        <f>(1-'Lease adjustments'!B8)</f>
        <v>0.78</v>
      </c>
      <c r="C108" s="72">
        <f>(1-'Lease adjustments'!C8)</f>
        <v>0.78</v>
      </c>
      <c r="D108" s="72">
        <f>(1-'Lease adjustments'!D8)</f>
        <v>0.78</v>
      </c>
      <c r="E108" s="72">
        <f>(1-'Lease adjustments'!E8)</f>
        <v>0.78</v>
      </c>
      <c r="F108" s="72">
        <f>(1-'Lease adjustments'!F8)</f>
        <v>0.78</v>
      </c>
      <c r="G108" s="72">
        <f>(1-'Lease adjustments'!G8)</f>
        <v>0.78</v>
      </c>
      <c r="H108" s="72">
        <f>(1-'Lease adjustments'!H8)</f>
        <v>0.78</v>
      </c>
      <c r="I108" s="72">
        <f>(1-'Lease adjustments'!I8)</f>
        <v>0.78</v>
      </c>
      <c r="J108" s="72">
        <f>(1-'Lease adjustments'!J8)</f>
        <v>0.73699999999999999</v>
      </c>
      <c r="K108" s="72">
        <f>(1-'Lease adjustments'!K8)</f>
        <v>0.73699999999999999</v>
      </c>
      <c r="L108" s="72">
        <f>(1-'Lease adjustments'!L8)</f>
        <v>0.73699999999999999</v>
      </c>
      <c r="M108" s="72">
        <f>(1-'Lease adjustments'!M8)</f>
        <v>0.72</v>
      </c>
      <c r="N108" s="72">
        <f>(1-'Lease adjustments'!N8)</f>
        <v>0.72</v>
      </c>
      <c r="O108" s="72">
        <f>(1-'Lease adjustments'!O8)</f>
        <v>0.72</v>
      </c>
      <c r="P108" s="72">
        <f>(1-'Lease adjustments'!P8)</f>
        <v>0.72</v>
      </c>
      <c r="R108" s="72">
        <f>(1-'Lease adjustments'!R8)</f>
        <v>1</v>
      </c>
      <c r="S108" s="72">
        <f>(1-'Lease adjustments'!S8)</f>
        <v>1</v>
      </c>
      <c r="T108" s="72">
        <f>(1-'Lease adjustments'!T8)</f>
        <v>1</v>
      </c>
      <c r="U108" s="72">
        <f>(1-'Lease adjustments'!U8)</f>
        <v>1</v>
      </c>
      <c r="V108" s="72">
        <f>(1-'Lease adjustments'!V8)</f>
        <v>1</v>
      </c>
      <c r="W108" s="72">
        <f>(1-'Lease adjustments'!W8)</f>
        <v>1</v>
      </c>
      <c r="X108" s="72">
        <f>(1-'Lease adjustments'!X8)</f>
        <v>1</v>
      </c>
      <c r="Y108" s="72">
        <f>(1-'Lease adjustments'!Y8)</f>
        <v>1</v>
      </c>
      <c r="Z108" s="72">
        <f>(1-'Lease adjustments'!Z8)</f>
        <v>1</v>
      </c>
      <c r="AA108" s="72">
        <f>(1-'Lease adjustments'!AA8)</f>
        <v>1</v>
      </c>
      <c r="AB108" s="72">
        <f>(1-'Lease adjustments'!AB8)</f>
        <v>1</v>
      </c>
      <c r="AC108" s="72">
        <f>(1-'Lease adjustments'!AC8)</f>
        <v>1</v>
      </c>
      <c r="AD108" s="72">
        <f>(1-'Lease adjustments'!AD8)</f>
        <v>1</v>
      </c>
      <c r="AE108" s="72">
        <f>(1-'Lease adjustments'!AE8)</f>
        <v>1</v>
      </c>
      <c r="AF108" s="72">
        <f>(1-'Lease adjustments'!AF8)</f>
        <v>1</v>
      </c>
      <c r="AH108" s="72">
        <f t="shared" ref="AH108:AV108" si="151">B108</f>
        <v>0.78</v>
      </c>
      <c r="AI108" s="72">
        <f t="shared" si="151"/>
        <v>0.78</v>
      </c>
      <c r="AJ108" s="72">
        <f t="shared" si="151"/>
        <v>0.78</v>
      </c>
      <c r="AK108" s="72">
        <f t="shared" si="151"/>
        <v>0.78</v>
      </c>
      <c r="AL108" s="72">
        <f t="shared" si="151"/>
        <v>0.78</v>
      </c>
      <c r="AM108" s="72">
        <f t="shared" si="151"/>
        <v>0.78</v>
      </c>
      <c r="AN108" s="72">
        <f t="shared" si="151"/>
        <v>0.78</v>
      </c>
      <c r="AO108" s="72">
        <f t="shared" si="151"/>
        <v>0.78</v>
      </c>
      <c r="AP108" s="72">
        <f t="shared" si="151"/>
        <v>0.73699999999999999</v>
      </c>
      <c r="AQ108" s="72">
        <f t="shared" si="151"/>
        <v>0.73699999999999999</v>
      </c>
      <c r="AR108" s="72">
        <f t="shared" si="151"/>
        <v>0.73699999999999999</v>
      </c>
      <c r="AS108" s="72">
        <f t="shared" si="151"/>
        <v>0.72</v>
      </c>
      <c r="AT108" s="72">
        <f t="shared" si="151"/>
        <v>0.72</v>
      </c>
      <c r="AU108" s="72">
        <f t="shared" si="151"/>
        <v>0.72</v>
      </c>
      <c r="AV108" s="72">
        <f t="shared" si="151"/>
        <v>0.72</v>
      </c>
    </row>
    <row r="109" spans="1:48" s="63" customFormat="1" x14ac:dyDescent="0.25">
      <c r="A109" s="70" t="s">
        <v>256</v>
      </c>
      <c r="B109" s="65">
        <f>B108*B107</f>
        <v>196.56</v>
      </c>
      <c r="C109" s="65">
        <f>C108*C107</f>
        <v>293.28000000000003</v>
      </c>
      <c r="D109" s="65">
        <f>D108*D107</f>
        <v>227.76000000000002</v>
      </c>
      <c r="E109" s="65">
        <f>E108*E107</f>
        <v>219.18</v>
      </c>
      <c r="F109" s="65">
        <f>F108*F107</f>
        <v>174.72</v>
      </c>
      <c r="G109" s="65">
        <f t="shared" ref="G109:L109" si="152">G108*G107</f>
        <v>241.8</v>
      </c>
      <c r="H109" s="65">
        <f t="shared" si="152"/>
        <v>255.84</v>
      </c>
      <c r="I109" s="65">
        <f t="shared" si="152"/>
        <v>286.26</v>
      </c>
      <c r="J109" s="65">
        <f t="shared" si="152"/>
        <v>395.03199999999998</v>
      </c>
      <c r="K109" s="65">
        <f t="shared" si="152"/>
        <v>418.61599999999999</v>
      </c>
      <c r="L109" s="65">
        <f t="shared" si="152"/>
        <v>262.37200000000001</v>
      </c>
      <c r="M109" s="65">
        <f>M108*M107</f>
        <v>336.24</v>
      </c>
      <c r="N109" s="65">
        <f>N108*N107</f>
        <v>763.19999999999993</v>
      </c>
      <c r="O109" s="65">
        <f>O108*O107</f>
        <v>570.95999999999992</v>
      </c>
      <c r="P109" s="65">
        <f>P108*P107</f>
        <v>370.8</v>
      </c>
      <c r="R109" s="65">
        <f>R108*R107</f>
        <v>0</v>
      </c>
      <c r="S109" s="65">
        <f t="shared" ref="S109:AF109" si="153">S108*S107</f>
        <v>0</v>
      </c>
      <c r="T109" s="65">
        <f t="shared" si="153"/>
        <v>0</v>
      </c>
      <c r="U109" s="65">
        <f t="shared" si="153"/>
        <v>0</v>
      </c>
      <c r="V109" s="65">
        <f t="shared" si="153"/>
        <v>0</v>
      </c>
      <c r="W109" s="65">
        <f t="shared" si="153"/>
        <v>0</v>
      </c>
      <c r="X109" s="65">
        <f t="shared" si="153"/>
        <v>0</v>
      </c>
      <c r="Y109" s="65">
        <f t="shared" si="153"/>
        <v>0</v>
      </c>
      <c r="Z109" s="65">
        <f t="shared" si="153"/>
        <v>0</v>
      </c>
      <c r="AA109" s="65">
        <f t="shared" si="153"/>
        <v>0</v>
      </c>
      <c r="AB109" s="65">
        <f t="shared" si="153"/>
        <v>0</v>
      </c>
      <c r="AC109" s="65">
        <f t="shared" si="153"/>
        <v>0</v>
      </c>
      <c r="AD109" s="65">
        <f t="shared" si="153"/>
        <v>0</v>
      </c>
      <c r="AE109" s="65">
        <f t="shared" si="153"/>
        <v>0</v>
      </c>
      <c r="AF109" s="65">
        <f t="shared" si="153"/>
        <v>0</v>
      </c>
      <c r="AH109" s="65">
        <f>AH108*AH107</f>
        <v>196.56</v>
      </c>
      <c r="AI109" s="65">
        <f>AI108*AI107</f>
        <v>293.28000000000003</v>
      </c>
      <c r="AJ109" s="65">
        <f>AJ108*AJ107</f>
        <v>227.76000000000002</v>
      </c>
      <c r="AK109" s="65">
        <f>AK108*AK107</f>
        <v>219.18</v>
      </c>
      <c r="AL109" s="65">
        <f>AL108*AL107</f>
        <v>174.72</v>
      </c>
      <c r="AM109" s="65">
        <f t="shared" ref="AM109:AR109" si="154">AM108*AM107</f>
        <v>241.8</v>
      </c>
      <c r="AN109" s="65">
        <f t="shared" si="154"/>
        <v>255.84</v>
      </c>
      <c r="AO109" s="65">
        <f t="shared" si="154"/>
        <v>286.26</v>
      </c>
      <c r="AP109" s="65">
        <f t="shared" si="154"/>
        <v>395.03199999999998</v>
      </c>
      <c r="AQ109" s="65">
        <f t="shared" si="154"/>
        <v>418.61599999999999</v>
      </c>
      <c r="AR109" s="65">
        <f t="shared" si="154"/>
        <v>262.37200000000001</v>
      </c>
      <c r="AS109" s="65">
        <f>AS108*AS107</f>
        <v>336.24</v>
      </c>
      <c r="AT109" s="65">
        <f>AT108*AT107</f>
        <v>763.19999999999993</v>
      </c>
      <c r="AU109" s="65">
        <f>AU108*AU107</f>
        <v>570.95999999999992</v>
      </c>
      <c r="AV109" s="65">
        <f>AV108*AV107</f>
        <v>370.8</v>
      </c>
    </row>
    <row r="110" spans="1:48" s="63" customFormat="1" x14ac:dyDescent="0.25">
      <c r="A110" s="64" t="s">
        <v>257</v>
      </c>
      <c r="B110" s="71">
        <f>B113</f>
        <v>1018.6800000000001</v>
      </c>
      <c r="C110" s="71">
        <f>C113</f>
        <v>270.66000000000003</v>
      </c>
      <c r="D110" s="71">
        <f>D113</f>
        <v>124.80000000000001</v>
      </c>
      <c r="E110" s="71">
        <f t="shared" ref="E110:J110" si="155">E113</f>
        <v>42.120000000000005</v>
      </c>
      <c r="F110" s="71">
        <f t="shared" si="155"/>
        <v>20.28</v>
      </c>
      <c r="G110" s="71">
        <f t="shared" si="155"/>
        <v>24.18</v>
      </c>
      <c r="H110" s="71">
        <f t="shared" si="155"/>
        <v>32.76</v>
      </c>
      <c r="I110" s="71">
        <f t="shared" si="155"/>
        <v>24.18</v>
      </c>
      <c r="J110" s="71">
        <f t="shared" si="155"/>
        <v>22.11</v>
      </c>
      <c r="K110" s="71">
        <f t="shared" ref="K110:P110" si="156">K113</f>
        <v>25.058</v>
      </c>
      <c r="L110" s="71">
        <f t="shared" si="156"/>
        <v>14.003</v>
      </c>
      <c r="M110" s="71">
        <f t="shared" si="156"/>
        <v>13.68</v>
      </c>
      <c r="N110" s="71">
        <f t="shared" si="156"/>
        <v>12.959999999999999</v>
      </c>
      <c r="O110" s="71">
        <f t="shared" si="156"/>
        <v>9.36</v>
      </c>
      <c r="P110" s="71">
        <f t="shared" si="156"/>
        <v>10.08</v>
      </c>
      <c r="R110" s="71">
        <f>R113</f>
        <v>0</v>
      </c>
      <c r="S110" s="71">
        <f t="shared" ref="S110:AF110" si="157">S113</f>
        <v>1307.954872571738</v>
      </c>
      <c r="T110" s="71">
        <f t="shared" si="157"/>
        <v>1455.6143657939131</v>
      </c>
      <c r="U110" s="71">
        <f t="shared" si="157"/>
        <v>1543.7699153991434</v>
      </c>
      <c r="V110" s="71">
        <f t="shared" si="157"/>
        <v>1678.5271324420903</v>
      </c>
      <c r="W110" s="71">
        <f t="shared" si="157"/>
        <v>1382.1055310314732</v>
      </c>
      <c r="X110" s="71">
        <f t="shared" si="157"/>
        <v>1227.2319149812577</v>
      </c>
      <c r="Y110" s="71">
        <f t="shared" si="157"/>
        <v>950.3655654504397</v>
      </c>
      <c r="Z110" s="71">
        <f t="shared" si="157"/>
        <v>1585.116276432303</v>
      </c>
      <c r="AA110" s="71">
        <f t="shared" si="157"/>
        <v>1367.4979629617424</v>
      </c>
      <c r="AB110" s="71">
        <f t="shared" si="157"/>
        <v>1462.8304332615994</v>
      </c>
      <c r="AC110" s="71">
        <f t="shared" si="157"/>
        <v>2258.7462848229879</v>
      </c>
      <c r="AD110" s="71">
        <f t="shared" si="157"/>
        <v>1538.5173859614872</v>
      </c>
      <c r="AE110" s="71">
        <f t="shared" si="157"/>
        <v>1310.1143040162385</v>
      </c>
      <c r="AF110" s="71">
        <f t="shared" si="157"/>
        <v>0</v>
      </c>
      <c r="AH110" s="71">
        <f>AH113</f>
        <v>1018.6800000000001</v>
      </c>
      <c r="AI110" s="71">
        <f>AI113</f>
        <v>1290.8648006059557</v>
      </c>
      <c r="AJ110" s="71">
        <f>AJ113</f>
        <v>1260.1792053192523</v>
      </c>
      <c r="AK110" s="71">
        <f t="shared" ref="AK110:AP110" si="158">AK113</f>
        <v>1246.2605340113319</v>
      </c>
      <c r="AL110" s="71">
        <f t="shared" si="158"/>
        <v>1329.5311633048304</v>
      </c>
      <c r="AM110" s="71">
        <f t="shared" si="158"/>
        <v>1102.2223142045491</v>
      </c>
      <c r="AN110" s="71">
        <f t="shared" si="158"/>
        <v>990.00089368538102</v>
      </c>
      <c r="AO110" s="71">
        <f t="shared" si="158"/>
        <v>765.46514105134304</v>
      </c>
      <c r="AP110" s="71">
        <f t="shared" si="158"/>
        <v>1190.3406957306074</v>
      </c>
      <c r="AQ110" s="71">
        <f t="shared" ref="AQ110:AV110" si="159">AQ113</f>
        <v>1032.9039987028041</v>
      </c>
      <c r="AR110" s="71">
        <f t="shared" si="159"/>
        <v>1092.1090293137988</v>
      </c>
      <c r="AS110" s="71">
        <f t="shared" si="159"/>
        <v>1639.9773250725514</v>
      </c>
      <c r="AT110" s="71">
        <f t="shared" si="159"/>
        <v>1120.6925178922706</v>
      </c>
      <c r="AU110" s="71">
        <f t="shared" si="159"/>
        <v>952.64229889169167</v>
      </c>
      <c r="AV110" s="71">
        <f t="shared" si="159"/>
        <v>10.08</v>
      </c>
    </row>
    <row r="111" spans="1:48" s="63" customFormat="1" x14ac:dyDescent="0.25">
      <c r="A111" s="66" t="s">
        <v>139</v>
      </c>
      <c r="B111" s="67">
        <f>-(B12)</f>
        <v>1306</v>
      </c>
      <c r="C111" s="67">
        <f>-(C12)</f>
        <v>347</v>
      </c>
      <c r="D111" s="67">
        <f>-(D12)</f>
        <v>160</v>
      </c>
      <c r="E111" s="67">
        <f t="shared" ref="E111:J111" si="160">-(E12)</f>
        <v>54</v>
      </c>
      <c r="F111" s="67">
        <f t="shared" si="160"/>
        <v>26</v>
      </c>
      <c r="G111" s="67">
        <f t="shared" si="160"/>
        <v>31</v>
      </c>
      <c r="H111" s="67">
        <f t="shared" si="160"/>
        <v>42</v>
      </c>
      <c r="I111" s="67">
        <f t="shared" si="160"/>
        <v>31</v>
      </c>
      <c r="J111" s="67">
        <f t="shared" si="160"/>
        <v>30</v>
      </c>
      <c r="K111" s="67">
        <f t="shared" ref="K111:P111" si="161">-(K12)</f>
        <v>34</v>
      </c>
      <c r="L111" s="67">
        <f t="shared" si="161"/>
        <v>19</v>
      </c>
      <c r="M111" s="67">
        <f t="shared" si="161"/>
        <v>19</v>
      </c>
      <c r="N111" s="67">
        <f t="shared" si="161"/>
        <v>18</v>
      </c>
      <c r="O111" s="67">
        <f t="shared" si="161"/>
        <v>13</v>
      </c>
      <c r="P111" s="67">
        <f t="shared" si="161"/>
        <v>14</v>
      </c>
      <c r="R111" s="67">
        <f>-(R12)</f>
        <v>0</v>
      </c>
      <c r="S111" s="67">
        <f t="shared" ref="S111:AF111" si="162">-(S12)</f>
        <v>1307.954872571738</v>
      </c>
      <c r="T111" s="67">
        <f t="shared" si="162"/>
        <v>1455.6143657939131</v>
      </c>
      <c r="U111" s="67">
        <f t="shared" si="162"/>
        <v>1543.7699153991434</v>
      </c>
      <c r="V111" s="67">
        <f t="shared" si="162"/>
        <v>1678.5271324420903</v>
      </c>
      <c r="W111" s="67">
        <f t="shared" si="162"/>
        <v>1382.1055310314732</v>
      </c>
      <c r="X111" s="67">
        <f t="shared" si="162"/>
        <v>1227.2319149812577</v>
      </c>
      <c r="Y111" s="67">
        <f t="shared" si="162"/>
        <v>950.3655654504397</v>
      </c>
      <c r="Z111" s="67">
        <f t="shared" si="162"/>
        <v>1585.116276432303</v>
      </c>
      <c r="AA111" s="67">
        <f t="shared" si="162"/>
        <v>1367.4979629617424</v>
      </c>
      <c r="AB111" s="67">
        <f t="shared" si="162"/>
        <v>1462.8304332615994</v>
      </c>
      <c r="AC111" s="67">
        <f t="shared" si="162"/>
        <v>2258.7462848229879</v>
      </c>
      <c r="AD111" s="67">
        <f t="shared" si="162"/>
        <v>1538.5173859614872</v>
      </c>
      <c r="AE111" s="67">
        <f t="shared" si="162"/>
        <v>1310.1143040162385</v>
      </c>
      <c r="AF111" s="67">
        <f t="shared" si="162"/>
        <v>0</v>
      </c>
      <c r="AH111" s="67">
        <f>-(AH12)</f>
        <v>1306</v>
      </c>
      <c r="AI111" s="67">
        <f>-(AI12)</f>
        <v>1654.954872571738</v>
      </c>
      <c r="AJ111" s="67">
        <f>-(AJ12)</f>
        <v>1615.6143657939131</v>
      </c>
      <c r="AK111" s="67">
        <f t="shared" ref="AK111:AP111" si="163">-(AK12)</f>
        <v>1597.7699153991434</v>
      </c>
      <c r="AL111" s="67">
        <f t="shared" si="163"/>
        <v>1704.5271324420903</v>
      </c>
      <c r="AM111" s="67">
        <f t="shared" si="163"/>
        <v>1413.1055310314732</v>
      </c>
      <c r="AN111" s="67">
        <f t="shared" si="163"/>
        <v>1269.2319149812577</v>
      </c>
      <c r="AO111" s="67">
        <f t="shared" si="163"/>
        <v>981.3655654504397</v>
      </c>
      <c r="AP111" s="67">
        <f t="shared" si="163"/>
        <v>1615.116276432303</v>
      </c>
      <c r="AQ111" s="67">
        <f t="shared" ref="AQ111:AV111" si="164">-(AQ12)</f>
        <v>1401.4979629617424</v>
      </c>
      <c r="AR111" s="67">
        <f t="shared" si="164"/>
        <v>1481.8304332615994</v>
      </c>
      <c r="AS111" s="67">
        <f t="shared" si="164"/>
        <v>2277.7462848229879</v>
      </c>
      <c r="AT111" s="67">
        <f t="shared" si="164"/>
        <v>1556.5173859614872</v>
      </c>
      <c r="AU111" s="67">
        <f t="shared" si="164"/>
        <v>1323.1143040162385</v>
      </c>
      <c r="AV111" s="67">
        <f t="shared" si="164"/>
        <v>14</v>
      </c>
    </row>
    <row r="112" spans="1:48" s="63" customFormat="1" x14ac:dyDescent="0.25">
      <c r="A112" s="66" t="s">
        <v>148</v>
      </c>
      <c r="B112" s="72">
        <f>(1-'Lease adjustments'!B8)</f>
        <v>0.78</v>
      </c>
      <c r="C112" s="72">
        <f>(1-'Lease adjustments'!C8)</f>
        <v>0.78</v>
      </c>
      <c r="D112" s="72">
        <f>(1-'Lease adjustments'!D8)</f>
        <v>0.78</v>
      </c>
      <c r="E112" s="72">
        <f>(1-'Lease adjustments'!E8)</f>
        <v>0.78</v>
      </c>
      <c r="F112" s="72">
        <f>(1-'Lease adjustments'!F8)</f>
        <v>0.78</v>
      </c>
      <c r="G112" s="72">
        <f>(1-'Lease adjustments'!G8)</f>
        <v>0.78</v>
      </c>
      <c r="H112" s="72">
        <f>(1-'Lease adjustments'!H8)</f>
        <v>0.78</v>
      </c>
      <c r="I112" s="72">
        <f>(1-'Lease adjustments'!I8)</f>
        <v>0.78</v>
      </c>
      <c r="J112" s="72">
        <f>(1-'Lease adjustments'!J8)</f>
        <v>0.73699999999999999</v>
      </c>
      <c r="K112" s="72">
        <f>(1-'Lease adjustments'!K8)</f>
        <v>0.73699999999999999</v>
      </c>
      <c r="L112" s="72">
        <f>(1-'Lease adjustments'!L8)</f>
        <v>0.73699999999999999</v>
      </c>
      <c r="M112" s="72">
        <f>(1-'Lease adjustments'!M8)</f>
        <v>0.72</v>
      </c>
      <c r="N112" s="72">
        <f>(1-'Lease adjustments'!N8)</f>
        <v>0.72</v>
      </c>
      <c r="O112" s="72">
        <f>(1-'Lease adjustments'!O8)</f>
        <v>0.72</v>
      </c>
      <c r="P112" s="72">
        <f>(1-'Lease adjustments'!P8)</f>
        <v>0.72</v>
      </c>
      <c r="R112" s="72">
        <f>(1-'Lease adjustments'!R8)</f>
        <v>1</v>
      </c>
      <c r="S112" s="72">
        <f>(1-'Lease adjustments'!S8)</f>
        <v>1</v>
      </c>
      <c r="T112" s="72">
        <f>(1-'Lease adjustments'!T8)</f>
        <v>1</v>
      </c>
      <c r="U112" s="72">
        <f>(1-'Lease adjustments'!U8)</f>
        <v>1</v>
      </c>
      <c r="V112" s="72">
        <f>(1-'Lease adjustments'!V8)</f>
        <v>1</v>
      </c>
      <c r="W112" s="72">
        <f>(1-'Lease adjustments'!W8)</f>
        <v>1</v>
      </c>
      <c r="X112" s="72">
        <f>(1-'Lease adjustments'!X8)</f>
        <v>1</v>
      </c>
      <c r="Y112" s="72">
        <f>(1-'Lease adjustments'!Y8)</f>
        <v>1</v>
      </c>
      <c r="Z112" s="72">
        <f>(1-'Lease adjustments'!Z8)</f>
        <v>1</v>
      </c>
      <c r="AA112" s="72">
        <f>(1-'Lease adjustments'!AA8)</f>
        <v>1</v>
      </c>
      <c r="AB112" s="72">
        <f>(1-'Lease adjustments'!AB8)</f>
        <v>1</v>
      </c>
      <c r="AC112" s="72">
        <f>(1-'Lease adjustments'!AC8)</f>
        <v>1</v>
      </c>
      <c r="AD112" s="72">
        <f>(1-'Lease adjustments'!AD8)</f>
        <v>1</v>
      </c>
      <c r="AE112" s="72">
        <f>(1-'Lease adjustments'!AE8)</f>
        <v>1</v>
      </c>
      <c r="AF112" s="72">
        <f>(1-'Lease adjustments'!AF8)</f>
        <v>1</v>
      </c>
      <c r="AH112" s="72">
        <f t="shared" ref="AH112:AV112" si="165">B112</f>
        <v>0.78</v>
      </c>
      <c r="AI112" s="72">
        <f t="shared" si="165"/>
        <v>0.78</v>
      </c>
      <c r="AJ112" s="72">
        <f t="shared" si="165"/>
        <v>0.78</v>
      </c>
      <c r="AK112" s="72">
        <f t="shared" si="165"/>
        <v>0.78</v>
      </c>
      <c r="AL112" s="72">
        <f t="shared" si="165"/>
        <v>0.78</v>
      </c>
      <c r="AM112" s="72">
        <f t="shared" si="165"/>
        <v>0.78</v>
      </c>
      <c r="AN112" s="72">
        <f t="shared" si="165"/>
        <v>0.78</v>
      </c>
      <c r="AO112" s="72">
        <f t="shared" si="165"/>
        <v>0.78</v>
      </c>
      <c r="AP112" s="72">
        <f t="shared" si="165"/>
        <v>0.73699999999999999</v>
      </c>
      <c r="AQ112" s="72">
        <f t="shared" si="165"/>
        <v>0.73699999999999999</v>
      </c>
      <c r="AR112" s="72">
        <f t="shared" si="165"/>
        <v>0.73699999999999999</v>
      </c>
      <c r="AS112" s="72">
        <f t="shared" si="165"/>
        <v>0.72</v>
      </c>
      <c r="AT112" s="72">
        <f t="shared" si="165"/>
        <v>0.72</v>
      </c>
      <c r="AU112" s="72">
        <f t="shared" si="165"/>
        <v>0.72</v>
      </c>
      <c r="AV112" s="72">
        <f t="shared" si="165"/>
        <v>0.72</v>
      </c>
    </row>
    <row r="113" spans="1:48" s="63" customFormat="1" x14ac:dyDescent="0.25">
      <c r="A113" s="70" t="s">
        <v>258</v>
      </c>
      <c r="B113" s="65">
        <f>B112*B111</f>
        <v>1018.6800000000001</v>
      </c>
      <c r="C113" s="65">
        <f>C112*C111</f>
        <v>270.66000000000003</v>
      </c>
      <c r="D113" s="65">
        <f>D112*D111</f>
        <v>124.80000000000001</v>
      </c>
      <c r="E113" s="65">
        <f>E112*E111</f>
        <v>42.120000000000005</v>
      </c>
      <c r="F113" s="65">
        <f>F112*F111</f>
        <v>20.28</v>
      </c>
      <c r="G113" s="65">
        <f t="shared" ref="G113:L113" si="166">G112*G111</f>
        <v>24.18</v>
      </c>
      <c r="H113" s="65">
        <f t="shared" si="166"/>
        <v>32.76</v>
      </c>
      <c r="I113" s="65">
        <f t="shared" si="166"/>
        <v>24.18</v>
      </c>
      <c r="J113" s="65">
        <f t="shared" si="166"/>
        <v>22.11</v>
      </c>
      <c r="K113" s="65">
        <f t="shared" si="166"/>
        <v>25.058</v>
      </c>
      <c r="L113" s="65">
        <f t="shared" si="166"/>
        <v>14.003</v>
      </c>
      <c r="M113" s="65">
        <f>M112*M111</f>
        <v>13.68</v>
      </c>
      <c r="N113" s="65">
        <f>N112*N111</f>
        <v>12.959999999999999</v>
      </c>
      <c r="O113" s="65">
        <f>O112*O111</f>
        <v>9.36</v>
      </c>
      <c r="P113" s="65">
        <f>P112*P111</f>
        <v>10.08</v>
      </c>
      <c r="R113" s="65">
        <f>R112*R111</f>
        <v>0</v>
      </c>
      <c r="S113" s="65">
        <f t="shared" ref="S113:AF113" si="167">S112*S111</f>
        <v>1307.954872571738</v>
      </c>
      <c r="T113" s="65">
        <f t="shared" si="167"/>
        <v>1455.6143657939131</v>
      </c>
      <c r="U113" s="65">
        <f t="shared" si="167"/>
        <v>1543.7699153991434</v>
      </c>
      <c r="V113" s="65">
        <f t="shared" si="167"/>
        <v>1678.5271324420903</v>
      </c>
      <c r="W113" s="65">
        <f t="shared" si="167"/>
        <v>1382.1055310314732</v>
      </c>
      <c r="X113" s="65">
        <f t="shared" si="167"/>
        <v>1227.2319149812577</v>
      </c>
      <c r="Y113" s="65">
        <f t="shared" si="167"/>
        <v>950.3655654504397</v>
      </c>
      <c r="Z113" s="65">
        <f t="shared" si="167"/>
        <v>1585.116276432303</v>
      </c>
      <c r="AA113" s="65">
        <f t="shared" si="167"/>
        <v>1367.4979629617424</v>
      </c>
      <c r="AB113" s="65">
        <f t="shared" si="167"/>
        <v>1462.8304332615994</v>
      </c>
      <c r="AC113" s="65">
        <f t="shared" si="167"/>
        <v>2258.7462848229879</v>
      </c>
      <c r="AD113" s="65">
        <f t="shared" si="167"/>
        <v>1538.5173859614872</v>
      </c>
      <c r="AE113" s="65">
        <f t="shared" si="167"/>
        <v>1310.1143040162385</v>
      </c>
      <c r="AF113" s="65">
        <f t="shared" si="167"/>
        <v>0</v>
      </c>
      <c r="AH113" s="65">
        <f>AH112*AH111</f>
        <v>1018.6800000000001</v>
      </c>
      <c r="AI113" s="65">
        <f>AI112*AI111</f>
        <v>1290.8648006059557</v>
      </c>
      <c r="AJ113" s="65">
        <f>AJ112*AJ111</f>
        <v>1260.1792053192523</v>
      </c>
      <c r="AK113" s="65">
        <f>AK112*AK111</f>
        <v>1246.2605340113319</v>
      </c>
      <c r="AL113" s="65">
        <f>AL112*AL111</f>
        <v>1329.5311633048304</v>
      </c>
      <c r="AM113" s="65">
        <f t="shared" ref="AM113:AR113" si="168">AM112*AM111</f>
        <v>1102.2223142045491</v>
      </c>
      <c r="AN113" s="65">
        <f t="shared" si="168"/>
        <v>990.00089368538102</v>
      </c>
      <c r="AO113" s="65">
        <f t="shared" si="168"/>
        <v>765.46514105134304</v>
      </c>
      <c r="AP113" s="65">
        <f t="shared" si="168"/>
        <v>1190.3406957306074</v>
      </c>
      <c r="AQ113" s="65">
        <f t="shared" si="168"/>
        <v>1032.9039987028041</v>
      </c>
      <c r="AR113" s="65">
        <f t="shared" si="168"/>
        <v>1092.1090293137988</v>
      </c>
      <c r="AS113" s="65">
        <f>AS112*AS111</f>
        <v>1639.9773250725514</v>
      </c>
      <c r="AT113" s="65">
        <f>AT112*AT111</f>
        <v>1120.6925178922706</v>
      </c>
      <c r="AU113" s="65">
        <f>AU112*AU111</f>
        <v>952.64229889169167</v>
      </c>
      <c r="AV113" s="65">
        <f>AV112*AV111</f>
        <v>10.08</v>
      </c>
    </row>
    <row r="114" spans="1:48" s="63" customFormat="1" ht="15.75" thickBot="1" x14ac:dyDescent="0.3">
      <c r="A114" s="74" t="s">
        <v>259</v>
      </c>
      <c r="B114" s="75">
        <f>B101+B106-B110</f>
        <v>1242.9999999999998</v>
      </c>
      <c r="C114" s="75">
        <f>C101+C106-C110</f>
        <v>13443</v>
      </c>
      <c r="D114" s="75">
        <f>D101+D106-D110</f>
        <v>12652</v>
      </c>
      <c r="E114" s="75">
        <f t="shared" ref="E114:J114" si="169">E101+E106-E110</f>
        <v>16184</v>
      </c>
      <c r="F114" s="75">
        <f t="shared" si="169"/>
        <v>18636</v>
      </c>
      <c r="G114" s="75">
        <f t="shared" si="169"/>
        <v>20898</v>
      </c>
      <c r="H114" s="75">
        <f t="shared" si="169"/>
        <v>19976</v>
      </c>
      <c r="I114" s="75">
        <f t="shared" si="169"/>
        <v>17152</v>
      </c>
      <c r="J114" s="75">
        <f t="shared" si="169"/>
        <v>16867</v>
      </c>
      <c r="K114" s="75">
        <f t="shared" ref="K114:P114" si="170">K101+K106-K110</f>
        <v>15821</v>
      </c>
      <c r="L114" s="75">
        <f t="shared" si="170"/>
        <v>18681</v>
      </c>
      <c r="M114" s="75">
        <f t="shared" si="170"/>
        <v>16384</v>
      </c>
      <c r="N114" s="75">
        <f t="shared" si="170"/>
        <v>15294</v>
      </c>
      <c r="O114" s="75">
        <f t="shared" si="170"/>
        <v>13588</v>
      </c>
      <c r="P114" s="75">
        <f t="shared" si="170"/>
        <v>10797</v>
      </c>
      <c r="R114" s="75">
        <f>R101+R106-R110</f>
        <v>0</v>
      </c>
      <c r="S114" s="75">
        <f t="shared" ref="S114:AF114" si="171">S101+S106-S110</f>
        <v>0</v>
      </c>
      <c r="T114" s="75">
        <f t="shared" si="171"/>
        <v>0</v>
      </c>
      <c r="U114" s="75">
        <f t="shared" si="171"/>
        <v>0</v>
      </c>
      <c r="V114" s="75">
        <f t="shared" si="171"/>
        <v>0</v>
      </c>
      <c r="W114" s="75">
        <f t="shared" si="171"/>
        <v>0</v>
      </c>
      <c r="X114" s="75">
        <f t="shared" si="171"/>
        <v>0</v>
      </c>
      <c r="Y114" s="75">
        <f t="shared" si="171"/>
        <v>0</v>
      </c>
      <c r="Z114" s="75">
        <f t="shared" si="171"/>
        <v>0</v>
      </c>
      <c r="AA114" s="75">
        <f t="shared" si="171"/>
        <v>0</v>
      </c>
      <c r="AB114" s="75">
        <f t="shared" si="171"/>
        <v>0</v>
      </c>
      <c r="AC114" s="75">
        <f t="shared" si="171"/>
        <v>0</v>
      </c>
      <c r="AD114" s="75">
        <f t="shared" si="171"/>
        <v>0</v>
      </c>
      <c r="AE114" s="75">
        <f t="shared" si="171"/>
        <v>0</v>
      </c>
      <c r="AF114" s="75">
        <f t="shared" si="171"/>
        <v>0</v>
      </c>
      <c r="AH114" s="75">
        <f>AH101+AH106-AH110</f>
        <v>1242.9999999999998</v>
      </c>
      <c r="AI114" s="75">
        <f>AI101+AI106-AI110</f>
        <v>13443</v>
      </c>
      <c r="AJ114" s="75">
        <f>AJ101+AJ106-AJ110</f>
        <v>12652</v>
      </c>
      <c r="AK114" s="75">
        <f t="shared" ref="AK114:AP114" si="172">AK101+AK106-AK110</f>
        <v>16183.999999999998</v>
      </c>
      <c r="AL114" s="75">
        <f t="shared" si="172"/>
        <v>18636</v>
      </c>
      <c r="AM114" s="75">
        <f t="shared" si="172"/>
        <v>20898</v>
      </c>
      <c r="AN114" s="75">
        <f t="shared" si="172"/>
        <v>19976</v>
      </c>
      <c r="AO114" s="75">
        <f t="shared" si="172"/>
        <v>17152</v>
      </c>
      <c r="AP114" s="75">
        <f t="shared" si="172"/>
        <v>16867</v>
      </c>
      <c r="AQ114" s="75">
        <f t="shared" ref="AQ114:AV114" si="173">AQ101+AQ106-AQ110</f>
        <v>15820.999999999996</v>
      </c>
      <c r="AR114" s="75">
        <f t="shared" si="173"/>
        <v>18681</v>
      </c>
      <c r="AS114" s="75">
        <f t="shared" si="173"/>
        <v>16384</v>
      </c>
      <c r="AT114" s="75">
        <f t="shared" si="173"/>
        <v>15293.999999999998</v>
      </c>
      <c r="AU114" s="75">
        <f t="shared" si="173"/>
        <v>13588</v>
      </c>
      <c r="AV114" s="75">
        <f t="shared" si="173"/>
        <v>10797</v>
      </c>
    </row>
    <row r="115" spans="1:48" s="63" customFormat="1" ht="16.5" thickTop="1" thickBot="1" x14ac:dyDescent="0.3">
      <c r="A115" s="76"/>
    </row>
    <row r="116" spans="1:48" s="63" customFormat="1" ht="15.75" thickTop="1" x14ac:dyDescent="0.25">
      <c r="A116" s="61" t="s">
        <v>76</v>
      </c>
      <c r="B116" s="62">
        <v>2020</v>
      </c>
      <c r="C116" s="62">
        <v>2019</v>
      </c>
      <c r="D116" s="62">
        <v>2018</v>
      </c>
      <c r="E116" s="62">
        <v>2017</v>
      </c>
      <c r="F116" s="62">
        <v>2016</v>
      </c>
      <c r="G116" s="62">
        <v>2015</v>
      </c>
      <c r="H116" s="62">
        <v>2014</v>
      </c>
      <c r="I116" s="62">
        <v>2013</v>
      </c>
      <c r="J116" s="62">
        <v>2012</v>
      </c>
      <c r="K116" s="62">
        <v>2011</v>
      </c>
      <c r="L116" s="62">
        <v>2010</v>
      </c>
      <c r="M116" s="62">
        <v>2009</v>
      </c>
      <c r="N116" s="62">
        <v>2008</v>
      </c>
      <c r="O116" s="62">
        <v>2007</v>
      </c>
      <c r="P116" s="62">
        <v>2006</v>
      </c>
      <c r="R116" s="62"/>
      <c r="S116" s="62"/>
      <c r="T116" s="62"/>
      <c r="U116" s="62"/>
      <c r="V116" s="62"/>
      <c r="W116" s="62"/>
      <c r="X116" s="62"/>
      <c r="Y116" s="62"/>
      <c r="Z116" s="62"/>
      <c r="AA116" s="62"/>
      <c r="AB116" s="62"/>
      <c r="AC116" s="62"/>
      <c r="AD116" s="62"/>
      <c r="AE116" s="62"/>
      <c r="AF116" s="62"/>
      <c r="AH116" s="62">
        <v>2020</v>
      </c>
      <c r="AI116" s="62">
        <v>2019</v>
      </c>
      <c r="AJ116" s="62">
        <v>2018</v>
      </c>
      <c r="AK116" s="62">
        <v>2017</v>
      </c>
      <c r="AL116" s="62">
        <v>2016</v>
      </c>
      <c r="AM116" s="62">
        <v>2015</v>
      </c>
      <c r="AN116" s="62">
        <v>2014</v>
      </c>
      <c r="AO116" s="62">
        <v>2013</v>
      </c>
      <c r="AP116" s="62">
        <v>2012</v>
      </c>
      <c r="AQ116" s="62">
        <v>2011</v>
      </c>
      <c r="AR116" s="62">
        <v>2010</v>
      </c>
      <c r="AS116" s="62">
        <v>2009</v>
      </c>
      <c r="AT116" s="62">
        <v>2008</v>
      </c>
      <c r="AU116" s="62">
        <v>2007</v>
      </c>
      <c r="AV116" s="62">
        <v>2006</v>
      </c>
    </row>
    <row r="117" spans="1:48" s="63" customFormat="1" x14ac:dyDescent="0.25">
      <c r="A117" s="64" t="s">
        <v>260</v>
      </c>
    </row>
    <row r="118" spans="1:48" s="63" customFormat="1" x14ac:dyDescent="0.25">
      <c r="A118" s="66" t="s">
        <v>140</v>
      </c>
      <c r="B118" s="67">
        <f>MIN(B2*B6,B43)</f>
        <v>9351.5500000000011</v>
      </c>
      <c r="C118" s="67">
        <f>MIN(C2*C6,C43)</f>
        <v>11637.75</v>
      </c>
      <c r="D118" s="67">
        <f>MIN(D2*D6,D43)</f>
        <v>10520</v>
      </c>
      <c r="E118" s="67">
        <f t="shared" ref="E118:P118" si="174">MIN(E2*E6,E43)</f>
        <v>9718</v>
      </c>
      <c r="F118" s="67">
        <f t="shared" si="174"/>
        <v>9446</v>
      </c>
      <c r="G118" s="67">
        <f t="shared" si="174"/>
        <v>9043.0500000000011</v>
      </c>
      <c r="H118" s="67">
        <f t="shared" si="174"/>
        <v>7570.9500000000007</v>
      </c>
      <c r="I118" s="67">
        <f t="shared" si="174"/>
        <v>6428.1</v>
      </c>
      <c r="J118" s="67">
        <f t="shared" si="174"/>
        <v>6039.9500000000007</v>
      </c>
      <c r="K118" s="67">
        <f t="shared" si="174"/>
        <v>5499.9500000000007</v>
      </c>
      <c r="L118" s="67">
        <f t="shared" si="174"/>
        <v>5424.1500000000005</v>
      </c>
      <c r="M118" s="67">
        <f t="shared" si="174"/>
        <v>5069.6500000000005</v>
      </c>
      <c r="N118" s="67">
        <f t="shared" si="174"/>
        <v>4426.6000000000004</v>
      </c>
      <c r="O118" s="67">
        <f t="shared" si="174"/>
        <v>3917.3</v>
      </c>
      <c r="P118" s="67">
        <f t="shared" si="174"/>
        <v>3420</v>
      </c>
      <c r="AH118" s="67">
        <f>MIN(AH2*AH6,AH43)</f>
        <v>9351.5500000000011</v>
      </c>
      <c r="AI118" s="67">
        <f>MIN(AI2*AI6,AI43)</f>
        <v>11637.75</v>
      </c>
      <c r="AJ118" s="67">
        <f>MIN(AJ2*AJ6,AJ43)</f>
        <v>10520</v>
      </c>
      <c r="AK118" s="67">
        <f t="shared" ref="AK118:AV118" si="175">MIN(AK2*AK6,AK43)</f>
        <v>9718</v>
      </c>
      <c r="AL118" s="67">
        <f t="shared" si="175"/>
        <v>9446</v>
      </c>
      <c r="AM118" s="67">
        <f t="shared" si="175"/>
        <v>9043.0500000000011</v>
      </c>
      <c r="AN118" s="67">
        <f t="shared" si="175"/>
        <v>7570.9500000000007</v>
      </c>
      <c r="AO118" s="67">
        <f t="shared" si="175"/>
        <v>6428.1</v>
      </c>
      <c r="AP118" s="67">
        <f t="shared" si="175"/>
        <v>6039.9500000000007</v>
      </c>
      <c r="AQ118" s="67">
        <f t="shared" si="175"/>
        <v>5499.9500000000007</v>
      </c>
      <c r="AR118" s="67">
        <f t="shared" si="175"/>
        <v>5424.1500000000005</v>
      </c>
      <c r="AS118" s="67">
        <f t="shared" si="175"/>
        <v>5069.6500000000005</v>
      </c>
      <c r="AT118" s="67">
        <f t="shared" si="175"/>
        <v>4426.6000000000004</v>
      </c>
      <c r="AU118" s="67">
        <f t="shared" si="175"/>
        <v>3917.3</v>
      </c>
      <c r="AV118" s="67">
        <f t="shared" si="175"/>
        <v>3420</v>
      </c>
    </row>
    <row r="119" spans="1:48" s="63" customFormat="1" x14ac:dyDescent="0.25">
      <c r="A119" s="68" t="s">
        <v>141</v>
      </c>
      <c r="B119" s="67">
        <f>B41</f>
        <v>3086</v>
      </c>
      <c r="C119" s="67">
        <f>C41</f>
        <v>5879</v>
      </c>
      <c r="D119" s="67">
        <f>D41</f>
        <v>6329</v>
      </c>
      <c r="E119" s="67">
        <f t="shared" ref="E119:J119" si="176">E41</f>
        <v>5297</v>
      </c>
      <c r="F119" s="67">
        <f t="shared" si="176"/>
        <v>4881</v>
      </c>
      <c r="G119" s="67">
        <f t="shared" si="176"/>
        <v>4021</v>
      </c>
      <c r="H119" s="67">
        <f t="shared" si="176"/>
        <v>3659</v>
      </c>
      <c r="I119" s="67">
        <f t="shared" si="176"/>
        <v>3107</v>
      </c>
      <c r="J119" s="67">
        <f t="shared" si="176"/>
        <v>2207</v>
      </c>
      <c r="K119" s="67">
        <f t="shared" ref="K119:P119" si="177">K41</f>
        <v>2337</v>
      </c>
      <c r="L119" s="67">
        <f t="shared" si="177"/>
        <v>2258</v>
      </c>
      <c r="M119" s="67">
        <f t="shared" si="177"/>
        <v>1990</v>
      </c>
      <c r="N119" s="67">
        <f t="shared" si="177"/>
        <v>1991</v>
      </c>
      <c r="O119" s="67">
        <f t="shared" si="177"/>
        <v>1122</v>
      </c>
      <c r="P119" s="67">
        <f t="shared" si="177"/>
        <v>865</v>
      </c>
      <c r="R119" s="67"/>
      <c r="S119" s="67"/>
      <c r="T119" s="67"/>
      <c r="U119" s="67"/>
      <c r="V119" s="67"/>
      <c r="W119" s="67"/>
      <c r="X119" s="67"/>
      <c r="Y119" s="67"/>
      <c r="Z119" s="67"/>
      <c r="AA119" s="67"/>
      <c r="AB119" s="67"/>
      <c r="AC119" s="67"/>
      <c r="AD119" s="67"/>
      <c r="AE119" s="67"/>
      <c r="AF119" s="67"/>
      <c r="AH119" s="67">
        <f>AH41</f>
        <v>3086</v>
      </c>
      <c r="AI119" s="67">
        <f>AI41</f>
        <v>5879</v>
      </c>
      <c r="AJ119" s="67">
        <f>AJ41</f>
        <v>6329</v>
      </c>
      <c r="AK119" s="67">
        <f t="shared" ref="AK119:AP119" si="178">AK41</f>
        <v>5297</v>
      </c>
      <c r="AL119" s="67">
        <f t="shared" si="178"/>
        <v>4881</v>
      </c>
      <c r="AM119" s="67">
        <f t="shared" si="178"/>
        <v>4021</v>
      </c>
      <c r="AN119" s="67">
        <f t="shared" si="178"/>
        <v>3659</v>
      </c>
      <c r="AO119" s="67">
        <f t="shared" si="178"/>
        <v>3107</v>
      </c>
      <c r="AP119" s="67">
        <f t="shared" si="178"/>
        <v>2207</v>
      </c>
      <c r="AQ119" s="67">
        <f t="shared" ref="AQ119:AV119" si="179">AQ41</f>
        <v>2337</v>
      </c>
      <c r="AR119" s="67">
        <f t="shared" si="179"/>
        <v>2258</v>
      </c>
      <c r="AS119" s="67">
        <f t="shared" si="179"/>
        <v>1990</v>
      </c>
      <c r="AT119" s="67">
        <f t="shared" si="179"/>
        <v>1991</v>
      </c>
      <c r="AU119" s="67">
        <f t="shared" si="179"/>
        <v>1122</v>
      </c>
      <c r="AV119" s="67">
        <f t="shared" si="179"/>
        <v>865</v>
      </c>
    </row>
    <row r="120" spans="1:48" s="63" customFormat="1" x14ac:dyDescent="0.25">
      <c r="A120" s="66" t="s">
        <v>77</v>
      </c>
      <c r="B120" s="67">
        <f>B40</f>
        <v>38209</v>
      </c>
      <c r="C120" s="67">
        <f>C40</f>
        <v>37823</v>
      </c>
      <c r="D120" s="67">
        <f>D40</f>
        <v>37721</v>
      </c>
      <c r="E120" s="67">
        <f t="shared" ref="E120:J120" si="180">E40</f>
        <v>33712</v>
      </c>
      <c r="F120" s="67">
        <f t="shared" si="180"/>
        <v>31732</v>
      </c>
      <c r="G120" s="67">
        <f t="shared" si="180"/>
        <v>24833</v>
      </c>
      <c r="H120" s="67">
        <f t="shared" si="180"/>
        <v>19403</v>
      </c>
      <c r="I120" s="67">
        <f t="shared" si="180"/>
        <v>16695</v>
      </c>
      <c r="J120" s="67">
        <f t="shared" si="180"/>
        <v>15213</v>
      </c>
      <c r="K120" s="67">
        <f t="shared" ref="K120:P120" si="181">K40</f>
        <v>13819</v>
      </c>
      <c r="L120" s="67">
        <f t="shared" si="181"/>
        <v>11487</v>
      </c>
      <c r="M120" s="67">
        <f t="shared" si="181"/>
        <v>10240</v>
      </c>
      <c r="N120" s="67">
        <f t="shared" si="181"/>
        <v>8500</v>
      </c>
      <c r="O120" s="67">
        <f t="shared" si="181"/>
        <v>7969</v>
      </c>
      <c r="P120" s="67">
        <f t="shared" si="181"/>
        <v>7220</v>
      </c>
      <c r="R120" s="67"/>
      <c r="S120" s="67"/>
      <c r="T120" s="67"/>
      <c r="U120" s="67"/>
      <c r="V120" s="67"/>
      <c r="W120" s="67"/>
      <c r="X120" s="67"/>
      <c r="Y120" s="67"/>
      <c r="Z120" s="67"/>
      <c r="AA120" s="67"/>
      <c r="AB120" s="67"/>
      <c r="AC120" s="67"/>
      <c r="AD120" s="67"/>
      <c r="AE120" s="67"/>
      <c r="AF120" s="67"/>
      <c r="AH120" s="67">
        <f>AH40</f>
        <v>38209</v>
      </c>
      <c r="AI120" s="67">
        <f>AI40</f>
        <v>37823</v>
      </c>
      <c r="AJ120" s="67">
        <f>AJ40</f>
        <v>37721</v>
      </c>
      <c r="AK120" s="67">
        <f t="shared" ref="AK120:AP120" si="182">AK40</f>
        <v>33712</v>
      </c>
      <c r="AL120" s="67">
        <f t="shared" si="182"/>
        <v>31732</v>
      </c>
      <c r="AM120" s="67">
        <f t="shared" si="182"/>
        <v>24833</v>
      </c>
      <c r="AN120" s="67">
        <f t="shared" si="182"/>
        <v>19403</v>
      </c>
      <c r="AO120" s="67">
        <f t="shared" si="182"/>
        <v>16695</v>
      </c>
      <c r="AP120" s="67">
        <f t="shared" si="182"/>
        <v>15213</v>
      </c>
      <c r="AQ120" s="67">
        <f t="shared" ref="AQ120:AV120" si="183">AQ40</f>
        <v>13819</v>
      </c>
      <c r="AR120" s="67">
        <f t="shared" si="183"/>
        <v>11487</v>
      </c>
      <c r="AS120" s="67">
        <f t="shared" si="183"/>
        <v>10240</v>
      </c>
      <c r="AT120" s="67">
        <f t="shared" si="183"/>
        <v>8500</v>
      </c>
      <c r="AU120" s="67">
        <f t="shared" si="183"/>
        <v>7969</v>
      </c>
      <c r="AV120" s="67">
        <f t="shared" si="183"/>
        <v>7220</v>
      </c>
    </row>
    <row r="121" spans="1:48" s="63" customFormat="1" x14ac:dyDescent="0.25">
      <c r="A121" s="66" t="s">
        <v>78</v>
      </c>
      <c r="B121" s="67">
        <f>B42</f>
        <v>6793</v>
      </c>
      <c r="C121" s="67">
        <f>C42</f>
        <v>5597</v>
      </c>
      <c r="D121" s="67">
        <f>D42</f>
        <v>5564</v>
      </c>
      <c r="E121" s="67">
        <f t="shared" ref="E121:J121" si="184">E42</f>
        <v>6522</v>
      </c>
      <c r="F121" s="67">
        <f t="shared" si="184"/>
        <v>3756</v>
      </c>
      <c r="G121" s="67">
        <f t="shared" si="184"/>
        <v>3025</v>
      </c>
      <c r="H121" s="67">
        <f t="shared" si="184"/>
        <v>2543</v>
      </c>
      <c r="I121" s="67">
        <f t="shared" si="184"/>
        <v>1976</v>
      </c>
      <c r="J121" s="67">
        <f t="shared" si="184"/>
        <v>2511</v>
      </c>
      <c r="K121" s="67">
        <f t="shared" ref="K121:P121" si="185">K42</f>
        <v>2029</v>
      </c>
      <c r="L121" s="67">
        <f t="shared" si="185"/>
        <v>1872</v>
      </c>
      <c r="M121" s="67">
        <f t="shared" si="185"/>
        <v>1566</v>
      </c>
      <c r="N121" s="67">
        <f t="shared" si="185"/>
        <v>1494</v>
      </c>
      <c r="O121" s="67">
        <f t="shared" si="185"/>
        <v>983</v>
      </c>
      <c r="P121" s="67">
        <f t="shared" si="185"/>
        <v>812</v>
      </c>
      <c r="R121" s="67"/>
      <c r="S121" s="67"/>
      <c r="T121" s="67"/>
      <c r="U121" s="67"/>
      <c r="V121" s="67"/>
      <c r="W121" s="67"/>
      <c r="X121" s="67"/>
      <c r="Y121" s="67"/>
      <c r="Z121" s="67"/>
      <c r="AA121" s="67"/>
      <c r="AB121" s="67"/>
      <c r="AC121" s="67"/>
      <c r="AD121" s="67"/>
      <c r="AE121" s="67"/>
      <c r="AF121" s="67"/>
      <c r="AH121" s="67">
        <f>AH42</f>
        <v>6793</v>
      </c>
      <c r="AI121" s="67">
        <f>AI42</f>
        <v>5597</v>
      </c>
      <c r="AJ121" s="67">
        <f>AJ42</f>
        <v>5564</v>
      </c>
      <c r="AK121" s="67">
        <f t="shared" ref="AK121:AP121" si="186">AK42</f>
        <v>6522</v>
      </c>
      <c r="AL121" s="67">
        <f t="shared" si="186"/>
        <v>3756</v>
      </c>
      <c r="AM121" s="67">
        <f t="shared" si="186"/>
        <v>3025</v>
      </c>
      <c r="AN121" s="67">
        <f t="shared" si="186"/>
        <v>2543</v>
      </c>
      <c r="AO121" s="67">
        <f t="shared" si="186"/>
        <v>1976</v>
      </c>
      <c r="AP121" s="67">
        <f t="shared" si="186"/>
        <v>2511</v>
      </c>
      <c r="AQ121" s="67">
        <f t="shared" ref="AQ121:AV121" si="187">AQ42</f>
        <v>2029</v>
      </c>
      <c r="AR121" s="67">
        <f t="shared" si="187"/>
        <v>1872</v>
      </c>
      <c r="AS121" s="67">
        <f t="shared" si="187"/>
        <v>1566</v>
      </c>
      <c r="AT121" s="67">
        <f t="shared" si="187"/>
        <v>1494</v>
      </c>
      <c r="AU121" s="67">
        <f t="shared" si="187"/>
        <v>983</v>
      </c>
      <c r="AV121" s="67">
        <f t="shared" si="187"/>
        <v>812</v>
      </c>
    </row>
    <row r="122" spans="1:48" s="63" customFormat="1" x14ac:dyDescent="0.25">
      <c r="A122" s="66" t="s">
        <v>79</v>
      </c>
      <c r="B122" s="67">
        <f t="shared" ref="B122:D123" si="188">B63</f>
        <v>9511</v>
      </c>
      <c r="C122" s="67">
        <f t="shared" si="188"/>
        <v>7838</v>
      </c>
      <c r="D122" s="67">
        <f t="shared" si="188"/>
        <v>6800</v>
      </c>
      <c r="E122" s="67">
        <f t="shared" ref="E122:J123" si="189">E63</f>
        <v>7215</v>
      </c>
      <c r="F122" s="67">
        <f t="shared" si="189"/>
        <v>7262</v>
      </c>
      <c r="G122" s="67">
        <f t="shared" si="189"/>
        <v>6000</v>
      </c>
      <c r="H122" s="67">
        <f t="shared" si="189"/>
        <v>5520</v>
      </c>
      <c r="I122" s="67">
        <f t="shared" si="189"/>
        <v>4870</v>
      </c>
      <c r="J122" s="67">
        <f t="shared" si="189"/>
        <v>4234</v>
      </c>
      <c r="K122" s="67">
        <f t="shared" ref="K122:P123" si="190">K63</f>
        <v>4307</v>
      </c>
      <c r="L122" s="67">
        <f t="shared" si="190"/>
        <v>3965</v>
      </c>
      <c r="M122" s="67">
        <f t="shared" si="190"/>
        <v>3667</v>
      </c>
      <c r="N122" s="67">
        <f t="shared" si="190"/>
        <v>3658</v>
      </c>
      <c r="O122" s="67">
        <f t="shared" si="190"/>
        <v>2483</v>
      </c>
      <c r="P122" s="67">
        <f t="shared" si="190"/>
        <v>1942</v>
      </c>
      <c r="R122" s="67"/>
      <c r="S122" s="67"/>
      <c r="T122" s="67"/>
      <c r="U122" s="67"/>
      <c r="V122" s="67"/>
      <c r="W122" s="67"/>
      <c r="X122" s="67"/>
      <c r="Y122" s="67"/>
      <c r="Z122" s="67"/>
      <c r="AA122" s="67"/>
      <c r="AB122" s="67"/>
      <c r="AC122" s="67"/>
      <c r="AD122" s="67"/>
      <c r="AE122" s="67"/>
      <c r="AF122" s="67"/>
      <c r="AH122" s="67">
        <f t="shared" ref="AH122:AJ123" si="191">AH63</f>
        <v>9511</v>
      </c>
      <c r="AI122" s="67">
        <f t="shared" si="191"/>
        <v>7838</v>
      </c>
      <c r="AJ122" s="67">
        <f t="shared" si="191"/>
        <v>6800</v>
      </c>
      <c r="AK122" s="67">
        <f t="shared" ref="AK122:AP123" si="192">AK63</f>
        <v>7215</v>
      </c>
      <c r="AL122" s="67">
        <f t="shared" si="192"/>
        <v>7262</v>
      </c>
      <c r="AM122" s="67">
        <f t="shared" si="192"/>
        <v>6000</v>
      </c>
      <c r="AN122" s="67">
        <f t="shared" si="192"/>
        <v>5520</v>
      </c>
      <c r="AO122" s="67">
        <f t="shared" si="192"/>
        <v>4870</v>
      </c>
      <c r="AP122" s="67">
        <f t="shared" si="192"/>
        <v>4234</v>
      </c>
      <c r="AQ122" s="67">
        <f t="shared" ref="AQ122:AV123" si="193">AQ63</f>
        <v>4307</v>
      </c>
      <c r="AR122" s="67">
        <f t="shared" si="193"/>
        <v>3965</v>
      </c>
      <c r="AS122" s="67">
        <f t="shared" si="193"/>
        <v>3667</v>
      </c>
      <c r="AT122" s="67">
        <f t="shared" si="193"/>
        <v>3658</v>
      </c>
      <c r="AU122" s="67">
        <f t="shared" si="193"/>
        <v>2483</v>
      </c>
      <c r="AV122" s="67">
        <f t="shared" si="193"/>
        <v>1942</v>
      </c>
    </row>
    <row r="123" spans="1:48" s="63" customFormat="1" x14ac:dyDescent="0.25">
      <c r="A123" s="66" t="s">
        <v>80</v>
      </c>
      <c r="B123" s="69">
        <f t="shared" si="188"/>
        <v>25012</v>
      </c>
      <c r="C123" s="69">
        <f t="shared" si="188"/>
        <v>32468</v>
      </c>
      <c r="D123" s="69">
        <f t="shared" si="188"/>
        <v>27892</v>
      </c>
      <c r="E123" s="69">
        <f t="shared" si="189"/>
        <v>22735</v>
      </c>
      <c r="F123" s="69">
        <f t="shared" si="189"/>
        <v>21140</v>
      </c>
      <c r="G123" s="69">
        <f t="shared" si="189"/>
        <v>16635</v>
      </c>
      <c r="H123" s="69">
        <f t="shared" si="189"/>
        <v>14529</v>
      </c>
      <c r="I123" s="69">
        <f t="shared" si="189"/>
        <v>12242</v>
      </c>
      <c r="J123" s="69">
        <f t="shared" si="189"/>
        <v>9554</v>
      </c>
      <c r="K123" s="69">
        <f t="shared" si="190"/>
        <v>10300</v>
      </c>
      <c r="L123" s="69">
        <f t="shared" si="190"/>
        <v>9706</v>
      </c>
      <c r="M123" s="69">
        <f t="shared" si="190"/>
        <v>7088</v>
      </c>
      <c r="N123" s="69">
        <f t="shared" si="190"/>
        <v>6987</v>
      </c>
      <c r="O123" s="69">
        <f t="shared" si="190"/>
        <v>6219</v>
      </c>
      <c r="P123" s="69">
        <f t="shared" si="190"/>
        <v>5054</v>
      </c>
      <c r="R123" s="69"/>
      <c r="S123" s="69"/>
      <c r="T123" s="69"/>
      <c r="U123" s="69"/>
      <c r="V123" s="69"/>
      <c r="W123" s="69"/>
      <c r="X123" s="69"/>
      <c r="Y123" s="69"/>
      <c r="Z123" s="69"/>
      <c r="AA123" s="69"/>
      <c r="AB123" s="69"/>
      <c r="AC123" s="69"/>
      <c r="AD123" s="69"/>
      <c r="AE123" s="69"/>
      <c r="AF123" s="69"/>
      <c r="AH123" s="69">
        <f t="shared" si="191"/>
        <v>25012</v>
      </c>
      <c r="AI123" s="69">
        <f t="shared" si="191"/>
        <v>32468</v>
      </c>
      <c r="AJ123" s="69">
        <f t="shared" si="191"/>
        <v>27892</v>
      </c>
      <c r="AK123" s="69">
        <f t="shared" si="192"/>
        <v>22735</v>
      </c>
      <c r="AL123" s="69">
        <f t="shared" si="192"/>
        <v>21140</v>
      </c>
      <c r="AM123" s="69">
        <f t="shared" si="192"/>
        <v>16635</v>
      </c>
      <c r="AN123" s="69">
        <f t="shared" si="192"/>
        <v>14529</v>
      </c>
      <c r="AO123" s="69">
        <f t="shared" si="192"/>
        <v>12242</v>
      </c>
      <c r="AP123" s="69">
        <f t="shared" si="192"/>
        <v>9554</v>
      </c>
      <c r="AQ123" s="69">
        <f t="shared" si="193"/>
        <v>10300</v>
      </c>
      <c r="AR123" s="69">
        <f t="shared" si="193"/>
        <v>9706</v>
      </c>
      <c r="AS123" s="69">
        <f t="shared" si="193"/>
        <v>7088</v>
      </c>
      <c r="AT123" s="69">
        <f t="shared" si="193"/>
        <v>6987</v>
      </c>
      <c r="AU123" s="69">
        <f t="shared" si="193"/>
        <v>6219</v>
      </c>
      <c r="AV123" s="69">
        <f t="shared" si="193"/>
        <v>5054</v>
      </c>
    </row>
    <row r="124" spans="1:48" s="63" customFormat="1" x14ac:dyDescent="0.25">
      <c r="A124" s="70" t="s">
        <v>261</v>
      </c>
      <c r="B124" s="65">
        <f>SUM(B118:B121)-SUM(B122:B123)</f>
        <v>22916.550000000003</v>
      </c>
      <c r="C124" s="65">
        <f>SUM(C118:C121)-SUM(C122:C123)</f>
        <v>20630.75</v>
      </c>
      <c r="D124" s="65">
        <f>SUM(D118:D121)-SUM(D122:D123)</f>
        <v>25442</v>
      </c>
      <c r="E124" s="65">
        <f t="shared" ref="E124:J124" si="194">SUM(E118:E121)-SUM(E122:E123)</f>
        <v>25299</v>
      </c>
      <c r="F124" s="65">
        <f t="shared" si="194"/>
        <v>21413</v>
      </c>
      <c r="G124" s="65">
        <f t="shared" si="194"/>
        <v>18287.050000000003</v>
      </c>
      <c r="H124" s="65">
        <f t="shared" si="194"/>
        <v>13126.949999999997</v>
      </c>
      <c r="I124" s="65">
        <f t="shared" si="194"/>
        <v>11094.099999999999</v>
      </c>
      <c r="J124" s="65">
        <f t="shared" si="194"/>
        <v>12182.95</v>
      </c>
      <c r="K124" s="65">
        <f t="shared" ref="K124:P124" si="195">SUM(K118:K121)-SUM(K122:K123)</f>
        <v>9077.9500000000007</v>
      </c>
      <c r="L124" s="65">
        <f t="shared" si="195"/>
        <v>7370.1500000000015</v>
      </c>
      <c r="M124" s="65">
        <f t="shared" si="195"/>
        <v>8110.6500000000015</v>
      </c>
      <c r="N124" s="65">
        <f t="shared" si="195"/>
        <v>5766.5999999999985</v>
      </c>
      <c r="O124" s="65">
        <f t="shared" si="195"/>
        <v>5289.2999999999993</v>
      </c>
      <c r="P124" s="65">
        <f t="shared" si="195"/>
        <v>5321</v>
      </c>
      <c r="R124" s="65"/>
      <c r="S124" s="65"/>
      <c r="T124" s="65"/>
      <c r="U124" s="65"/>
      <c r="V124" s="65"/>
      <c r="W124" s="65"/>
      <c r="X124" s="65"/>
      <c r="Y124" s="65"/>
      <c r="Z124" s="65"/>
      <c r="AA124" s="65"/>
      <c r="AB124" s="65"/>
      <c r="AC124" s="65"/>
      <c r="AD124" s="65"/>
      <c r="AE124" s="65"/>
      <c r="AF124" s="65"/>
      <c r="AH124" s="65">
        <f>SUM(AH118:AH121)-SUM(AH122:AH123)</f>
        <v>22916.550000000003</v>
      </c>
      <c r="AI124" s="65">
        <f>SUM(AI118:AI121)-SUM(AI122:AI123)</f>
        <v>20630.75</v>
      </c>
      <c r="AJ124" s="65">
        <f>SUM(AJ118:AJ121)-SUM(AJ122:AJ123)</f>
        <v>25442</v>
      </c>
      <c r="AK124" s="65">
        <f t="shared" ref="AK124:AP124" si="196">SUM(AK118:AK121)-SUM(AK122:AK123)</f>
        <v>25299</v>
      </c>
      <c r="AL124" s="65">
        <f t="shared" si="196"/>
        <v>21413</v>
      </c>
      <c r="AM124" s="65">
        <f t="shared" si="196"/>
        <v>18287.050000000003</v>
      </c>
      <c r="AN124" s="65">
        <f t="shared" si="196"/>
        <v>13126.949999999997</v>
      </c>
      <c r="AO124" s="65">
        <f t="shared" si="196"/>
        <v>11094.099999999999</v>
      </c>
      <c r="AP124" s="65">
        <f t="shared" si="196"/>
        <v>12182.95</v>
      </c>
      <c r="AQ124" s="65">
        <f t="shared" ref="AQ124:AV124" si="197">SUM(AQ118:AQ121)-SUM(AQ122:AQ123)</f>
        <v>9077.9500000000007</v>
      </c>
      <c r="AR124" s="65">
        <f t="shared" si="197"/>
        <v>7370.1500000000015</v>
      </c>
      <c r="AS124" s="65">
        <f t="shared" si="197"/>
        <v>8110.6500000000015</v>
      </c>
      <c r="AT124" s="65">
        <f t="shared" si="197"/>
        <v>5766.5999999999985</v>
      </c>
      <c r="AU124" s="65">
        <f t="shared" si="197"/>
        <v>5289.2999999999993</v>
      </c>
      <c r="AV124" s="65">
        <f t="shared" si="197"/>
        <v>5321</v>
      </c>
    </row>
    <row r="125" spans="1:48" s="63" customFormat="1" x14ac:dyDescent="0.25">
      <c r="A125" s="77" t="s">
        <v>262</v>
      </c>
      <c r="AH125" s="78"/>
      <c r="AI125" s="78"/>
      <c r="AJ125" s="78"/>
      <c r="AK125" s="78"/>
    </row>
    <row r="126" spans="1:48" s="63" customFormat="1" x14ac:dyDescent="0.25">
      <c r="A126" s="66" t="s">
        <v>81</v>
      </c>
      <c r="B126" s="67">
        <f t="shared" ref="B126:D127" si="198">B32</f>
        <v>91365</v>
      </c>
      <c r="C126" s="67">
        <f t="shared" si="198"/>
        <v>41303</v>
      </c>
      <c r="D126" s="67">
        <f t="shared" si="198"/>
        <v>42947</v>
      </c>
      <c r="E126" s="67">
        <f t="shared" ref="E126:J127" si="199">E32</f>
        <v>40410</v>
      </c>
      <c r="F126" s="67">
        <f t="shared" si="199"/>
        <v>39323</v>
      </c>
      <c r="G126" s="67">
        <f t="shared" si="199"/>
        <v>33622</v>
      </c>
      <c r="H126" s="67">
        <f t="shared" si="199"/>
        <v>27457</v>
      </c>
      <c r="I126" s="67">
        <f t="shared" si="199"/>
        <v>22777</v>
      </c>
      <c r="J126" s="67">
        <f t="shared" si="199"/>
        <v>19668</v>
      </c>
      <c r="K126" s="67">
        <f t="shared" ref="K126:P127" si="200">K32</f>
        <v>17978</v>
      </c>
      <c r="L126" s="67">
        <f t="shared" si="200"/>
        <v>16157</v>
      </c>
      <c r="M126" s="67">
        <f t="shared" si="200"/>
        <v>15555</v>
      </c>
      <c r="N126" s="67">
        <f t="shared" si="200"/>
        <v>13100</v>
      </c>
      <c r="O126" s="67">
        <f t="shared" si="200"/>
        <v>9553</v>
      </c>
      <c r="P126" s="67">
        <f t="shared" si="200"/>
        <v>7776</v>
      </c>
      <c r="R126" s="67"/>
      <c r="S126" s="67"/>
      <c r="T126" s="67"/>
      <c r="U126" s="67"/>
      <c r="V126" s="67"/>
      <c r="W126" s="67"/>
      <c r="X126" s="67"/>
      <c r="Y126" s="67"/>
      <c r="Z126" s="67"/>
      <c r="AA126" s="67"/>
      <c r="AB126" s="67"/>
      <c r="AC126" s="67"/>
      <c r="AD126" s="67"/>
      <c r="AE126" s="67"/>
      <c r="AF126" s="67"/>
      <c r="AH126" s="67">
        <f t="shared" ref="AH126:AJ127" si="201">AH32</f>
        <v>91365</v>
      </c>
      <c r="AI126" s="67">
        <f t="shared" si="201"/>
        <v>107265.78034313896</v>
      </c>
      <c r="AJ126" s="67">
        <f t="shared" si="201"/>
        <v>108344.74362858689</v>
      </c>
      <c r="AK126" s="67">
        <f t="shared" ref="AK126:AP127" si="202">AK32</f>
        <v>113190.71828969565</v>
      </c>
      <c r="AL126" s="67">
        <f t="shared" si="202"/>
        <v>114628.84953166553</v>
      </c>
      <c r="AM126" s="67">
        <f t="shared" si="202"/>
        <v>111693.02941591118</v>
      </c>
      <c r="AN126" s="67">
        <f t="shared" si="202"/>
        <v>100199.39637007753</v>
      </c>
      <c r="AO126" s="67">
        <f t="shared" si="202"/>
        <v>81216.614999107507</v>
      </c>
      <c r="AP126" s="67">
        <f t="shared" si="202"/>
        <v>71039.111645969722</v>
      </c>
      <c r="AQ126" s="67">
        <f t="shared" ref="AQ126:AV127" si="203">AQ32</f>
        <v>67512.883638509462</v>
      </c>
      <c r="AR126" s="67">
        <f t="shared" si="203"/>
        <v>64996.212962919366</v>
      </c>
      <c r="AS126" s="67">
        <f t="shared" si="203"/>
        <v>63516.653549560637</v>
      </c>
      <c r="AT126" s="67">
        <f t="shared" si="203"/>
        <v>56959.151161611408</v>
      </c>
      <c r="AU126" s="67">
        <f t="shared" si="203"/>
        <v>41942.839704452359</v>
      </c>
      <c r="AV126" s="67">
        <f t="shared" si="203"/>
        <v>37551.325091278151</v>
      </c>
    </row>
    <row r="127" spans="1:48" s="63" customFormat="1" x14ac:dyDescent="0.25">
      <c r="A127" s="66" t="s">
        <v>82</v>
      </c>
      <c r="B127" s="67">
        <f t="shared" si="198"/>
        <v>10241</v>
      </c>
      <c r="C127" s="67">
        <f t="shared" si="198"/>
        <v>11037</v>
      </c>
      <c r="D127" s="67">
        <f t="shared" si="198"/>
        <v>9110</v>
      </c>
      <c r="E127" s="67">
        <f t="shared" si="199"/>
        <v>6451</v>
      </c>
      <c r="F127" s="67">
        <f t="shared" si="199"/>
        <v>4717</v>
      </c>
      <c r="G127" s="67">
        <f t="shared" si="199"/>
        <v>3455</v>
      </c>
      <c r="H127" s="67">
        <f t="shared" si="199"/>
        <v>2453</v>
      </c>
      <c r="I127" s="67">
        <f t="shared" si="199"/>
        <v>1685</v>
      </c>
      <c r="J127" s="67">
        <f t="shared" si="199"/>
        <v>1021</v>
      </c>
      <c r="K127" s="67">
        <f t="shared" si="200"/>
        <v>450</v>
      </c>
      <c r="L127" s="67">
        <f t="shared" si="200"/>
        <v>510</v>
      </c>
      <c r="M127" s="67">
        <f t="shared" si="200"/>
        <v>930</v>
      </c>
      <c r="N127" s="67">
        <f t="shared" si="200"/>
        <v>997</v>
      </c>
      <c r="O127" s="67">
        <f t="shared" si="200"/>
        <v>0</v>
      </c>
      <c r="P127" s="67">
        <f t="shared" si="200"/>
        <v>0</v>
      </c>
      <c r="R127" s="67"/>
      <c r="S127" s="67"/>
      <c r="T127" s="67"/>
      <c r="U127" s="67"/>
      <c r="V127" s="67"/>
      <c r="W127" s="67"/>
      <c r="X127" s="67"/>
      <c r="Y127" s="67"/>
      <c r="Z127" s="67"/>
      <c r="AA127" s="67"/>
      <c r="AB127" s="67"/>
      <c r="AC127" s="67"/>
      <c r="AD127" s="67"/>
      <c r="AE127" s="67"/>
      <c r="AF127" s="67"/>
      <c r="AH127" s="67">
        <f t="shared" si="201"/>
        <v>10241</v>
      </c>
      <c r="AI127" s="67">
        <f t="shared" si="201"/>
        <v>11037</v>
      </c>
      <c r="AJ127" s="67">
        <f t="shared" si="201"/>
        <v>9110</v>
      </c>
      <c r="AK127" s="67">
        <f t="shared" si="202"/>
        <v>6451</v>
      </c>
      <c r="AL127" s="67">
        <f t="shared" si="202"/>
        <v>4717</v>
      </c>
      <c r="AM127" s="67">
        <f t="shared" si="202"/>
        <v>3455</v>
      </c>
      <c r="AN127" s="67">
        <f t="shared" si="202"/>
        <v>2453</v>
      </c>
      <c r="AO127" s="67">
        <f t="shared" si="202"/>
        <v>1685</v>
      </c>
      <c r="AP127" s="67">
        <f t="shared" si="202"/>
        <v>1021</v>
      </c>
      <c r="AQ127" s="67">
        <f t="shared" si="203"/>
        <v>450</v>
      </c>
      <c r="AR127" s="67">
        <f t="shared" si="203"/>
        <v>510</v>
      </c>
      <c r="AS127" s="67">
        <f t="shared" si="203"/>
        <v>930</v>
      </c>
      <c r="AT127" s="67">
        <f t="shared" si="203"/>
        <v>997</v>
      </c>
      <c r="AU127" s="67">
        <f t="shared" si="203"/>
        <v>0</v>
      </c>
      <c r="AV127" s="67">
        <f t="shared" si="203"/>
        <v>0</v>
      </c>
    </row>
    <row r="128" spans="1:48" s="63" customFormat="1" x14ac:dyDescent="0.25">
      <c r="A128" s="68" t="s">
        <v>264</v>
      </c>
      <c r="B128" s="67">
        <f>B37-B59</f>
        <v>170</v>
      </c>
      <c r="C128" s="67">
        <f>C37-C59</f>
        <v>182</v>
      </c>
      <c r="D128" s="67">
        <f>D37-D59</f>
        <v>134</v>
      </c>
      <c r="E128" s="67">
        <f t="shared" ref="E128:J128" si="204">E37-E59</f>
        <v>-406</v>
      </c>
      <c r="F128" s="67">
        <f t="shared" si="204"/>
        <v>-328</v>
      </c>
      <c r="G128" s="67">
        <f t="shared" si="204"/>
        <v>405</v>
      </c>
      <c r="H128" s="67">
        <f t="shared" si="204"/>
        <v>189</v>
      </c>
      <c r="I128" s="67">
        <f t="shared" si="204"/>
        <v>-99</v>
      </c>
      <c r="J128" s="67">
        <f t="shared" si="204"/>
        <v>-64</v>
      </c>
      <c r="K128" s="67">
        <f t="shared" ref="K128:P128" si="205">K37-K59</f>
        <v>306</v>
      </c>
      <c r="L128" s="67">
        <f t="shared" si="205"/>
        <v>281</v>
      </c>
      <c r="M128" s="67">
        <f t="shared" si="205"/>
        <v>-75</v>
      </c>
      <c r="N128" s="67">
        <f t="shared" si="205"/>
        <v>-574</v>
      </c>
      <c r="O128" s="67">
        <f t="shared" si="205"/>
        <v>-125</v>
      </c>
      <c r="P128" s="67">
        <f t="shared" si="205"/>
        <v>0</v>
      </c>
      <c r="R128" s="67"/>
      <c r="S128" s="67"/>
      <c r="T128" s="67"/>
      <c r="U128" s="67"/>
      <c r="V128" s="67"/>
      <c r="W128" s="67"/>
      <c r="X128" s="67"/>
      <c r="Y128" s="67"/>
      <c r="Z128" s="67"/>
      <c r="AA128" s="67"/>
      <c r="AB128" s="67"/>
      <c r="AC128" s="67"/>
      <c r="AD128" s="67"/>
      <c r="AE128" s="67"/>
      <c r="AF128" s="67"/>
      <c r="AH128" s="67">
        <f>AH37-AH59</f>
        <v>170</v>
      </c>
      <c r="AI128" s="67">
        <f>AI37-AI59</f>
        <v>182</v>
      </c>
      <c r="AJ128" s="67">
        <f>AJ37-AJ59</f>
        <v>134</v>
      </c>
      <c r="AK128" s="67">
        <f t="shared" ref="AK128:AP128" si="206">AK37-AK59</f>
        <v>-406</v>
      </c>
      <c r="AL128" s="67">
        <f t="shared" si="206"/>
        <v>-328</v>
      </c>
      <c r="AM128" s="67">
        <f t="shared" si="206"/>
        <v>405</v>
      </c>
      <c r="AN128" s="67">
        <f t="shared" si="206"/>
        <v>189</v>
      </c>
      <c r="AO128" s="67">
        <f t="shared" si="206"/>
        <v>-99</v>
      </c>
      <c r="AP128" s="67">
        <f t="shared" si="206"/>
        <v>-64</v>
      </c>
      <c r="AQ128" s="67">
        <f t="shared" ref="AQ128:AV128" si="207">AQ37-AQ59</f>
        <v>306</v>
      </c>
      <c r="AR128" s="67">
        <f t="shared" si="207"/>
        <v>281</v>
      </c>
      <c r="AS128" s="67">
        <f t="shared" si="207"/>
        <v>-75</v>
      </c>
      <c r="AT128" s="67">
        <f t="shared" si="207"/>
        <v>-574</v>
      </c>
      <c r="AU128" s="67">
        <f t="shared" si="207"/>
        <v>-125</v>
      </c>
      <c r="AV128" s="67">
        <f t="shared" si="207"/>
        <v>0</v>
      </c>
    </row>
    <row r="129" spans="1:48" s="63" customFormat="1" x14ac:dyDescent="0.25">
      <c r="A129" s="66" t="s">
        <v>263</v>
      </c>
      <c r="B129" s="67">
        <f>B58-B36</f>
        <v>-1726</v>
      </c>
      <c r="C129" s="67">
        <f>C58-C36</f>
        <v>101</v>
      </c>
      <c r="D129" s="67">
        <f>D58-D36</f>
        <v>1294</v>
      </c>
      <c r="E129" s="67">
        <f t="shared" ref="E129:J129" si="208">E58-E36</f>
        <v>2415</v>
      </c>
      <c r="F129" s="67">
        <f t="shared" si="208"/>
        <v>2036</v>
      </c>
      <c r="G129" s="67">
        <f t="shared" si="208"/>
        <v>2040</v>
      </c>
      <c r="H129" s="67">
        <f t="shared" si="208"/>
        <v>1050</v>
      </c>
      <c r="I129" s="67">
        <f t="shared" si="208"/>
        <v>1355</v>
      </c>
      <c r="J129" s="67">
        <f t="shared" si="208"/>
        <v>327</v>
      </c>
      <c r="K129" s="67">
        <f t="shared" ref="K129:P129" si="209">K58-K36</f>
        <v>-284</v>
      </c>
      <c r="L129" s="67">
        <f t="shared" si="209"/>
        <v>-159</v>
      </c>
      <c r="M129" s="67">
        <f t="shared" si="209"/>
        <v>792</v>
      </c>
      <c r="N129" s="67">
        <f t="shared" si="209"/>
        <v>519</v>
      </c>
      <c r="O129" s="67">
        <f t="shared" si="209"/>
        <v>-232</v>
      </c>
      <c r="P129" s="67">
        <f t="shared" si="209"/>
        <v>548</v>
      </c>
      <c r="R129" s="67"/>
      <c r="S129" s="67"/>
      <c r="T129" s="67"/>
      <c r="U129" s="67"/>
      <c r="V129" s="67"/>
      <c r="W129" s="67"/>
      <c r="X129" s="67"/>
      <c r="Y129" s="67"/>
      <c r="Z129" s="67"/>
      <c r="AA129" s="67"/>
      <c r="AB129" s="67"/>
      <c r="AC129" s="67"/>
      <c r="AD129" s="67"/>
      <c r="AE129" s="67"/>
      <c r="AF129" s="67"/>
      <c r="AH129" s="67">
        <f>AH58-AH36</f>
        <v>-1726</v>
      </c>
      <c r="AI129" s="67">
        <f>AI58-AI36</f>
        <v>101</v>
      </c>
      <c r="AJ129" s="67">
        <f>AJ58-AJ36</f>
        <v>1294</v>
      </c>
      <c r="AK129" s="67">
        <f t="shared" ref="AK129:AP129" si="210">AK58-AK36</f>
        <v>2415</v>
      </c>
      <c r="AL129" s="67">
        <f t="shared" si="210"/>
        <v>2036</v>
      </c>
      <c r="AM129" s="67">
        <f t="shared" si="210"/>
        <v>2040</v>
      </c>
      <c r="AN129" s="67">
        <f t="shared" si="210"/>
        <v>1050</v>
      </c>
      <c r="AO129" s="67">
        <f t="shared" si="210"/>
        <v>1355</v>
      </c>
      <c r="AP129" s="67">
        <f t="shared" si="210"/>
        <v>327</v>
      </c>
      <c r="AQ129" s="67">
        <f t="shared" ref="AQ129:AV129" si="211">AQ58-AQ36</f>
        <v>-284</v>
      </c>
      <c r="AR129" s="67">
        <f t="shared" si="211"/>
        <v>-159</v>
      </c>
      <c r="AS129" s="67">
        <f t="shared" si="211"/>
        <v>792</v>
      </c>
      <c r="AT129" s="67">
        <f t="shared" si="211"/>
        <v>519</v>
      </c>
      <c r="AU129" s="67">
        <f t="shared" si="211"/>
        <v>-232</v>
      </c>
      <c r="AV129" s="67">
        <f t="shared" si="211"/>
        <v>548</v>
      </c>
    </row>
    <row r="130" spans="1:48" s="63" customFormat="1" ht="30" x14ac:dyDescent="0.25">
      <c r="A130" s="66" t="s">
        <v>83</v>
      </c>
      <c r="B130" s="79">
        <f>B60</f>
        <v>0</v>
      </c>
      <c r="C130" s="79">
        <f>C60</f>
        <v>0</v>
      </c>
      <c r="D130" s="79">
        <f>D60</f>
        <v>0</v>
      </c>
      <c r="E130" s="79">
        <f t="shared" ref="E130:J130" si="212">E60</f>
        <v>0</v>
      </c>
      <c r="F130" s="79">
        <f t="shared" si="212"/>
        <v>0</v>
      </c>
      <c r="G130" s="79">
        <f t="shared" si="212"/>
        <v>0</v>
      </c>
      <c r="H130" s="79">
        <f t="shared" si="212"/>
        <v>0</v>
      </c>
      <c r="I130" s="79">
        <f t="shared" si="212"/>
        <v>0</v>
      </c>
      <c r="J130" s="79">
        <f t="shared" si="212"/>
        <v>0</v>
      </c>
      <c r="K130" s="79">
        <f t="shared" ref="K130:P130" si="213">K60</f>
        <v>0</v>
      </c>
      <c r="L130" s="79">
        <f t="shared" si="213"/>
        <v>0</v>
      </c>
      <c r="M130" s="69">
        <f t="shared" si="213"/>
        <v>0</v>
      </c>
      <c r="N130" s="69">
        <f t="shared" si="213"/>
        <v>0</v>
      </c>
      <c r="O130" s="69">
        <f t="shared" si="213"/>
        <v>0</v>
      </c>
      <c r="P130" s="69">
        <f t="shared" si="213"/>
        <v>0</v>
      </c>
      <c r="R130" s="69"/>
      <c r="S130" s="69"/>
      <c r="T130" s="69"/>
      <c r="U130" s="69"/>
      <c r="V130" s="69"/>
      <c r="W130" s="69"/>
      <c r="X130" s="69"/>
      <c r="Y130" s="69"/>
      <c r="Z130" s="69"/>
      <c r="AA130" s="69"/>
      <c r="AB130" s="69"/>
      <c r="AC130" s="69"/>
      <c r="AD130" s="69"/>
      <c r="AE130" s="69"/>
      <c r="AF130" s="69"/>
      <c r="AH130" s="79">
        <f>AH60</f>
        <v>0</v>
      </c>
      <c r="AI130" s="79">
        <f>AI60</f>
        <v>0</v>
      </c>
      <c r="AJ130" s="79">
        <f>AJ60</f>
        <v>0</v>
      </c>
      <c r="AK130" s="79">
        <f t="shared" ref="AK130:AP130" si="214">AK60</f>
        <v>0</v>
      </c>
      <c r="AL130" s="79">
        <f t="shared" si="214"/>
        <v>0</v>
      </c>
      <c r="AM130" s="79">
        <f t="shared" si="214"/>
        <v>0</v>
      </c>
      <c r="AN130" s="79">
        <f t="shared" si="214"/>
        <v>0</v>
      </c>
      <c r="AO130" s="79">
        <f t="shared" si="214"/>
        <v>0</v>
      </c>
      <c r="AP130" s="79">
        <f t="shared" si="214"/>
        <v>0</v>
      </c>
      <c r="AQ130" s="79">
        <f t="shared" ref="AQ130:AV130" si="215">AQ60</f>
        <v>0</v>
      </c>
      <c r="AR130" s="79">
        <f t="shared" si="215"/>
        <v>0</v>
      </c>
      <c r="AS130" s="69">
        <f t="shared" si="215"/>
        <v>0</v>
      </c>
      <c r="AT130" s="69">
        <f t="shared" si="215"/>
        <v>0</v>
      </c>
      <c r="AU130" s="69">
        <f t="shared" si="215"/>
        <v>0</v>
      </c>
      <c r="AV130" s="69">
        <f t="shared" si="215"/>
        <v>0</v>
      </c>
    </row>
    <row r="131" spans="1:48" s="63" customFormat="1" x14ac:dyDescent="0.25">
      <c r="A131" s="70" t="s">
        <v>265</v>
      </c>
      <c r="B131" s="80">
        <f>SUM(B126:B128)-SUM(B129:B130)</f>
        <v>103502</v>
      </c>
      <c r="C131" s="80">
        <f>SUM(C126:C128)-SUM(C129:C130)</f>
        <v>52421</v>
      </c>
      <c r="D131" s="80">
        <f>SUM(D126:D128)-SUM(D129:D130)</f>
        <v>50897</v>
      </c>
      <c r="E131" s="80">
        <f>SUM(E126:E128)-SUM(E129:E130)</f>
        <v>44040</v>
      </c>
      <c r="F131" s="80">
        <f>SUM(F126:F128)-SUM(F129:F130)</f>
        <v>41676</v>
      </c>
      <c r="G131" s="80">
        <f t="shared" ref="G131:L131" si="216">SUM(G126:G128)-SUM(G129:G130)</f>
        <v>35442</v>
      </c>
      <c r="H131" s="80">
        <f t="shared" si="216"/>
        <v>29049</v>
      </c>
      <c r="I131" s="80">
        <f t="shared" si="216"/>
        <v>23008</v>
      </c>
      <c r="J131" s="80">
        <f t="shared" si="216"/>
        <v>20298</v>
      </c>
      <c r="K131" s="80">
        <f t="shared" si="216"/>
        <v>19018</v>
      </c>
      <c r="L131" s="80">
        <f t="shared" si="216"/>
        <v>17107</v>
      </c>
      <c r="M131" s="80">
        <f>SUM(M126:M128)-SUM(M129:M130)</f>
        <v>15618</v>
      </c>
      <c r="N131" s="80">
        <f>SUM(N126:N128)-SUM(N129:N130)</f>
        <v>13004</v>
      </c>
      <c r="O131" s="80">
        <f>SUM(O126:O128)-SUM(O129:O130)</f>
        <v>9660</v>
      </c>
      <c r="P131" s="80">
        <f>SUM(P126:P128)-SUM(P129:P130)</f>
        <v>7228</v>
      </c>
      <c r="R131" s="80"/>
      <c r="S131" s="80"/>
      <c r="T131" s="80"/>
      <c r="U131" s="80"/>
      <c r="V131" s="80"/>
      <c r="W131" s="80"/>
      <c r="X131" s="80"/>
      <c r="Y131" s="80"/>
      <c r="Z131" s="80"/>
      <c r="AA131" s="80"/>
      <c r="AB131" s="80"/>
      <c r="AC131" s="80"/>
      <c r="AD131" s="80"/>
      <c r="AE131" s="80"/>
      <c r="AF131" s="80"/>
      <c r="AH131" s="80">
        <f>SUM(AH126:AH128)-SUM(AH129:AH130)</f>
        <v>103502</v>
      </c>
      <c r="AI131" s="80">
        <f>SUM(AI126:AI128)-SUM(AI129:AI130)</f>
        <v>118383.78034313896</v>
      </c>
      <c r="AJ131" s="80">
        <f>SUM(AJ126:AJ128)-SUM(AJ129:AJ130)</f>
        <v>116294.74362858689</v>
      </c>
      <c r="AK131" s="80">
        <f>SUM(AK126:AK128)-SUM(AK129:AK130)</f>
        <v>116820.71828969565</v>
      </c>
      <c r="AL131" s="80">
        <f>SUM(AL126:AL128)-SUM(AL129:AL130)</f>
        <v>116981.84953166553</v>
      </c>
      <c r="AM131" s="80">
        <f t="shared" ref="AM131:AR131" si="217">SUM(AM126:AM128)-SUM(AM129:AM130)</f>
        <v>113513.02941591118</v>
      </c>
      <c r="AN131" s="80">
        <f t="shared" si="217"/>
        <v>101791.39637007753</v>
      </c>
      <c r="AO131" s="80">
        <f t="shared" si="217"/>
        <v>81447.614999107507</v>
      </c>
      <c r="AP131" s="80">
        <f t="shared" si="217"/>
        <v>71669.111645969722</v>
      </c>
      <c r="AQ131" s="80">
        <f t="shared" si="217"/>
        <v>68552.883638509462</v>
      </c>
      <c r="AR131" s="80">
        <f t="shared" si="217"/>
        <v>65946.212962919366</v>
      </c>
      <c r="AS131" s="80">
        <f>SUM(AS126:AS128)-SUM(AS129:AS130)</f>
        <v>63579.653549560637</v>
      </c>
      <c r="AT131" s="80">
        <f>SUM(AT126:AT128)-SUM(AT129:AT130)</f>
        <v>56863.151161611408</v>
      </c>
      <c r="AU131" s="80">
        <f>SUM(AU126:AU128)-SUM(AU129:AU130)</f>
        <v>42049.839704452359</v>
      </c>
      <c r="AV131" s="80">
        <f>SUM(AV126:AV128)-SUM(AV129:AV130)</f>
        <v>37003.325091278151</v>
      </c>
    </row>
    <row r="132" spans="1:48" s="63" customFormat="1" x14ac:dyDescent="0.25">
      <c r="A132" s="77" t="s">
        <v>266</v>
      </c>
      <c r="B132" s="65"/>
      <c r="C132" s="65"/>
      <c r="D132" s="65"/>
      <c r="E132" s="65"/>
      <c r="F132" s="65"/>
      <c r="G132" s="65"/>
      <c r="H132" s="65"/>
      <c r="I132" s="65"/>
      <c r="J132" s="65"/>
      <c r="K132" s="65"/>
      <c r="L132" s="65"/>
      <c r="M132" s="65"/>
      <c r="N132" s="65"/>
      <c r="O132" s="65"/>
      <c r="P132" s="65"/>
      <c r="R132" s="65"/>
      <c r="S132" s="65"/>
      <c r="T132" s="65"/>
      <c r="U132" s="65"/>
      <c r="V132" s="65"/>
      <c r="W132" s="65"/>
      <c r="X132" s="65"/>
      <c r="Y132" s="65"/>
      <c r="Z132" s="65"/>
      <c r="AA132" s="65"/>
      <c r="AB132" s="65"/>
      <c r="AC132" s="65"/>
      <c r="AD132" s="65"/>
      <c r="AE132" s="65"/>
      <c r="AF132" s="65"/>
      <c r="AH132" s="65"/>
      <c r="AI132" s="65"/>
      <c r="AJ132" s="65"/>
      <c r="AK132" s="65"/>
      <c r="AL132" s="65"/>
      <c r="AM132" s="65"/>
      <c r="AN132" s="65"/>
      <c r="AO132" s="65"/>
      <c r="AP132" s="65"/>
      <c r="AQ132" s="65"/>
      <c r="AR132" s="65"/>
      <c r="AS132" s="65"/>
      <c r="AT132" s="65"/>
      <c r="AU132" s="65"/>
      <c r="AV132" s="65"/>
    </row>
    <row r="133" spans="1:48" s="63" customFormat="1" x14ac:dyDescent="0.25">
      <c r="A133" s="66" t="s">
        <v>142</v>
      </c>
      <c r="B133" s="81">
        <f>MAX(0,B43-B118)</f>
        <v>7188.4499999999989</v>
      </c>
      <c r="C133" s="81">
        <f>MAX(0,C43-C118)</f>
        <v>674.25</v>
      </c>
      <c r="D133" s="81">
        <f>MAX(0,D43-D118)</f>
        <v>1070</v>
      </c>
      <c r="E133" s="81">
        <f t="shared" ref="E133:J133" si="218">MAX(0,E43-E118)</f>
        <v>0</v>
      </c>
      <c r="F133" s="81">
        <f t="shared" si="218"/>
        <v>0</v>
      </c>
      <c r="G133" s="81">
        <f t="shared" si="218"/>
        <v>3906.9499999999989</v>
      </c>
      <c r="H133" s="81">
        <f t="shared" si="218"/>
        <v>9122.0499999999993</v>
      </c>
      <c r="I133" s="81">
        <f t="shared" si="218"/>
        <v>10795.9</v>
      </c>
      <c r="J133" s="81">
        <f t="shared" si="218"/>
        <v>11103.05</v>
      </c>
      <c r="K133" s="81">
        <f t="shared" ref="K133:P133" si="219">MAX(0,K43-K118)</f>
        <v>15777.05</v>
      </c>
      <c r="L133" s="81">
        <f t="shared" si="219"/>
        <v>19433.849999999999</v>
      </c>
      <c r="M133" s="81">
        <f t="shared" si="219"/>
        <v>16955.349999999999</v>
      </c>
      <c r="N133" s="81">
        <f t="shared" si="219"/>
        <v>18299.400000000001</v>
      </c>
      <c r="O133" s="81">
        <f t="shared" si="219"/>
        <v>17046.7</v>
      </c>
      <c r="P133" s="81">
        <f t="shared" si="219"/>
        <v>15205</v>
      </c>
      <c r="R133" s="65"/>
      <c r="S133" s="65"/>
      <c r="T133" s="65"/>
      <c r="U133" s="65"/>
      <c r="V133" s="65"/>
      <c r="W133" s="65"/>
      <c r="X133" s="65"/>
      <c r="Y133" s="65"/>
      <c r="Z133" s="65"/>
      <c r="AA133" s="65"/>
      <c r="AB133" s="65"/>
      <c r="AC133" s="65"/>
      <c r="AD133" s="65"/>
      <c r="AE133" s="65"/>
      <c r="AF133" s="65"/>
      <c r="AH133" s="81">
        <f>MAX(0,AH43-AH118)</f>
        <v>7188.4499999999989</v>
      </c>
      <c r="AI133" s="81">
        <f>MAX(0,AI43-AI118)</f>
        <v>674.25</v>
      </c>
      <c r="AJ133" s="81">
        <f>MAX(0,AJ43-AJ118)</f>
        <v>1070</v>
      </c>
      <c r="AK133" s="81">
        <f t="shared" ref="AK133:AP133" si="220">MAX(0,AK43-AK118)</f>
        <v>0</v>
      </c>
      <c r="AL133" s="81">
        <f t="shared" si="220"/>
        <v>0</v>
      </c>
      <c r="AM133" s="81">
        <f t="shared" si="220"/>
        <v>3906.9499999999989</v>
      </c>
      <c r="AN133" s="81">
        <f t="shared" si="220"/>
        <v>9122.0499999999993</v>
      </c>
      <c r="AO133" s="81">
        <f t="shared" si="220"/>
        <v>10795.9</v>
      </c>
      <c r="AP133" s="81">
        <f t="shared" si="220"/>
        <v>11103.05</v>
      </c>
      <c r="AQ133" s="81">
        <f t="shared" ref="AQ133:AV133" si="221">MAX(0,AQ43-AQ118)</f>
        <v>15777.05</v>
      </c>
      <c r="AR133" s="81">
        <f t="shared" si="221"/>
        <v>19433.849999999999</v>
      </c>
      <c r="AS133" s="81">
        <f t="shared" si="221"/>
        <v>16955.349999999999</v>
      </c>
      <c r="AT133" s="81">
        <f t="shared" si="221"/>
        <v>18299.400000000001</v>
      </c>
      <c r="AU133" s="81">
        <f t="shared" si="221"/>
        <v>17046.7</v>
      </c>
      <c r="AV133" s="81">
        <f t="shared" si="221"/>
        <v>15205</v>
      </c>
    </row>
    <row r="134" spans="1:48" s="63" customFormat="1" x14ac:dyDescent="0.25">
      <c r="A134" s="66" t="s">
        <v>84</v>
      </c>
      <c r="B134" s="67">
        <f t="shared" ref="B134:D135" si="222">B34</f>
        <v>247</v>
      </c>
      <c r="C134" s="67">
        <f t="shared" si="222"/>
        <v>210</v>
      </c>
      <c r="D134" s="67">
        <f t="shared" si="222"/>
        <v>126</v>
      </c>
      <c r="E134" s="67">
        <f t="shared" ref="E134:J135" si="223">E34</f>
        <v>0</v>
      </c>
      <c r="F134" s="67">
        <f t="shared" si="223"/>
        <v>0</v>
      </c>
      <c r="G134" s="67">
        <f t="shared" si="223"/>
        <v>0</v>
      </c>
      <c r="H134" s="67">
        <f t="shared" si="223"/>
        <v>0</v>
      </c>
      <c r="I134" s="67">
        <f t="shared" si="223"/>
        <v>0</v>
      </c>
      <c r="J134" s="67">
        <f t="shared" si="223"/>
        <v>0</v>
      </c>
      <c r="K134" s="67">
        <f t="shared" ref="K134:P135" si="224">K34</f>
        <v>0</v>
      </c>
      <c r="L134" s="67">
        <f t="shared" si="224"/>
        <v>0</v>
      </c>
      <c r="M134" s="67">
        <f t="shared" si="224"/>
        <v>0</v>
      </c>
      <c r="N134" s="67">
        <f t="shared" si="224"/>
        <v>0</v>
      </c>
      <c r="O134" s="67">
        <f t="shared" si="224"/>
        <v>0</v>
      </c>
      <c r="P134" s="67">
        <f t="shared" si="224"/>
        <v>0</v>
      </c>
      <c r="R134" s="67"/>
      <c r="S134" s="67"/>
      <c r="T134" s="67"/>
      <c r="U134" s="67"/>
      <c r="V134" s="67"/>
      <c r="W134" s="67"/>
      <c r="X134" s="67"/>
      <c r="Y134" s="67"/>
      <c r="Z134" s="67"/>
      <c r="AA134" s="67"/>
      <c r="AB134" s="67"/>
      <c r="AC134" s="67"/>
      <c r="AD134" s="67"/>
      <c r="AE134" s="67"/>
      <c r="AF134" s="67"/>
      <c r="AH134" s="67">
        <f t="shared" ref="AH134:AJ135" si="225">AH34</f>
        <v>247</v>
      </c>
      <c r="AI134" s="67">
        <f t="shared" si="225"/>
        <v>210</v>
      </c>
      <c r="AJ134" s="67">
        <f t="shared" si="225"/>
        <v>126</v>
      </c>
      <c r="AK134" s="67">
        <f t="shared" ref="AK134:AP135" si="226">AK34</f>
        <v>0</v>
      </c>
      <c r="AL134" s="67">
        <f t="shared" si="226"/>
        <v>0</v>
      </c>
      <c r="AM134" s="67">
        <f t="shared" si="226"/>
        <v>0</v>
      </c>
      <c r="AN134" s="67">
        <f t="shared" si="226"/>
        <v>0</v>
      </c>
      <c r="AO134" s="67">
        <f t="shared" si="226"/>
        <v>0</v>
      </c>
      <c r="AP134" s="67">
        <f t="shared" si="226"/>
        <v>0</v>
      </c>
      <c r="AQ134" s="67">
        <f t="shared" ref="AQ134:AV135" si="227">AQ34</f>
        <v>0</v>
      </c>
      <c r="AR134" s="67">
        <f t="shared" si="227"/>
        <v>0</v>
      </c>
      <c r="AS134" s="67">
        <f t="shared" si="227"/>
        <v>0</v>
      </c>
      <c r="AT134" s="67">
        <f t="shared" si="227"/>
        <v>0</v>
      </c>
      <c r="AU134" s="67">
        <f t="shared" si="227"/>
        <v>0</v>
      </c>
      <c r="AV134" s="67">
        <f t="shared" si="227"/>
        <v>0</v>
      </c>
    </row>
    <row r="135" spans="1:48" s="63" customFormat="1" x14ac:dyDescent="0.25">
      <c r="A135" s="66" t="s">
        <v>85</v>
      </c>
      <c r="B135" s="67">
        <f t="shared" si="222"/>
        <v>1446</v>
      </c>
      <c r="C135" s="67">
        <f t="shared" si="222"/>
        <v>1341</v>
      </c>
      <c r="D135" s="67">
        <f t="shared" si="222"/>
        <v>1237</v>
      </c>
      <c r="E135" s="67">
        <f t="shared" si="223"/>
        <v>1039</v>
      </c>
      <c r="F135" s="67">
        <f t="shared" si="223"/>
        <v>1014</v>
      </c>
      <c r="G135" s="67">
        <f t="shared" si="223"/>
        <v>862</v>
      </c>
      <c r="H135" s="67">
        <f t="shared" si="223"/>
        <v>709</v>
      </c>
      <c r="I135" s="67">
        <f t="shared" si="223"/>
        <v>659</v>
      </c>
      <c r="J135" s="67">
        <f t="shared" si="223"/>
        <v>628</v>
      </c>
      <c r="K135" s="67">
        <f t="shared" si="224"/>
        <v>608</v>
      </c>
      <c r="L135" s="67">
        <f t="shared" si="224"/>
        <v>518</v>
      </c>
      <c r="M135" s="67">
        <f t="shared" si="224"/>
        <v>551</v>
      </c>
      <c r="N135" s="67">
        <f t="shared" si="224"/>
        <v>476</v>
      </c>
      <c r="O135" s="67">
        <f t="shared" si="224"/>
        <v>253</v>
      </c>
      <c r="P135" s="67">
        <f t="shared" si="224"/>
        <v>155</v>
      </c>
      <c r="R135" s="67"/>
      <c r="S135" s="67"/>
      <c r="T135" s="67"/>
      <c r="U135" s="67"/>
      <c r="V135" s="67"/>
      <c r="W135" s="67"/>
      <c r="X135" s="67"/>
      <c r="Y135" s="67"/>
      <c r="Z135" s="67"/>
      <c r="AA135" s="67"/>
      <c r="AB135" s="67"/>
      <c r="AC135" s="67"/>
      <c r="AD135" s="67"/>
      <c r="AE135" s="67"/>
      <c r="AF135" s="67"/>
      <c r="AH135" s="67">
        <f t="shared" si="225"/>
        <v>1446</v>
      </c>
      <c r="AI135" s="67">
        <f t="shared" si="225"/>
        <v>1341</v>
      </c>
      <c r="AJ135" s="67">
        <f t="shared" si="225"/>
        <v>1237</v>
      </c>
      <c r="AK135" s="67">
        <f t="shared" si="226"/>
        <v>1039</v>
      </c>
      <c r="AL135" s="67">
        <f t="shared" si="226"/>
        <v>1014</v>
      </c>
      <c r="AM135" s="67">
        <f t="shared" si="226"/>
        <v>862</v>
      </c>
      <c r="AN135" s="67">
        <f t="shared" si="226"/>
        <v>709</v>
      </c>
      <c r="AO135" s="67">
        <f t="shared" si="226"/>
        <v>659</v>
      </c>
      <c r="AP135" s="67">
        <f t="shared" si="226"/>
        <v>628</v>
      </c>
      <c r="AQ135" s="67">
        <f t="shared" si="227"/>
        <v>608</v>
      </c>
      <c r="AR135" s="67">
        <f t="shared" si="227"/>
        <v>518</v>
      </c>
      <c r="AS135" s="67">
        <f t="shared" si="227"/>
        <v>551</v>
      </c>
      <c r="AT135" s="67">
        <f t="shared" si="227"/>
        <v>476</v>
      </c>
      <c r="AU135" s="67">
        <f t="shared" si="227"/>
        <v>253</v>
      </c>
      <c r="AV135" s="67">
        <f t="shared" si="227"/>
        <v>155</v>
      </c>
    </row>
    <row r="136" spans="1:48" s="63" customFormat="1" ht="15.75" thickBot="1" x14ac:dyDescent="0.3">
      <c r="A136" s="70" t="s">
        <v>267</v>
      </c>
      <c r="B136" s="82">
        <f>SUM(B133:B135)</f>
        <v>8881.4499999999989</v>
      </c>
      <c r="C136" s="82">
        <f>SUM(C133:C135)</f>
        <v>2225.25</v>
      </c>
      <c r="D136" s="82">
        <f>SUM(D133:D135)</f>
        <v>2433</v>
      </c>
      <c r="E136" s="82">
        <f t="shared" ref="E136:J136" si="228">SUM(E133:E135)</f>
        <v>1039</v>
      </c>
      <c r="F136" s="82">
        <f t="shared" si="228"/>
        <v>1014</v>
      </c>
      <c r="G136" s="82">
        <f t="shared" si="228"/>
        <v>4768.9499999999989</v>
      </c>
      <c r="H136" s="82">
        <f t="shared" si="228"/>
        <v>9831.0499999999993</v>
      </c>
      <c r="I136" s="82">
        <f t="shared" si="228"/>
        <v>11454.9</v>
      </c>
      <c r="J136" s="82">
        <f t="shared" si="228"/>
        <v>11731.05</v>
      </c>
      <c r="K136" s="82">
        <f t="shared" ref="K136:P136" si="229">SUM(K133:K135)</f>
        <v>16385.05</v>
      </c>
      <c r="L136" s="82">
        <f t="shared" si="229"/>
        <v>19951.849999999999</v>
      </c>
      <c r="M136" s="82">
        <f t="shared" si="229"/>
        <v>17506.349999999999</v>
      </c>
      <c r="N136" s="82">
        <f t="shared" si="229"/>
        <v>18775.400000000001</v>
      </c>
      <c r="O136" s="82">
        <f t="shared" si="229"/>
        <v>17299.7</v>
      </c>
      <c r="P136" s="82">
        <f t="shared" si="229"/>
        <v>15360</v>
      </c>
      <c r="R136" s="82"/>
      <c r="S136" s="82"/>
      <c r="T136" s="82"/>
      <c r="U136" s="82"/>
      <c r="V136" s="82"/>
      <c r="W136" s="82"/>
      <c r="X136" s="82"/>
      <c r="Y136" s="82"/>
      <c r="Z136" s="82"/>
      <c r="AA136" s="82"/>
      <c r="AB136" s="82"/>
      <c r="AC136" s="82"/>
      <c r="AD136" s="82"/>
      <c r="AE136" s="82"/>
      <c r="AF136" s="82"/>
      <c r="AH136" s="82">
        <f>SUM(AH133:AH135)</f>
        <v>8881.4499999999989</v>
      </c>
      <c r="AI136" s="82">
        <f>SUM(AI133:AI135)</f>
        <v>2225.25</v>
      </c>
      <c r="AJ136" s="82">
        <f>SUM(AJ133:AJ135)</f>
        <v>2433</v>
      </c>
      <c r="AK136" s="82">
        <f t="shared" ref="AK136:AP136" si="230">SUM(AK133:AK135)</f>
        <v>1039</v>
      </c>
      <c r="AL136" s="82">
        <f t="shared" si="230"/>
        <v>1014</v>
      </c>
      <c r="AM136" s="82">
        <f t="shared" si="230"/>
        <v>4768.9499999999989</v>
      </c>
      <c r="AN136" s="82">
        <f t="shared" si="230"/>
        <v>9831.0499999999993</v>
      </c>
      <c r="AO136" s="82">
        <f t="shared" si="230"/>
        <v>11454.9</v>
      </c>
      <c r="AP136" s="82">
        <f t="shared" si="230"/>
        <v>11731.05</v>
      </c>
      <c r="AQ136" s="82">
        <f t="shared" ref="AQ136:AV136" si="231">SUM(AQ133:AQ135)</f>
        <v>16385.05</v>
      </c>
      <c r="AR136" s="82">
        <f t="shared" si="231"/>
        <v>19951.849999999999</v>
      </c>
      <c r="AS136" s="82">
        <f t="shared" si="231"/>
        <v>17506.349999999999</v>
      </c>
      <c r="AT136" s="82">
        <f t="shared" si="231"/>
        <v>18775.400000000001</v>
      </c>
      <c r="AU136" s="82">
        <f t="shared" si="231"/>
        <v>17299.7</v>
      </c>
      <c r="AV136" s="82">
        <f t="shared" si="231"/>
        <v>15360</v>
      </c>
    </row>
    <row r="137" spans="1:48" s="63" customFormat="1" ht="15.75" thickTop="1" x14ac:dyDescent="0.25">
      <c r="A137" s="64" t="s">
        <v>268</v>
      </c>
      <c r="B137" s="65">
        <f>SUM(B124,B131,B136)</f>
        <v>135300</v>
      </c>
      <c r="C137" s="65">
        <f>SUM(C124,C131,C136)</f>
        <v>75277</v>
      </c>
      <c r="D137" s="65">
        <f>SUM(D124,D131,D136)</f>
        <v>78772</v>
      </c>
      <c r="E137" s="65">
        <f t="shared" ref="E137:J137" si="232">SUM(E124,E131,E136)</f>
        <v>70378</v>
      </c>
      <c r="F137" s="65">
        <f t="shared" si="232"/>
        <v>64103</v>
      </c>
      <c r="G137" s="65">
        <f t="shared" si="232"/>
        <v>58498</v>
      </c>
      <c r="H137" s="65">
        <f t="shared" si="232"/>
        <v>52007</v>
      </c>
      <c r="I137" s="65">
        <f t="shared" si="232"/>
        <v>45557</v>
      </c>
      <c r="J137" s="65">
        <f t="shared" si="232"/>
        <v>44212</v>
      </c>
      <c r="K137" s="65">
        <f t="shared" ref="K137:P137" si="233">SUM(K124,K131,K136)</f>
        <v>44481</v>
      </c>
      <c r="L137" s="65">
        <f t="shared" si="233"/>
        <v>44429</v>
      </c>
      <c r="M137" s="65">
        <f t="shared" si="233"/>
        <v>41235</v>
      </c>
      <c r="N137" s="65">
        <f t="shared" si="233"/>
        <v>37546</v>
      </c>
      <c r="O137" s="65">
        <f t="shared" si="233"/>
        <v>32249</v>
      </c>
      <c r="P137" s="65">
        <f t="shared" si="233"/>
        <v>27909</v>
      </c>
      <c r="R137" s="65"/>
      <c r="S137" s="65"/>
      <c r="T137" s="65"/>
      <c r="U137" s="65"/>
      <c r="V137" s="65"/>
      <c r="W137" s="65"/>
      <c r="X137" s="65"/>
      <c r="Y137" s="65"/>
      <c r="Z137" s="65"/>
      <c r="AA137" s="65"/>
      <c r="AB137" s="65"/>
      <c r="AC137" s="65"/>
      <c r="AD137" s="65"/>
      <c r="AE137" s="65"/>
      <c r="AF137" s="65"/>
      <c r="AH137" s="65">
        <f>SUM(AH124,AH131,AH136)</f>
        <v>135300</v>
      </c>
      <c r="AI137" s="65">
        <f>SUM(AI124,AI131,AI136)</f>
        <v>141239.78034313896</v>
      </c>
      <c r="AJ137" s="65">
        <f>SUM(AJ124,AJ131,AJ136)</f>
        <v>144169.74362858688</v>
      </c>
      <c r="AK137" s="65">
        <f t="shared" ref="AK137:AP137" si="234">SUM(AK124,AK131,AK136)</f>
        <v>143158.71828969565</v>
      </c>
      <c r="AL137" s="65">
        <f t="shared" si="234"/>
        <v>139408.84953166553</v>
      </c>
      <c r="AM137" s="65">
        <f t="shared" si="234"/>
        <v>136569.02941591118</v>
      </c>
      <c r="AN137" s="65">
        <f t="shared" si="234"/>
        <v>124749.39637007753</v>
      </c>
      <c r="AO137" s="65">
        <f t="shared" si="234"/>
        <v>103996.61499910749</v>
      </c>
      <c r="AP137" s="65">
        <f t="shared" si="234"/>
        <v>95583.111645969722</v>
      </c>
      <c r="AQ137" s="65">
        <f t="shared" ref="AQ137:AV137" si="235">SUM(AQ124,AQ131,AQ136)</f>
        <v>94015.883638509462</v>
      </c>
      <c r="AR137" s="65">
        <f t="shared" si="235"/>
        <v>93268.212962919381</v>
      </c>
      <c r="AS137" s="65">
        <f t="shared" si="235"/>
        <v>89196.653549560637</v>
      </c>
      <c r="AT137" s="65">
        <f t="shared" si="235"/>
        <v>81405.1511616114</v>
      </c>
      <c r="AU137" s="65">
        <f t="shared" si="235"/>
        <v>64638.839704452359</v>
      </c>
      <c r="AV137" s="65">
        <f t="shared" si="235"/>
        <v>57684.325091278151</v>
      </c>
    </row>
    <row r="138" spans="1:48" s="63" customFormat="1" x14ac:dyDescent="0.25">
      <c r="A138" s="64"/>
      <c r="B138" s="83"/>
      <c r="C138" s="83"/>
      <c r="D138" s="83"/>
      <c r="E138" s="83"/>
      <c r="F138" s="83"/>
      <c r="G138" s="83"/>
      <c r="H138" s="83"/>
      <c r="I138" s="65"/>
      <c r="J138" s="65"/>
      <c r="K138" s="65"/>
      <c r="L138" s="65"/>
      <c r="M138" s="65"/>
      <c r="N138" s="65"/>
      <c r="O138" s="65"/>
      <c r="P138" s="65"/>
      <c r="R138" s="65"/>
      <c r="S138" s="65"/>
      <c r="T138" s="65"/>
      <c r="U138" s="65"/>
      <c r="V138" s="65"/>
      <c r="W138" s="65"/>
      <c r="X138" s="65"/>
      <c r="Y138" s="65"/>
      <c r="Z138" s="65"/>
      <c r="AA138" s="65"/>
      <c r="AB138" s="65"/>
      <c r="AC138" s="65"/>
      <c r="AD138" s="65"/>
      <c r="AE138" s="65"/>
      <c r="AF138" s="65"/>
      <c r="AH138" s="83"/>
      <c r="AI138" s="83"/>
      <c r="AJ138" s="83"/>
      <c r="AK138" s="83"/>
      <c r="AL138" s="83"/>
      <c r="AM138" s="83"/>
      <c r="AN138" s="83"/>
      <c r="AO138" s="83"/>
      <c r="AP138" s="83"/>
      <c r="AQ138" s="83"/>
      <c r="AR138" s="83"/>
      <c r="AS138" s="83"/>
      <c r="AT138" s="65"/>
      <c r="AU138" s="65"/>
      <c r="AV138" s="65"/>
    </row>
    <row r="139" spans="1:48" s="63" customFormat="1" x14ac:dyDescent="0.25">
      <c r="A139" s="64" t="s">
        <v>270</v>
      </c>
      <c r="B139" s="83"/>
      <c r="C139" s="83"/>
      <c r="D139" s="83"/>
      <c r="E139" s="83"/>
      <c r="F139" s="83"/>
      <c r="G139" s="83"/>
      <c r="H139" s="83"/>
      <c r="AH139" s="83"/>
      <c r="AI139" s="83"/>
      <c r="AJ139" s="83"/>
      <c r="AK139" s="83"/>
      <c r="AL139" s="83"/>
      <c r="AM139" s="83"/>
      <c r="AN139" s="83"/>
      <c r="AO139" s="83"/>
      <c r="AP139" s="83"/>
      <c r="AQ139" s="83"/>
      <c r="AR139" s="83"/>
      <c r="AS139" s="83"/>
    </row>
    <row r="140" spans="1:48" s="63" customFormat="1" x14ac:dyDescent="0.25">
      <c r="A140" s="66" t="s">
        <v>86</v>
      </c>
      <c r="B140" s="67">
        <f>B65</f>
        <v>21174</v>
      </c>
      <c r="C140" s="67">
        <f>C65</f>
        <v>7051</v>
      </c>
      <c r="D140" s="67">
        <f>D65</f>
        <v>9289</v>
      </c>
      <c r="E140" s="67">
        <f t="shared" ref="E140:J140" si="236">E65</f>
        <v>9870</v>
      </c>
      <c r="F140" s="67">
        <f t="shared" si="236"/>
        <v>2127</v>
      </c>
      <c r="G140" s="67">
        <f t="shared" si="236"/>
        <v>0</v>
      </c>
      <c r="H140" s="67">
        <f t="shared" si="236"/>
        <v>0</v>
      </c>
      <c r="I140" s="67">
        <f t="shared" si="236"/>
        <v>0</v>
      </c>
      <c r="J140" s="67">
        <f t="shared" si="236"/>
        <v>0</v>
      </c>
      <c r="K140" s="67">
        <f t="shared" ref="K140:P140" si="237">K65</f>
        <v>0</v>
      </c>
      <c r="L140" s="67">
        <f t="shared" si="237"/>
        <v>0</v>
      </c>
      <c r="M140" s="67">
        <f t="shared" si="237"/>
        <v>0</v>
      </c>
      <c r="N140" s="67">
        <f t="shared" si="237"/>
        <v>0</v>
      </c>
      <c r="O140" s="67">
        <f t="shared" si="237"/>
        <v>0</v>
      </c>
      <c r="P140" s="67">
        <f t="shared" si="237"/>
        <v>0</v>
      </c>
      <c r="R140" s="67"/>
      <c r="S140" s="67"/>
      <c r="T140" s="67"/>
      <c r="U140" s="67"/>
      <c r="V140" s="67"/>
      <c r="W140" s="67"/>
      <c r="X140" s="67"/>
      <c r="Y140" s="67"/>
      <c r="Z140" s="67"/>
      <c r="AA140" s="67"/>
      <c r="AB140" s="67"/>
      <c r="AC140" s="67"/>
      <c r="AD140" s="67"/>
      <c r="AE140" s="67"/>
      <c r="AF140" s="67"/>
      <c r="AH140" s="67">
        <f>AH65</f>
        <v>21174</v>
      </c>
      <c r="AI140" s="67">
        <f>AI65</f>
        <v>21965.744393137218</v>
      </c>
      <c r="AJ140" s="67">
        <f>AJ65</f>
        <v>24215.04512742826</v>
      </c>
      <c r="AK140" s="67">
        <f t="shared" ref="AK140:AP140" si="238">AK65</f>
        <v>24633.385634206086</v>
      </c>
      <c r="AL140" s="67">
        <f t="shared" si="238"/>
        <v>16651.230084600858</v>
      </c>
      <c r="AM140" s="67">
        <f t="shared" si="238"/>
        <v>12947.47286755791</v>
      </c>
      <c r="AN140" s="67">
        <f t="shared" si="238"/>
        <v>11827.894468968527</v>
      </c>
      <c r="AO140" s="67">
        <f t="shared" si="238"/>
        <v>10135.768085018743</v>
      </c>
      <c r="AP140" s="67">
        <f t="shared" si="238"/>
        <v>9129.63443454956</v>
      </c>
      <c r="AQ140" s="67">
        <f t="shared" ref="AQ140:AV140" si="239">AQ65</f>
        <v>8356.8837235676965</v>
      </c>
      <c r="AR140" s="67">
        <f t="shared" si="239"/>
        <v>8178.5020370382572</v>
      </c>
      <c r="AS140" s="67">
        <f t="shared" si="239"/>
        <v>7920.169566738401</v>
      </c>
      <c r="AT140" s="67">
        <f t="shared" si="239"/>
        <v>6659.2537151770121</v>
      </c>
      <c r="AU140" s="67">
        <f t="shared" si="239"/>
        <v>5262.482614038513</v>
      </c>
      <c r="AV140" s="67">
        <f t="shared" si="239"/>
        <v>4858.8856959837613</v>
      </c>
    </row>
    <row r="141" spans="1:48" s="63" customFormat="1" x14ac:dyDescent="0.25">
      <c r="A141" s="66" t="s">
        <v>87</v>
      </c>
      <c r="B141" s="67">
        <f>B57</f>
        <v>59503</v>
      </c>
      <c r="C141" s="67">
        <f>C57</f>
        <v>11157</v>
      </c>
      <c r="D141" s="67">
        <f>D57</f>
        <v>10937</v>
      </c>
      <c r="E141" s="67">
        <f t="shared" ref="E141:J141" si="240">E57</f>
        <v>795</v>
      </c>
      <c r="F141" s="67">
        <f t="shared" si="240"/>
        <v>740</v>
      </c>
      <c r="G141" s="67">
        <f t="shared" si="240"/>
        <v>449</v>
      </c>
      <c r="H141" s="67">
        <f t="shared" si="240"/>
        <v>451</v>
      </c>
      <c r="I141" s="67">
        <f t="shared" si="240"/>
        <v>309</v>
      </c>
      <c r="J141" s="67">
        <f t="shared" si="240"/>
        <v>377</v>
      </c>
      <c r="K141" s="67">
        <f t="shared" ref="K141:P141" si="241">K57</f>
        <v>377</v>
      </c>
      <c r="L141" s="67">
        <f t="shared" si="241"/>
        <v>257</v>
      </c>
      <c r="M141" s="67">
        <f t="shared" si="241"/>
        <v>254</v>
      </c>
      <c r="N141" s="67">
        <f t="shared" si="241"/>
        <v>596</v>
      </c>
      <c r="O141" s="67">
        <f t="shared" si="241"/>
        <v>156</v>
      </c>
      <c r="P141" s="67">
        <f t="shared" si="241"/>
        <v>130</v>
      </c>
      <c r="R141" s="67"/>
      <c r="S141" s="67"/>
      <c r="T141" s="67"/>
      <c r="U141" s="67"/>
      <c r="V141" s="67"/>
      <c r="W141" s="67"/>
      <c r="X141" s="67"/>
      <c r="Y141" s="67"/>
      <c r="Z141" s="67"/>
      <c r="AA141" s="67"/>
      <c r="AB141" s="67"/>
      <c r="AC141" s="67"/>
      <c r="AD141" s="67"/>
      <c r="AE141" s="67"/>
      <c r="AF141" s="67"/>
      <c r="AH141" s="67">
        <f>AH57</f>
        <v>59503</v>
      </c>
      <c r="AI141" s="67">
        <f>AI57</f>
        <v>62205.035950001744</v>
      </c>
      <c r="AJ141" s="67">
        <f>AJ57</f>
        <v>61408.698501158637</v>
      </c>
      <c r="AK141" s="67">
        <f t="shared" ref="AK141:AP141" si="242">AK57</f>
        <v>58812.332655489561</v>
      </c>
      <c r="AL141" s="67">
        <f t="shared" si="242"/>
        <v>61521.619447064673</v>
      </c>
      <c r="AM141" s="67">
        <f t="shared" si="242"/>
        <v>65572.55654835327</v>
      </c>
      <c r="AN141" s="67">
        <f t="shared" si="242"/>
        <v>61365.501901109004</v>
      </c>
      <c r="AO141" s="67">
        <f t="shared" si="242"/>
        <v>48612.846914088761</v>
      </c>
      <c r="AP141" s="67">
        <f t="shared" si="242"/>
        <v>42618.477211420155</v>
      </c>
      <c r="AQ141" s="67">
        <f t="shared" ref="AQ141:AV141" si="243">AQ57</f>
        <v>41554.999914941771</v>
      </c>
      <c r="AR141" s="67">
        <f t="shared" si="243"/>
        <v>40917.710925881111</v>
      </c>
      <c r="AS141" s="67">
        <f t="shared" si="243"/>
        <v>40295.483982822232</v>
      </c>
      <c r="AT141" s="67">
        <f t="shared" si="243"/>
        <v>37795.897446434406</v>
      </c>
      <c r="AU141" s="67">
        <f t="shared" si="243"/>
        <v>27283.357090413851</v>
      </c>
      <c r="AV141" s="67">
        <f t="shared" si="243"/>
        <v>25046.43939529439</v>
      </c>
    </row>
    <row r="142" spans="1:48" s="63" customFormat="1" x14ac:dyDescent="0.25">
      <c r="A142" s="68" t="s">
        <v>149</v>
      </c>
      <c r="B142" s="84">
        <f>B55</f>
        <v>0</v>
      </c>
      <c r="C142" s="84">
        <f>C55</f>
        <v>0</v>
      </c>
      <c r="D142" s="84">
        <f>D55</f>
        <v>0</v>
      </c>
      <c r="E142" s="84">
        <f t="shared" ref="E142:J142" si="244">E55</f>
        <v>0</v>
      </c>
      <c r="F142" s="84">
        <f t="shared" si="244"/>
        <v>0</v>
      </c>
      <c r="G142" s="84">
        <f t="shared" si="244"/>
        <v>0</v>
      </c>
      <c r="H142" s="84">
        <f t="shared" si="244"/>
        <v>0</v>
      </c>
      <c r="I142" s="84">
        <f t="shared" si="244"/>
        <v>0</v>
      </c>
      <c r="J142" s="84">
        <f t="shared" si="244"/>
        <v>0</v>
      </c>
      <c r="K142" s="84">
        <f t="shared" ref="K142:P142" si="245">K55</f>
        <v>0</v>
      </c>
      <c r="L142" s="84">
        <f t="shared" si="245"/>
        <v>0</v>
      </c>
      <c r="M142" s="84">
        <f t="shared" si="245"/>
        <v>0</v>
      </c>
      <c r="N142" s="84">
        <f t="shared" si="245"/>
        <v>0</v>
      </c>
      <c r="O142" s="84">
        <f t="shared" si="245"/>
        <v>0</v>
      </c>
      <c r="P142" s="84">
        <f t="shared" si="245"/>
        <v>0</v>
      </c>
      <c r="R142" s="67"/>
      <c r="S142" s="67"/>
      <c r="T142" s="67"/>
      <c r="U142" s="67"/>
      <c r="V142" s="67"/>
      <c r="W142" s="67"/>
      <c r="X142" s="67"/>
      <c r="Y142" s="67"/>
      <c r="Z142" s="67"/>
      <c r="AA142" s="67"/>
      <c r="AB142" s="67"/>
      <c r="AC142" s="67"/>
      <c r="AD142" s="67"/>
      <c r="AE142" s="67"/>
      <c r="AF142" s="67"/>
      <c r="AH142" s="84">
        <f>AH55</f>
        <v>0</v>
      </c>
      <c r="AI142" s="84">
        <f>AI55</f>
        <v>0</v>
      </c>
      <c r="AJ142" s="84">
        <f>AJ55</f>
        <v>0</v>
      </c>
      <c r="AK142" s="84">
        <f t="shared" ref="AK142:AP142" si="246">AK55</f>
        <v>0</v>
      </c>
      <c r="AL142" s="84">
        <f t="shared" si="246"/>
        <v>0</v>
      </c>
      <c r="AM142" s="84">
        <f t="shared" si="246"/>
        <v>0</v>
      </c>
      <c r="AN142" s="84">
        <f t="shared" si="246"/>
        <v>0</v>
      </c>
      <c r="AO142" s="84">
        <f t="shared" si="246"/>
        <v>0</v>
      </c>
      <c r="AP142" s="84">
        <f t="shared" si="246"/>
        <v>0</v>
      </c>
      <c r="AQ142" s="84">
        <f t="shared" ref="AQ142:AV142" si="247">AQ55</f>
        <v>0</v>
      </c>
      <c r="AR142" s="84">
        <f t="shared" si="247"/>
        <v>0</v>
      </c>
      <c r="AS142" s="84">
        <f t="shared" si="247"/>
        <v>0</v>
      </c>
      <c r="AT142" s="84">
        <f t="shared" si="247"/>
        <v>0</v>
      </c>
      <c r="AU142" s="84">
        <f t="shared" si="247"/>
        <v>0</v>
      </c>
      <c r="AV142" s="84">
        <f t="shared" si="247"/>
        <v>0</v>
      </c>
    </row>
    <row r="143" spans="1:48" s="63" customFormat="1" x14ac:dyDescent="0.25">
      <c r="A143" s="70" t="s">
        <v>269</v>
      </c>
      <c r="B143" s="65">
        <f>SUM(B140:B142)</f>
        <v>80677</v>
      </c>
      <c r="C143" s="65">
        <f>SUM(C140:C142)</f>
        <v>18208</v>
      </c>
      <c r="D143" s="65">
        <f>SUM(D140:D142)</f>
        <v>20226</v>
      </c>
      <c r="E143" s="65">
        <f t="shared" ref="E143:J143" si="248">SUM(E140:E142)</f>
        <v>10665</v>
      </c>
      <c r="F143" s="65">
        <f t="shared" si="248"/>
        <v>2867</v>
      </c>
      <c r="G143" s="65">
        <f t="shared" si="248"/>
        <v>449</v>
      </c>
      <c r="H143" s="65">
        <f t="shared" si="248"/>
        <v>451</v>
      </c>
      <c r="I143" s="65">
        <f t="shared" si="248"/>
        <v>309</v>
      </c>
      <c r="J143" s="65">
        <f t="shared" si="248"/>
        <v>377</v>
      </c>
      <c r="K143" s="65">
        <f t="shared" ref="K143:P143" si="249">SUM(K140:K142)</f>
        <v>377</v>
      </c>
      <c r="L143" s="65">
        <f t="shared" si="249"/>
        <v>257</v>
      </c>
      <c r="M143" s="65">
        <f t="shared" si="249"/>
        <v>254</v>
      </c>
      <c r="N143" s="65">
        <f t="shared" si="249"/>
        <v>596</v>
      </c>
      <c r="O143" s="65">
        <f t="shared" si="249"/>
        <v>156</v>
      </c>
      <c r="P143" s="65">
        <f t="shared" si="249"/>
        <v>130</v>
      </c>
      <c r="R143" s="65"/>
      <c r="S143" s="65"/>
      <c r="T143" s="65"/>
      <c r="U143" s="65"/>
      <c r="V143" s="65"/>
      <c r="W143" s="65"/>
      <c r="X143" s="65"/>
      <c r="Y143" s="65"/>
      <c r="Z143" s="65"/>
      <c r="AA143" s="65"/>
      <c r="AB143" s="65"/>
      <c r="AC143" s="65"/>
      <c r="AD143" s="65"/>
      <c r="AE143" s="65"/>
      <c r="AF143" s="65"/>
      <c r="AH143" s="65">
        <f>SUM(AH140:AH142)</f>
        <v>80677</v>
      </c>
      <c r="AI143" s="65">
        <f>SUM(AI140:AI142)</f>
        <v>84170.780343138962</v>
      </c>
      <c r="AJ143" s="65">
        <f>SUM(AJ140:AJ142)</f>
        <v>85623.743628586904</v>
      </c>
      <c r="AK143" s="65">
        <f t="shared" ref="AK143:AP143" si="250">SUM(AK140:AK142)</f>
        <v>83445.718289695651</v>
      </c>
      <c r="AL143" s="65">
        <f t="shared" si="250"/>
        <v>78172.849531665532</v>
      </c>
      <c r="AM143" s="65">
        <f t="shared" si="250"/>
        <v>78520.02941591118</v>
      </c>
      <c r="AN143" s="65">
        <f t="shared" si="250"/>
        <v>73193.396370077535</v>
      </c>
      <c r="AO143" s="65">
        <f t="shared" si="250"/>
        <v>58748.614999107507</v>
      </c>
      <c r="AP143" s="65">
        <f t="shared" si="250"/>
        <v>51748.111645969715</v>
      </c>
      <c r="AQ143" s="65">
        <f t="shared" ref="AQ143:AV143" si="251">SUM(AQ140:AQ142)</f>
        <v>49911.883638509469</v>
      </c>
      <c r="AR143" s="65">
        <f t="shared" si="251"/>
        <v>49096.212962919366</v>
      </c>
      <c r="AS143" s="65">
        <f t="shared" si="251"/>
        <v>48215.653549560637</v>
      </c>
      <c r="AT143" s="65">
        <f t="shared" si="251"/>
        <v>44455.151161611415</v>
      </c>
      <c r="AU143" s="65">
        <f t="shared" si="251"/>
        <v>32545.839704452363</v>
      </c>
      <c r="AV143" s="65">
        <f t="shared" si="251"/>
        <v>29905.325091278151</v>
      </c>
    </row>
    <row r="144" spans="1:48" s="63" customFormat="1" x14ac:dyDescent="0.25">
      <c r="A144" s="77" t="s">
        <v>271</v>
      </c>
    </row>
    <row r="145" spans="1:48" s="63" customFormat="1" x14ac:dyDescent="0.25">
      <c r="A145" s="66" t="s">
        <v>88</v>
      </c>
      <c r="B145" s="67">
        <f>B51</f>
        <v>54623</v>
      </c>
      <c r="C145" s="67">
        <f>C51</f>
        <v>57069</v>
      </c>
      <c r="D145" s="67">
        <f>D51</f>
        <v>58546</v>
      </c>
      <c r="E145" s="67">
        <f t="shared" ref="E145:J145" si="252">E51</f>
        <v>59713</v>
      </c>
      <c r="F145" s="67">
        <f t="shared" si="252"/>
        <v>61236</v>
      </c>
      <c r="G145" s="67">
        <f t="shared" si="252"/>
        <v>58049</v>
      </c>
      <c r="H145" s="67">
        <f t="shared" si="252"/>
        <v>51556</v>
      </c>
      <c r="I145" s="67">
        <f t="shared" si="252"/>
        <v>45248</v>
      </c>
      <c r="J145" s="67">
        <f t="shared" si="252"/>
        <v>43835</v>
      </c>
      <c r="K145" s="67">
        <f t="shared" ref="K145:P145" si="253">K51</f>
        <v>44104</v>
      </c>
      <c r="L145" s="67">
        <f t="shared" si="253"/>
        <v>44172</v>
      </c>
      <c r="M145" s="67">
        <f t="shared" si="253"/>
        <v>40613</v>
      </c>
      <c r="N145" s="67">
        <f t="shared" si="253"/>
        <v>36950</v>
      </c>
      <c r="O145" s="67">
        <f t="shared" si="253"/>
        <v>32093</v>
      </c>
      <c r="P145" s="67">
        <f t="shared" si="253"/>
        <v>27779</v>
      </c>
      <c r="R145" s="67"/>
      <c r="S145" s="67"/>
      <c r="T145" s="67"/>
      <c r="U145" s="67"/>
      <c r="V145" s="67"/>
      <c r="W145" s="67"/>
      <c r="X145" s="67"/>
      <c r="Y145" s="67"/>
      <c r="Z145" s="67"/>
      <c r="AA145" s="67"/>
      <c r="AB145" s="67"/>
      <c r="AC145" s="67"/>
      <c r="AD145" s="67"/>
      <c r="AE145" s="67"/>
      <c r="AF145" s="67"/>
      <c r="AH145" s="67">
        <f>AH51</f>
        <v>54623</v>
      </c>
      <c r="AI145" s="67">
        <f>AI51</f>
        <v>57069</v>
      </c>
      <c r="AJ145" s="67">
        <f>AJ51</f>
        <v>58546</v>
      </c>
      <c r="AK145" s="67">
        <f t="shared" ref="AK145:AP145" si="254">AK51</f>
        <v>59713</v>
      </c>
      <c r="AL145" s="67">
        <f t="shared" si="254"/>
        <v>61236</v>
      </c>
      <c r="AM145" s="67">
        <f t="shared" si="254"/>
        <v>58049</v>
      </c>
      <c r="AN145" s="67">
        <f t="shared" si="254"/>
        <v>51556</v>
      </c>
      <c r="AO145" s="67">
        <f t="shared" si="254"/>
        <v>45248</v>
      </c>
      <c r="AP145" s="67">
        <f t="shared" si="254"/>
        <v>43835</v>
      </c>
      <c r="AQ145" s="67">
        <f t="shared" ref="AQ145:AV145" si="255">AQ51</f>
        <v>44104</v>
      </c>
      <c r="AR145" s="67">
        <f t="shared" si="255"/>
        <v>44172</v>
      </c>
      <c r="AS145" s="67">
        <f t="shared" si="255"/>
        <v>40613</v>
      </c>
      <c r="AT145" s="67">
        <f t="shared" si="255"/>
        <v>36950</v>
      </c>
      <c r="AU145" s="67">
        <f t="shared" si="255"/>
        <v>32093</v>
      </c>
      <c r="AV145" s="67">
        <f t="shared" si="255"/>
        <v>27779</v>
      </c>
    </row>
    <row r="146" spans="1:48" s="63" customFormat="1" x14ac:dyDescent="0.25">
      <c r="A146" s="68" t="s">
        <v>89</v>
      </c>
      <c r="B146" s="67">
        <f>B53</f>
        <v>0</v>
      </c>
      <c r="C146" s="67">
        <f>C53</f>
        <v>0</v>
      </c>
      <c r="D146" s="67">
        <f>D53</f>
        <v>0</v>
      </c>
      <c r="E146" s="67">
        <f t="shared" ref="E146:J146" si="256">E53</f>
        <v>0</v>
      </c>
      <c r="F146" s="67">
        <f t="shared" si="256"/>
        <v>0</v>
      </c>
      <c r="G146" s="67">
        <f t="shared" si="256"/>
        <v>0</v>
      </c>
      <c r="H146" s="67">
        <f t="shared" si="256"/>
        <v>0</v>
      </c>
      <c r="I146" s="67">
        <f t="shared" si="256"/>
        <v>0</v>
      </c>
      <c r="J146" s="67">
        <f t="shared" si="256"/>
        <v>0</v>
      </c>
      <c r="K146" s="67">
        <f t="shared" ref="K146:P146" si="257">K53</f>
        <v>0</v>
      </c>
      <c r="L146" s="67">
        <f t="shared" si="257"/>
        <v>0</v>
      </c>
      <c r="M146" s="67">
        <f t="shared" si="257"/>
        <v>0</v>
      </c>
      <c r="N146" s="67">
        <f t="shared" si="257"/>
        <v>0</v>
      </c>
      <c r="O146" s="67">
        <f t="shared" si="257"/>
        <v>0</v>
      </c>
      <c r="P146" s="67">
        <f t="shared" si="257"/>
        <v>0</v>
      </c>
      <c r="R146" s="67"/>
      <c r="S146" s="67"/>
      <c r="T146" s="67"/>
      <c r="U146" s="67"/>
      <c r="V146" s="67"/>
      <c r="W146" s="67"/>
      <c r="X146" s="67"/>
      <c r="Y146" s="67"/>
      <c r="Z146" s="67"/>
      <c r="AA146" s="67"/>
      <c r="AB146" s="67"/>
      <c r="AC146" s="67"/>
      <c r="AD146" s="67"/>
      <c r="AE146" s="67"/>
      <c r="AF146" s="67"/>
      <c r="AH146" s="67">
        <f>AH53</f>
        <v>0</v>
      </c>
      <c r="AI146" s="67">
        <f>AI53</f>
        <v>0</v>
      </c>
      <c r="AJ146" s="67">
        <f>AJ53</f>
        <v>0</v>
      </c>
      <c r="AK146" s="67">
        <f t="shared" ref="AK146:AP146" si="258">AK53</f>
        <v>0</v>
      </c>
      <c r="AL146" s="67">
        <f t="shared" si="258"/>
        <v>0</v>
      </c>
      <c r="AM146" s="67">
        <f t="shared" si="258"/>
        <v>0</v>
      </c>
      <c r="AN146" s="67">
        <f t="shared" si="258"/>
        <v>0</v>
      </c>
      <c r="AO146" s="67">
        <f t="shared" si="258"/>
        <v>0</v>
      </c>
      <c r="AP146" s="67">
        <f t="shared" si="258"/>
        <v>0</v>
      </c>
      <c r="AQ146" s="67">
        <f t="shared" ref="AQ146:AV146" si="259">AQ53</f>
        <v>0</v>
      </c>
      <c r="AR146" s="67">
        <f t="shared" si="259"/>
        <v>0</v>
      </c>
      <c r="AS146" s="67">
        <f t="shared" si="259"/>
        <v>0</v>
      </c>
      <c r="AT146" s="67">
        <f t="shared" si="259"/>
        <v>0</v>
      </c>
      <c r="AU146" s="67">
        <f t="shared" si="259"/>
        <v>0</v>
      </c>
      <c r="AV146" s="67">
        <f t="shared" si="259"/>
        <v>0</v>
      </c>
    </row>
    <row r="147" spans="1:48" s="63" customFormat="1" x14ac:dyDescent="0.25">
      <c r="A147" s="68" t="s">
        <v>134</v>
      </c>
      <c r="B147" s="69">
        <f>B46-B68</f>
        <v>0</v>
      </c>
      <c r="C147" s="69">
        <f>C46-C68</f>
        <v>0</v>
      </c>
      <c r="D147" s="69">
        <f>D46-D68</f>
        <v>0</v>
      </c>
      <c r="E147" s="69">
        <f t="shared" ref="E147:J147" si="260">E46-E68</f>
        <v>0</v>
      </c>
      <c r="F147" s="69">
        <f t="shared" si="260"/>
        <v>0</v>
      </c>
      <c r="G147" s="69">
        <f t="shared" si="260"/>
        <v>0</v>
      </c>
      <c r="H147" s="69">
        <f t="shared" si="260"/>
        <v>0</v>
      </c>
      <c r="I147" s="69">
        <f t="shared" si="260"/>
        <v>0</v>
      </c>
      <c r="J147" s="69">
        <f t="shared" si="260"/>
        <v>0</v>
      </c>
      <c r="K147" s="69">
        <f t="shared" ref="K147:P147" si="261">K46-K68</f>
        <v>0</v>
      </c>
      <c r="L147" s="69">
        <f t="shared" si="261"/>
        <v>0</v>
      </c>
      <c r="M147" s="69">
        <f t="shared" si="261"/>
        <v>0</v>
      </c>
      <c r="N147" s="69">
        <f t="shared" si="261"/>
        <v>0</v>
      </c>
      <c r="O147" s="69">
        <f t="shared" si="261"/>
        <v>0</v>
      </c>
      <c r="P147" s="69">
        <f t="shared" si="261"/>
        <v>0</v>
      </c>
      <c r="R147" s="69"/>
      <c r="S147" s="69"/>
      <c r="T147" s="69"/>
      <c r="U147" s="69"/>
      <c r="V147" s="69"/>
      <c r="W147" s="69"/>
      <c r="X147" s="69"/>
      <c r="Y147" s="69"/>
      <c r="Z147" s="69"/>
      <c r="AA147" s="69"/>
      <c r="AB147" s="69"/>
      <c r="AC147" s="69"/>
      <c r="AD147" s="69"/>
      <c r="AE147" s="69"/>
      <c r="AF147" s="69"/>
      <c r="AH147" s="69">
        <f>AH46-AH68</f>
        <v>0</v>
      </c>
      <c r="AI147" s="69">
        <f>AI46-AI68</f>
        <v>0</v>
      </c>
      <c r="AJ147" s="69">
        <f>AJ46-AJ68</f>
        <v>0</v>
      </c>
      <c r="AK147" s="69">
        <f t="shared" ref="AK147:AP147" si="262">AK46-AK68</f>
        <v>0</v>
      </c>
      <c r="AL147" s="69">
        <f t="shared" si="262"/>
        <v>0</v>
      </c>
      <c r="AM147" s="69">
        <f t="shared" si="262"/>
        <v>0</v>
      </c>
      <c r="AN147" s="69">
        <f t="shared" si="262"/>
        <v>0</v>
      </c>
      <c r="AO147" s="69">
        <f t="shared" si="262"/>
        <v>0</v>
      </c>
      <c r="AP147" s="69">
        <f t="shared" si="262"/>
        <v>0</v>
      </c>
      <c r="AQ147" s="69">
        <f t="shared" ref="AQ147:AV147" si="263">AQ46-AQ68</f>
        <v>0</v>
      </c>
      <c r="AR147" s="69">
        <f t="shared" si="263"/>
        <v>0</v>
      </c>
      <c r="AS147" s="69">
        <f t="shared" si="263"/>
        <v>0</v>
      </c>
      <c r="AT147" s="69">
        <f t="shared" si="263"/>
        <v>0</v>
      </c>
      <c r="AU147" s="69">
        <f t="shared" si="263"/>
        <v>0</v>
      </c>
      <c r="AV147" s="69">
        <f t="shared" si="263"/>
        <v>0</v>
      </c>
    </row>
    <row r="148" spans="1:48" s="63" customFormat="1" ht="15.75" thickBot="1" x14ac:dyDescent="0.3">
      <c r="A148" s="85" t="s">
        <v>272</v>
      </c>
      <c r="B148" s="82">
        <f>SUM(B145:B146)-B147</f>
        <v>54623</v>
      </c>
      <c r="C148" s="82">
        <f>SUM(C145:C146)-C147</f>
        <v>57069</v>
      </c>
      <c r="D148" s="82">
        <f>SUM(D145:D146)-D147</f>
        <v>58546</v>
      </c>
      <c r="E148" s="82">
        <f t="shared" ref="E148:J148" si="264">SUM(E145:E146)-E147</f>
        <v>59713</v>
      </c>
      <c r="F148" s="82">
        <f t="shared" si="264"/>
        <v>61236</v>
      </c>
      <c r="G148" s="82">
        <f t="shared" si="264"/>
        <v>58049</v>
      </c>
      <c r="H148" s="82">
        <f t="shared" si="264"/>
        <v>51556</v>
      </c>
      <c r="I148" s="82">
        <f t="shared" si="264"/>
        <v>45248</v>
      </c>
      <c r="J148" s="82">
        <f t="shared" si="264"/>
        <v>43835</v>
      </c>
      <c r="K148" s="82">
        <f t="shared" ref="K148:P148" si="265">SUM(K145:K146)-K147</f>
        <v>44104</v>
      </c>
      <c r="L148" s="82">
        <f t="shared" si="265"/>
        <v>44172</v>
      </c>
      <c r="M148" s="82">
        <f t="shared" si="265"/>
        <v>40613</v>
      </c>
      <c r="N148" s="82">
        <f t="shared" si="265"/>
        <v>36950</v>
      </c>
      <c r="O148" s="82">
        <f t="shared" si="265"/>
        <v>32093</v>
      </c>
      <c r="P148" s="82">
        <f t="shared" si="265"/>
        <v>27779</v>
      </c>
      <c r="R148" s="82"/>
      <c r="S148" s="82"/>
      <c r="T148" s="82"/>
      <c r="U148" s="82"/>
      <c r="V148" s="82"/>
      <c r="W148" s="82"/>
      <c r="X148" s="82"/>
      <c r="Y148" s="82"/>
      <c r="Z148" s="82"/>
      <c r="AA148" s="82"/>
      <c r="AB148" s="82"/>
      <c r="AC148" s="82"/>
      <c r="AD148" s="82"/>
      <c r="AE148" s="82"/>
      <c r="AF148" s="82"/>
      <c r="AH148" s="82">
        <f>SUM(AH145:AH146)-AH147</f>
        <v>54623</v>
      </c>
      <c r="AI148" s="82">
        <f>SUM(AI145:AI146)-AI147</f>
        <v>57069</v>
      </c>
      <c r="AJ148" s="82">
        <f>SUM(AJ145:AJ146)-AJ147</f>
        <v>58546</v>
      </c>
      <c r="AK148" s="82">
        <f t="shared" ref="AK148:AP148" si="266">SUM(AK145:AK146)-AK147</f>
        <v>59713</v>
      </c>
      <c r="AL148" s="82">
        <f t="shared" si="266"/>
        <v>61236</v>
      </c>
      <c r="AM148" s="82">
        <f t="shared" si="266"/>
        <v>58049</v>
      </c>
      <c r="AN148" s="82">
        <f t="shared" si="266"/>
        <v>51556</v>
      </c>
      <c r="AO148" s="82">
        <f t="shared" si="266"/>
        <v>45248</v>
      </c>
      <c r="AP148" s="82">
        <f t="shared" si="266"/>
        <v>43835</v>
      </c>
      <c r="AQ148" s="82">
        <f t="shared" ref="AQ148:AV148" si="267">SUM(AQ145:AQ146)-AQ147</f>
        <v>44104</v>
      </c>
      <c r="AR148" s="82">
        <f t="shared" si="267"/>
        <v>44172</v>
      </c>
      <c r="AS148" s="82">
        <f t="shared" si="267"/>
        <v>40613</v>
      </c>
      <c r="AT148" s="82">
        <f t="shared" si="267"/>
        <v>36950</v>
      </c>
      <c r="AU148" s="82">
        <f t="shared" si="267"/>
        <v>32093</v>
      </c>
      <c r="AV148" s="82">
        <f t="shared" si="267"/>
        <v>27779</v>
      </c>
    </row>
    <row r="149" spans="1:48" s="63" customFormat="1" ht="16.5" thickTop="1" thickBot="1" x14ac:dyDescent="0.3">
      <c r="A149" s="74" t="s">
        <v>273</v>
      </c>
      <c r="B149" s="75">
        <f>SUM(B143,B148)</f>
        <v>135300</v>
      </c>
      <c r="C149" s="75">
        <f>SUM(C143,C148)</f>
        <v>75277</v>
      </c>
      <c r="D149" s="75">
        <f>SUM(D143,D148)</f>
        <v>78772</v>
      </c>
      <c r="E149" s="75">
        <f t="shared" ref="E149:J149" si="268">SUM(E143,E148)</f>
        <v>70378</v>
      </c>
      <c r="F149" s="75">
        <f t="shared" si="268"/>
        <v>64103</v>
      </c>
      <c r="G149" s="75">
        <f t="shared" si="268"/>
        <v>58498</v>
      </c>
      <c r="H149" s="75">
        <f t="shared" si="268"/>
        <v>52007</v>
      </c>
      <c r="I149" s="75">
        <f t="shared" si="268"/>
        <v>45557</v>
      </c>
      <c r="J149" s="75">
        <f t="shared" si="268"/>
        <v>44212</v>
      </c>
      <c r="K149" s="75">
        <f t="shared" ref="K149:P149" si="269">SUM(K143,K148)</f>
        <v>44481</v>
      </c>
      <c r="L149" s="75">
        <f t="shared" si="269"/>
        <v>44429</v>
      </c>
      <c r="M149" s="75">
        <f t="shared" si="269"/>
        <v>40867</v>
      </c>
      <c r="N149" s="75">
        <f t="shared" si="269"/>
        <v>37546</v>
      </c>
      <c r="O149" s="75">
        <f t="shared" si="269"/>
        <v>32249</v>
      </c>
      <c r="P149" s="75">
        <f t="shared" si="269"/>
        <v>27909</v>
      </c>
      <c r="R149" s="75"/>
      <c r="S149" s="75"/>
      <c r="T149" s="75"/>
      <c r="U149" s="75"/>
      <c r="V149" s="75"/>
      <c r="W149" s="75"/>
      <c r="X149" s="75"/>
      <c r="Y149" s="75"/>
      <c r="Z149" s="75"/>
      <c r="AA149" s="75"/>
      <c r="AB149" s="75"/>
      <c r="AC149" s="75"/>
      <c r="AD149" s="75"/>
      <c r="AE149" s="75"/>
      <c r="AF149" s="75"/>
      <c r="AH149" s="75">
        <f>SUM(AH143,AH148)</f>
        <v>135300</v>
      </c>
      <c r="AI149" s="75">
        <f>SUM(AI143,AI148)</f>
        <v>141239.78034313896</v>
      </c>
      <c r="AJ149" s="75">
        <f>SUM(AJ143,AJ148)</f>
        <v>144169.7436285869</v>
      </c>
      <c r="AK149" s="75">
        <f t="shared" ref="AK149:AP149" si="270">SUM(AK143,AK148)</f>
        <v>143158.71828969565</v>
      </c>
      <c r="AL149" s="75">
        <f t="shared" si="270"/>
        <v>139408.84953166553</v>
      </c>
      <c r="AM149" s="75">
        <f t="shared" si="270"/>
        <v>136569.02941591118</v>
      </c>
      <c r="AN149" s="75">
        <f t="shared" si="270"/>
        <v>124749.39637007753</v>
      </c>
      <c r="AO149" s="75">
        <f t="shared" si="270"/>
        <v>103996.61499910751</v>
      </c>
      <c r="AP149" s="75">
        <f t="shared" si="270"/>
        <v>95583.111645969708</v>
      </c>
      <c r="AQ149" s="75">
        <f t="shared" ref="AQ149:AV149" si="271">SUM(AQ143,AQ148)</f>
        <v>94015.883638509462</v>
      </c>
      <c r="AR149" s="75">
        <f t="shared" si="271"/>
        <v>93268.212962919366</v>
      </c>
      <c r="AS149" s="75">
        <f t="shared" si="271"/>
        <v>88828.653549560637</v>
      </c>
      <c r="AT149" s="75">
        <f t="shared" si="271"/>
        <v>81405.151161611415</v>
      </c>
      <c r="AU149" s="75">
        <f t="shared" si="271"/>
        <v>64638.839704452359</v>
      </c>
      <c r="AV149" s="75">
        <f t="shared" si="271"/>
        <v>57684.325091278151</v>
      </c>
    </row>
    <row r="150" spans="1:48" ht="15.75" thickTop="1" x14ac:dyDescent="0.25">
      <c r="A150" s="6"/>
    </row>
    <row r="151" spans="1:48" x14ac:dyDescent="0.25">
      <c r="A151" s="6"/>
      <c r="AH151" s="46"/>
      <c r="AI151" s="46"/>
      <c r="AJ151" s="46"/>
      <c r="AK151" s="46"/>
    </row>
  </sheetData>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80"/>
  <sheetViews>
    <sheetView tabSelected="1" workbookViewId="0">
      <pane xSplit="1" ySplit="2" topLeftCell="B52" activePane="bottomRight" state="frozen"/>
      <selection pane="topRight" activeCell="B1" sqref="B1"/>
      <selection pane="bottomLeft" activeCell="A3" sqref="A3"/>
      <selection pane="bottomRight" activeCell="B80" sqref="B80"/>
    </sheetView>
  </sheetViews>
  <sheetFormatPr defaultColWidth="9.140625" defaultRowHeight="15" x14ac:dyDescent="0.25"/>
  <cols>
    <col min="1" max="1" width="41.28515625" style="4" customWidth="1"/>
    <col min="2" max="15" width="14" style="4" customWidth="1"/>
    <col min="16" max="16384" width="9.140625" style="4"/>
  </cols>
  <sheetData>
    <row r="1" spans="1:17" x14ac:dyDescent="0.25">
      <c r="A1" s="10" t="s">
        <v>104</v>
      </c>
    </row>
    <row r="2" spans="1:17" x14ac:dyDescent="0.25">
      <c r="A2" s="32" t="s">
        <v>103</v>
      </c>
      <c r="B2" s="33">
        <v>2020</v>
      </c>
      <c r="C2" s="33">
        <v>2019</v>
      </c>
      <c r="D2" s="33">
        <v>2018</v>
      </c>
      <c r="E2" s="33">
        <v>2017</v>
      </c>
      <c r="F2" s="33">
        <v>2016</v>
      </c>
      <c r="G2" s="33">
        <v>2015</v>
      </c>
      <c r="H2" s="33">
        <v>2014</v>
      </c>
      <c r="I2" s="33">
        <v>2013</v>
      </c>
      <c r="J2" s="33">
        <v>2012</v>
      </c>
      <c r="K2" s="33">
        <v>2011</v>
      </c>
      <c r="L2" s="33">
        <v>2010</v>
      </c>
      <c r="M2" s="33">
        <v>2009</v>
      </c>
      <c r="N2" s="33">
        <v>2008</v>
      </c>
      <c r="O2" s="33">
        <v>2007</v>
      </c>
    </row>
    <row r="3" spans="1:17" x14ac:dyDescent="0.25">
      <c r="A3" s="19" t="s">
        <v>104</v>
      </c>
      <c r="B3" s="34">
        <f>'Adjusted Statements'!AH114/AVERAGE('Adjusted Statements'!AH148,'Adjusted Statements'!AI148)</f>
        <v>2.2257637073380365E-2</v>
      </c>
      <c r="C3" s="34">
        <f>'Adjusted Statements'!AI114/AVERAGE('Adjusted Statements'!AI148,'Adjusted Statements'!AJ148)</f>
        <v>0.232547679799334</v>
      </c>
      <c r="D3" s="34">
        <f>'Adjusted Statements'!AJ114/AVERAGE('Adjusted Statements'!AJ148,'Adjusted Statements'!AK148)</f>
        <v>0.21397102968907228</v>
      </c>
      <c r="E3" s="34">
        <f>'Adjusted Statements'!AK114/AVERAGE('Adjusted Statements'!AK148,'Adjusted Statements'!AL148)</f>
        <v>0.26761692944960269</v>
      </c>
      <c r="F3" s="34">
        <f>'Adjusted Statements'!AL114/AVERAGE('Adjusted Statements'!AL148,'Adjusted Statements'!AM148)</f>
        <v>0.31246175126797165</v>
      </c>
      <c r="G3" s="34">
        <f>'Adjusted Statements'!AM114/AVERAGE('Adjusted Statements'!AM148,'Adjusted Statements'!AN148)</f>
        <v>0.38133296838647873</v>
      </c>
      <c r="H3" s="34">
        <f>'Adjusted Statements'!AN114/AVERAGE('Adjusted Statements'!AN148,'Adjusted Statements'!AO148)</f>
        <v>0.41271021858600887</v>
      </c>
      <c r="I3" s="34">
        <f>'Adjusted Statements'!AO114/AVERAGE('Adjusted Statements'!AO148,'Adjusted Statements'!AP148)</f>
        <v>0.38507908355129489</v>
      </c>
      <c r="J3" s="34">
        <f>'Adjusted Statements'!AP114/AVERAGE('Adjusted Statements'!AP148,'Adjusted Statements'!AQ148)</f>
        <v>0.3836068183627287</v>
      </c>
      <c r="K3" s="34">
        <f>'Adjusted Statements'!AQ114/AVERAGE('Adjusted Statements'!AQ148,'Adjusted Statements'!AR148)</f>
        <v>0.35844397118129495</v>
      </c>
      <c r="L3" s="34">
        <f>'Adjusted Statements'!AR114/AVERAGE('Adjusted Statements'!AR148,'Adjusted Statements'!AS148)</f>
        <v>0.44066757091466652</v>
      </c>
      <c r="M3" s="34">
        <f>'Adjusted Statements'!AS114/AVERAGE('Adjusted Statements'!AS148,'Adjusted Statements'!AT148)</f>
        <v>0.42246947642561533</v>
      </c>
      <c r="N3" s="34">
        <f>'Adjusted Statements'!AT114/AVERAGE('Adjusted Statements'!AT148,'Adjusted Statements'!AU148)</f>
        <v>0.44302825775241511</v>
      </c>
      <c r="O3" s="34">
        <f>'Adjusted Statements'!AU114/AVERAGE('Adjusted Statements'!AU148,'Adjusted Statements'!AV148)</f>
        <v>0.45390165686798506</v>
      </c>
      <c r="Q3" s="40"/>
    </row>
    <row r="4" spans="1:17" x14ac:dyDescent="0.25">
      <c r="A4" s="19"/>
      <c r="B4" s="34"/>
      <c r="C4" s="34"/>
      <c r="D4" s="34"/>
      <c r="E4" s="34"/>
      <c r="F4" s="34"/>
      <c r="G4" s="34"/>
      <c r="H4" s="34"/>
      <c r="I4" s="34"/>
      <c r="J4" s="34"/>
      <c r="K4" s="34"/>
      <c r="L4" s="34"/>
      <c r="M4" s="34"/>
      <c r="N4" s="34"/>
      <c r="O4" s="34"/>
      <c r="Q4" s="40"/>
    </row>
    <row r="5" spans="1:17" x14ac:dyDescent="0.25">
      <c r="A5" s="10" t="s">
        <v>301</v>
      </c>
    </row>
    <row r="6" spans="1:17" x14ac:dyDescent="0.25">
      <c r="A6" s="32" t="s">
        <v>103</v>
      </c>
      <c r="B6" s="33">
        <v>2020</v>
      </c>
      <c r="C6" s="33">
        <v>2019</v>
      </c>
      <c r="D6" s="33">
        <v>2018</v>
      </c>
      <c r="E6" s="33">
        <v>2017</v>
      </c>
      <c r="F6" s="33">
        <v>2016</v>
      </c>
      <c r="G6" s="33">
        <v>2015</v>
      </c>
      <c r="H6" s="33">
        <v>2014</v>
      </c>
      <c r="I6" s="33">
        <v>2013</v>
      </c>
      <c r="J6" s="33">
        <v>2012</v>
      </c>
      <c r="K6" s="33">
        <v>2011</v>
      </c>
      <c r="L6" s="33">
        <v>2010</v>
      </c>
      <c r="M6" s="33">
        <v>2009</v>
      </c>
      <c r="N6" s="33">
        <v>2008</v>
      </c>
      <c r="O6" s="33">
        <v>2007</v>
      </c>
    </row>
    <row r="7" spans="1:17" x14ac:dyDescent="0.25">
      <c r="A7" s="19" t="s">
        <v>105</v>
      </c>
      <c r="B7" s="34">
        <f>'Adjusted Statements'!AH114/'Adjusted Statements'!AH96</f>
        <v>6.6459570873277684E-3</v>
      </c>
      <c r="C7" s="34">
        <f>'Adjusted Statements'!AI114/'Adjusted Statements'!AI96</f>
        <v>5.7756009537926145E-2</v>
      </c>
      <c r="D7" s="34">
        <f>'Adjusted Statements'!AJ114/'Adjusted Statements'!AJ96</f>
        <v>6.0133079847908742E-2</v>
      </c>
      <c r="E7" s="34">
        <f>'Adjusted Statements'!AK114/'Adjusted Statements'!AK96</f>
        <v>8.091838163236735E-2</v>
      </c>
      <c r="F7" s="34">
        <f>'Adjusted Statements'!AL114/'Adjusted Statements'!AL96</f>
        <v>9.6927709903415565E-2</v>
      </c>
      <c r="G7" s="34">
        <f>'Adjusted Statements'!AM114/'Adjusted Statements'!AM96</f>
        <v>0.11554729875429197</v>
      </c>
      <c r="H7" s="34">
        <f>'Adjusted Statements'!AN114/'Adjusted Statements'!AN96</f>
        <v>0.13192531980795014</v>
      </c>
      <c r="I7" s="34">
        <f>'Adjusted Statements'!AO114/'Adjusted Statements'!AO96</f>
        <v>0.1334142281545091</v>
      </c>
      <c r="J7" s="34">
        <f>'Adjusted Statements'!AP114/'Adjusted Statements'!AP96</f>
        <v>0.13962863930992805</v>
      </c>
      <c r="K7" s="34">
        <f>'Adjusted Statements'!AQ114/'Adjusted Statements'!AQ96</f>
        <v>0.14382858025982051</v>
      </c>
      <c r="L7" s="34">
        <f>'Adjusted Statements'!AR114/'Adjusted Statements'!AR96</f>
        <v>0.17220209618096843</v>
      </c>
      <c r="M7" s="34">
        <f>'Adjusted Statements'!AS114/'Adjusted Statements'!AS96</f>
        <v>0.16158906433382975</v>
      </c>
      <c r="N7" s="34">
        <f>'Adjusted Statements'!AT114/'Adjusted Statements'!AT96</f>
        <v>0.17275109564903085</v>
      </c>
      <c r="O7" s="34">
        <f>'Adjusted Statements'!AU114/'Adjusted Statements'!AU96</f>
        <v>0.17343578485181119</v>
      </c>
    </row>
    <row r="8" spans="1:17" x14ac:dyDescent="0.25">
      <c r="A8" s="19" t="s">
        <v>106</v>
      </c>
      <c r="B8" s="35">
        <f>'Adjusted Statements'!AH96/AVERAGE('Adjusted Statements'!AH48,'Adjusted Statements'!AI48)</f>
        <v>1.0367032437842252</v>
      </c>
      <c r="C8" s="35">
        <f>'Adjusted Statements'!AI96/AVERAGE('Adjusted Statements'!AI48,'Adjusted Statements'!AJ48)</f>
        <v>1.255977826981074</v>
      </c>
      <c r="D8" s="35">
        <f>'Adjusted Statements'!AJ96/AVERAGE('Adjusted Statements'!AJ48,'Adjusted Statements'!AK48)</f>
        <v>1.157537109213673</v>
      </c>
      <c r="E8" s="35">
        <f>'Adjusted Statements'!AK96/AVERAGE('Adjusted Statements'!AK48,'Adjusted Statements'!AL48)</f>
        <v>1.1324370927987626</v>
      </c>
      <c r="F8" s="35">
        <f>'Adjusted Statements'!AL96/AVERAGE('Adjusted Statements'!AL48,'Adjusted Statements'!AM48)</f>
        <v>1.1384530191121647</v>
      </c>
      <c r="G8" s="35">
        <f>'Adjusted Statements'!AM96/AVERAGE('Adjusted Statements'!AM48,'Adjusted Statements'!AN48)</f>
        <v>1.1585357475641169</v>
      </c>
      <c r="H8" s="35">
        <f>'Adjusted Statements'!AN96/AVERAGE('Adjusted Statements'!AN48,'Adjusted Statements'!AO48)</f>
        <v>1.1115156167549622</v>
      </c>
      <c r="I8" s="35">
        <f>'Adjusted Statements'!AO96/AVERAGE('Adjusted Statements'!AO48,'Adjusted Statements'!AP48)</f>
        <v>1.0910816356298745</v>
      </c>
      <c r="J8" s="35">
        <f>'Adjusted Statements'!AP96/AVERAGE('Adjusted Statements'!AP48,'Adjusted Statements'!AQ48)</f>
        <v>1.0918844886440546</v>
      </c>
      <c r="K8" s="35">
        <f>'Adjusted Statements'!AQ96/AVERAGE('Adjusted Statements'!AQ48,'Adjusted Statements'!AR48)</f>
        <v>1.0103511573160895</v>
      </c>
      <c r="L8" s="35">
        <f>'Adjusted Statements'!AR96/AVERAGE('Adjusted Statements'!AR48,'Adjusted Statements'!AS48)</f>
        <v>1.0314726103121556</v>
      </c>
      <c r="M8" s="35">
        <f>'Adjusted Statements'!AS96/AVERAGE('Adjusted Statements'!AS48,'Adjusted Statements'!AT48)</f>
        <v>1.0271452262861078</v>
      </c>
      <c r="N8" s="35">
        <f>'Adjusted Statements'!AT96/AVERAGE('Adjusted Statements'!AT48,'Adjusted Statements'!AU48)</f>
        <v>1.0463168163106797</v>
      </c>
      <c r="O8" s="35">
        <f>'Adjusted Statements'!AU96/AVERAGE('Adjusted Statements'!AU48,'Adjusted Statements'!AV48)</f>
        <v>1.1288710265329136</v>
      </c>
    </row>
    <row r="9" spans="1:17" x14ac:dyDescent="0.25">
      <c r="A9" s="19" t="s">
        <v>107</v>
      </c>
      <c r="B9" s="34">
        <f t="shared" ref="B9:G9" si="0">B7*B8</f>
        <v>6.8898852704834587E-3</v>
      </c>
      <c r="C9" s="34">
        <f t="shared" si="0"/>
        <v>7.2540267354542665E-2</v>
      </c>
      <c r="D9" s="34">
        <f t="shared" si="0"/>
        <v>6.9606271415263266E-2</v>
      </c>
      <c r="E9" s="34">
        <f t="shared" si="0"/>
        <v>9.1634976849738869E-2</v>
      </c>
      <c r="F9" s="34">
        <f t="shared" si="0"/>
        <v>0.11034764397517151</v>
      </c>
      <c r="G9" s="34">
        <f t="shared" si="0"/>
        <v>0.133865676141318</v>
      </c>
      <c r="H9" s="34">
        <f t="shared" ref="H9:O9" si="1">H7*H8</f>
        <v>0.14663705321192932</v>
      </c>
      <c r="I9" s="34">
        <f t="shared" si="1"/>
        <v>0.14556581427111903</v>
      </c>
      <c r="J9" s="34">
        <f t="shared" si="1"/>
        <v>0.15245834543298595</v>
      </c>
      <c r="K9" s="34">
        <f t="shared" si="1"/>
        <v>0.14531737252063973</v>
      </c>
      <c r="L9" s="34">
        <f t="shared" si="1"/>
        <v>0.1776217456490084</v>
      </c>
      <c r="M9" s="34">
        <f t="shared" si="1"/>
        <v>0.165975436050532</v>
      </c>
      <c r="N9" s="34">
        <f t="shared" si="1"/>
        <v>0.18075237641367567</v>
      </c>
      <c r="O9" s="34">
        <f t="shared" si="1"/>
        <v>0.19578663248320563</v>
      </c>
    </row>
    <row r="10" spans="1:17" x14ac:dyDescent="0.25">
      <c r="A10" s="19" t="s">
        <v>108</v>
      </c>
      <c r="B10" s="35">
        <f>AVERAGE('Adjusted Statements'!AH48,'Adjusted Statements'!AI48)/AVERAGE('Adjusted Statements'!AH148,'Adjusted Statements'!AI148)</f>
        <v>3.2304800732652201</v>
      </c>
      <c r="C10" s="35">
        <f>AVERAGE('Adjusted Statements'!AI48,'Adjusted Statements'!AJ48)/AVERAGE('Adjusted Statements'!AI148,'Adjusted Statements'!AJ148)</f>
        <v>3.2057736796412737</v>
      </c>
      <c r="D10" s="35">
        <f>AVERAGE('Adjusted Statements'!AJ48,'Adjusted Statements'!AK48)/AVERAGE('Adjusted Statements'!AJ148,'Adjusted Statements'!AK148)</f>
        <v>3.0740194143218069</v>
      </c>
      <c r="E10" s="35">
        <f>AVERAGE('Adjusted Statements'!AK48,'Adjusted Statements'!AL48)/AVERAGE('Adjusted Statements'!AK148,'Adjusted Statements'!AL148)</f>
        <v>2.9204670383497273</v>
      </c>
      <c r="F10" s="35">
        <f>AVERAGE('Adjusted Statements'!AL48,'Adjusted Statements'!AM48)/AVERAGE('Adjusted Statements'!AL148,'Adjusted Statements'!AM148)</f>
        <v>2.8316123481374587</v>
      </c>
      <c r="G10" s="35">
        <f>AVERAGE('Adjusted Statements'!AM48,'Adjusted Statements'!AN48)/AVERAGE('Adjusted Statements'!AM148,'Adjusted Statements'!AN148)</f>
        <v>2.8486239294374225</v>
      </c>
      <c r="H10" s="35">
        <f>AVERAGE('Adjusted Statements'!AN48,'Adjusted Statements'!AO48)/AVERAGE('Adjusted Statements'!AN148,'Adjusted Statements'!AO148)</f>
        <v>2.8145015843269396</v>
      </c>
      <c r="I10" s="35">
        <f>AVERAGE('Adjusted Statements'!AO48,'Adjusted Statements'!AP48)/AVERAGE('Adjusted Statements'!AO148,'Adjusted Statements'!AP148)</f>
        <v>2.6453950433312441</v>
      </c>
      <c r="J10" s="35">
        <f>AVERAGE('Adjusted Statements'!AP48,'Adjusted Statements'!AQ48)/AVERAGE('Adjusted Statements'!AP148,'Adjusted Statements'!AQ148)</f>
        <v>2.5161418174470844</v>
      </c>
      <c r="K10" s="35">
        <f>AVERAGE('Adjusted Statements'!AQ48,'Adjusted Statements'!AR48)/AVERAGE('Adjusted Statements'!AQ148,'Adjusted Statements'!AR148)</f>
        <v>2.4666284902060447</v>
      </c>
      <c r="L10" s="35">
        <f>AVERAGE('Adjusted Statements'!AR48,'Adjusted Statements'!AS48)/AVERAGE('Adjusted Statements'!AR148,'Adjusted Statements'!AS148)</f>
        <v>2.4809325530751902</v>
      </c>
      <c r="M10" s="35">
        <f>AVERAGE('Adjusted Statements'!AS48,'Adjusted Statements'!AT48)/AVERAGE('Adjusted Statements'!AS148,'Adjusted Statements'!AT148)</f>
        <v>2.5453734991061721</v>
      </c>
      <c r="N10" s="35">
        <f>AVERAGE('Adjusted Statements'!AT48,'Adjusted Statements'!AU48)/AVERAGE('Adjusted Statements'!AT148,'Adjusted Statements'!AU148)</f>
        <v>2.4510231430567</v>
      </c>
      <c r="O10" s="35">
        <f>AVERAGE('Adjusted Statements'!AU48,'Adjusted Statements'!AV48)/AVERAGE('Adjusted Statements'!AU148,'Adjusted Statements'!AV148)</f>
        <v>2.3183485568501219</v>
      </c>
    </row>
    <row r="11" spans="1:17" x14ac:dyDescent="0.25">
      <c r="A11" s="19" t="s">
        <v>109</v>
      </c>
      <c r="B11" s="34">
        <f t="shared" ref="B11:G11" si="2">B9*B10</f>
        <v>2.2257637073380365E-2</v>
      </c>
      <c r="C11" s="34">
        <f t="shared" si="2"/>
        <v>0.232547679799334</v>
      </c>
      <c r="D11" s="34">
        <f t="shared" si="2"/>
        <v>0.21397102968907231</v>
      </c>
      <c r="E11" s="34">
        <f t="shared" si="2"/>
        <v>0.26761692944960269</v>
      </c>
      <c r="F11" s="34">
        <f t="shared" si="2"/>
        <v>0.31246175126797171</v>
      </c>
      <c r="G11" s="34">
        <f t="shared" si="2"/>
        <v>0.38133296838647868</v>
      </c>
      <c r="H11" s="34">
        <f t="shared" ref="H11:O11" si="3">H9*H10</f>
        <v>0.41271021858600881</v>
      </c>
      <c r="I11" s="34">
        <f t="shared" si="3"/>
        <v>0.38507908355129478</v>
      </c>
      <c r="J11" s="34">
        <f t="shared" si="3"/>
        <v>0.38360681836272864</v>
      </c>
      <c r="K11" s="34">
        <f t="shared" si="3"/>
        <v>0.35844397118129495</v>
      </c>
      <c r="L11" s="34">
        <f t="shared" si="3"/>
        <v>0.44066757091466646</v>
      </c>
      <c r="M11" s="34">
        <f t="shared" si="3"/>
        <v>0.42246947642561533</v>
      </c>
      <c r="N11" s="34">
        <f t="shared" si="3"/>
        <v>0.44302825775241506</v>
      </c>
      <c r="O11" s="34">
        <f t="shared" si="3"/>
        <v>0.45390165686798495</v>
      </c>
    </row>
    <row r="13" spans="1:17" x14ac:dyDescent="0.25">
      <c r="A13" s="10" t="s">
        <v>302</v>
      </c>
    </row>
    <row r="14" spans="1:17" x14ac:dyDescent="0.25">
      <c r="A14" s="32" t="s">
        <v>103</v>
      </c>
      <c r="B14" s="33">
        <v>2020</v>
      </c>
      <c r="C14" s="33">
        <v>2019</v>
      </c>
      <c r="D14" s="33">
        <v>2018</v>
      </c>
      <c r="E14" s="33">
        <v>2017</v>
      </c>
      <c r="F14" s="33">
        <v>2016</v>
      </c>
      <c r="G14" s="33">
        <v>2015</v>
      </c>
      <c r="H14" s="33">
        <v>2014</v>
      </c>
      <c r="I14" s="33">
        <v>2013</v>
      </c>
      <c r="J14" s="33">
        <v>2012</v>
      </c>
      <c r="K14" s="33">
        <v>2011</v>
      </c>
      <c r="L14" s="33">
        <v>2010</v>
      </c>
      <c r="M14" s="33">
        <v>2009</v>
      </c>
      <c r="N14" s="33">
        <v>2008</v>
      </c>
      <c r="O14" s="33">
        <v>2007</v>
      </c>
    </row>
    <row r="15" spans="1:17" x14ac:dyDescent="0.25">
      <c r="A15" s="19" t="s">
        <v>275</v>
      </c>
      <c r="B15" s="34">
        <f>('Adjusted Statements'!AH101)/'Adjusted Statements'!AH96</f>
        <v>1.1041592035544908E-2</v>
      </c>
      <c r="C15" s="34">
        <f>('Adjusted Statements'!AI101)/'Adjusted Statements'!AI96</f>
        <v>6.2041996092912957E-2</v>
      </c>
      <c r="D15" s="34">
        <f>('Adjusted Statements'!AJ101)/'Adjusted Statements'!AJ96</f>
        <v>6.5040015234407098E-2</v>
      </c>
      <c r="E15" s="34">
        <f>('Adjusted Statements'!AK101)/'Adjusted Statements'!AK96</f>
        <v>8.6053681596424722E-2</v>
      </c>
      <c r="F15" s="34">
        <f>('Adjusted Statements'!AL101)/'Adjusted Statements'!AL96</f>
        <v>0.10293399888334882</v>
      </c>
      <c r="G15" s="34">
        <f>('Adjusted Statements'!AM101)/'Adjusted Statements'!AM96</f>
        <v>0.12030466664568121</v>
      </c>
      <c r="H15" s="34">
        <f>('Adjusted Statements'!AN101)/'Adjusted Statements'!AN96</f>
        <v>0.13677385858898408</v>
      </c>
      <c r="I15" s="34">
        <f>('Adjusted Statements'!AO101)/'Adjusted Statements'!AO96</f>
        <v>0.13714165259603417</v>
      </c>
      <c r="J15" s="34">
        <f>('Adjusted Statements'!AP101)/'Adjusted Statements'!AP96</f>
        <v>0.14621237506709997</v>
      </c>
      <c r="K15" s="34">
        <f>('Adjusted Statements'!AQ101)/'Adjusted Statements'!AQ96</f>
        <v>0.14941306737972893</v>
      </c>
      <c r="L15" s="34">
        <f>('Adjusted Statements'!AR101)/'Adjusted Statements'!AR96</f>
        <v>0.17985064046268817</v>
      </c>
      <c r="M15" s="34">
        <f>('Adjusted Statements'!AS101)/'Adjusted Statements'!AS96</f>
        <v>0.17444732205450622</v>
      </c>
      <c r="N15" s="34">
        <f>('Adjusted Statements'!AT101)/'Adjusted Statements'!AT96</f>
        <v>0.17678909905900997</v>
      </c>
      <c r="O15" s="34">
        <f>('Adjusted Statements'!AU101)/'Adjusted Statements'!AU96</f>
        <v>0.1783075370649643</v>
      </c>
    </row>
    <row r="16" spans="1:17" x14ac:dyDescent="0.25">
      <c r="A16" s="19" t="s">
        <v>276</v>
      </c>
      <c r="B16" s="35">
        <f>'Adjusted Statements'!AH96/AVERAGE('Adjusted Statements'!AH124+'Adjusted Statements'!AH131,'Adjusted Statements'!AI124+'Adjusted Statements'!AI131)</f>
        <v>1.4092516257447296</v>
      </c>
      <c r="C16" s="35">
        <f>'Adjusted Statements'!AI96/AVERAGE('Adjusted Statements'!AI124+'Adjusted Statements'!AI131,'Adjusted Statements'!AJ124+'Adjusted Statements'!AJ131)</f>
        <v>1.6580868660524084</v>
      </c>
      <c r="D16" s="35">
        <f>'Adjusted Statements'!AJ96/AVERAGE('Adjusted Statements'!AJ124+'Adjusted Statements'!AJ131,'Adjusted Statements'!AK124+'Adjusted Statements'!AK131)</f>
        <v>1.4824393891062488</v>
      </c>
      <c r="E16" s="35">
        <f>'Adjusted Statements'!AK96/AVERAGE('Adjusted Statements'!AK124+'Adjusted Statements'!AK131,'Adjusted Statements'!AL124+'Adjusted Statements'!AL131)</f>
        <v>1.4259794174209708</v>
      </c>
      <c r="F16" s="35">
        <f>'Adjusted Statements'!AL96/AVERAGE('Adjusted Statements'!AL124+'Adjusted Statements'!AL131,'Adjusted Statements'!AM124+'Adjusted Statements'!AM131)</f>
        <v>1.423172527692433</v>
      </c>
      <c r="G16" s="35">
        <f>'Adjusted Statements'!AM96/AVERAGE('Adjusted Statements'!AM124+'Adjusted Statements'!AM131,'Adjusted Statements'!AN124+'Adjusted Statements'!AN131)</f>
        <v>1.4661328956182991</v>
      </c>
      <c r="H16" s="35">
        <f>'Adjusted Statements'!AN96/AVERAGE('Adjusted Statements'!AN124+'Adjusted Statements'!AN131,'Adjusted Statements'!AO124+'Adjusted Statements'!AO131)</f>
        <v>1.4597412051329022</v>
      </c>
      <c r="I16" s="35">
        <f>'Adjusted Statements'!AO96/AVERAGE('Adjusted Statements'!AO124+'Adjusted Statements'!AO131,'Adjusted Statements'!AP124+'Adjusted Statements'!AP131)</f>
        <v>1.4576704739269826</v>
      </c>
      <c r="J16" s="35">
        <f>'Adjusted Statements'!AP96/AVERAGE('Adjusted Statements'!AP124+'Adjusted Statements'!AP131,'Adjusted Statements'!AQ124+'Adjusted Statements'!AQ131)</f>
        <v>1.4961213048254096</v>
      </c>
      <c r="K16" s="35">
        <f>'Adjusted Statements'!AQ96/AVERAGE('Adjusted Statements'!AQ124+'Adjusted Statements'!AQ131,'Adjusted Statements'!AR124+'Adjusted Statements'!AR131)</f>
        <v>1.4574500550738783</v>
      </c>
      <c r="L16" s="35">
        <f>'Adjusted Statements'!AR96/AVERAGE('Adjusted Statements'!AR124+'Adjusted Statements'!AR131,'Adjusted Statements'!AS124+'Adjusted Statements'!AS131)</f>
        <v>1.4962484499381745</v>
      </c>
      <c r="M16" s="35">
        <f>'Adjusted Statements'!AS96/AVERAGE('Adjusted Statements'!AS124+'Adjusted Statements'!AS131,'Adjusted Statements'!AT124+'Adjusted Statements'!AT131)</f>
        <v>1.509722434494611</v>
      </c>
      <c r="N16" s="35">
        <f>'Adjusted Statements'!AT96/AVERAGE('Adjusted Statements'!AT124+'Adjusted Statements'!AT131,'Adjusted Statements'!AU124+'Adjusted Statements'!AU131)</f>
        <v>1.6101280880940636</v>
      </c>
      <c r="O16" s="35">
        <f>'Adjusted Statements'!AU96/AVERAGE('Adjusted Statements'!AU124+'Adjusted Statements'!AU131,'Adjusted Statements'!AV124+'Adjusted Statements'!AV131)</f>
        <v>1.7475568265956769</v>
      </c>
    </row>
    <row r="17" spans="1:15" x14ac:dyDescent="0.25">
      <c r="A17" s="19" t="s">
        <v>274</v>
      </c>
      <c r="B17" s="34">
        <f t="shared" ref="B17:G17" si="4">B15*B16</f>
        <v>1.556038152690172E-2</v>
      </c>
      <c r="C17" s="34">
        <f t="shared" si="4"/>
        <v>0.10287101886533381</v>
      </c>
      <c r="D17" s="34">
        <f t="shared" si="4"/>
        <v>9.6417880451555582E-2</v>
      </c>
      <c r="E17" s="34">
        <f t="shared" si="4"/>
        <v>0.12271077874979944</v>
      </c>
      <c r="F17" s="34">
        <f t="shared" si="4"/>
        <v>0.14649283937630561</v>
      </c>
      <c r="G17" s="34">
        <f t="shared" si="4"/>
        <v>0.17638262926562678</v>
      </c>
      <c r="H17" s="34">
        <f t="shared" ref="H17:O17" si="5">H15*H16</f>
        <v>0.19965443716736075</v>
      </c>
      <c r="I17" s="34">
        <f t="shared" si="5"/>
        <v>0.19990733773479072</v>
      </c>
      <c r="J17" s="34">
        <f t="shared" si="5"/>
        <v>0.2187514493670118</v>
      </c>
      <c r="K17" s="34">
        <f t="shared" si="5"/>
        <v>0.217762083281343</v>
      </c>
      <c r="L17" s="34">
        <f t="shared" si="5"/>
        <v>0.26910124201268509</v>
      </c>
      <c r="M17" s="34">
        <f t="shared" si="5"/>
        <v>0.26336703574319459</v>
      </c>
      <c r="N17" s="34">
        <f t="shared" si="5"/>
        <v>0.28465309406375572</v>
      </c>
      <c r="O17" s="34">
        <f t="shared" si="5"/>
        <v>0.31160255363134004</v>
      </c>
    </row>
    <row r="18" spans="1:15" x14ac:dyDescent="0.25">
      <c r="A18" s="10"/>
      <c r="B18" s="34"/>
      <c r="C18" s="34"/>
      <c r="D18" s="34"/>
      <c r="E18" s="34"/>
      <c r="F18" s="34"/>
      <c r="G18" s="34"/>
      <c r="H18" s="34"/>
      <c r="I18" s="34"/>
      <c r="J18" s="34"/>
      <c r="K18" s="34"/>
      <c r="L18" s="34"/>
      <c r="M18" s="34"/>
      <c r="N18" s="34"/>
      <c r="O18" s="34"/>
    </row>
    <row r="19" spans="1:15" x14ac:dyDescent="0.25">
      <c r="A19" s="10" t="s">
        <v>303</v>
      </c>
    </row>
    <row r="20" spans="1:15" x14ac:dyDescent="0.25">
      <c r="A20" s="32"/>
      <c r="B20" s="33">
        <v>2020</v>
      </c>
      <c r="C20" s="33">
        <v>2019</v>
      </c>
      <c r="D20" s="33">
        <v>2018</v>
      </c>
      <c r="E20" s="33">
        <v>2017</v>
      </c>
      <c r="F20" s="33">
        <v>2016</v>
      </c>
      <c r="G20" s="33">
        <v>2015</v>
      </c>
      <c r="H20" s="33">
        <v>2014</v>
      </c>
      <c r="I20" s="33">
        <v>2013</v>
      </c>
      <c r="J20" s="33">
        <v>2012</v>
      </c>
      <c r="K20" s="33">
        <v>2011</v>
      </c>
      <c r="L20" s="33">
        <v>2010</v>
      </c>
      <c r="M20" s="33">
        <v>2009</v>
      </c>
      <c r="N20" s="33">
        <v>2008</v>
      </c>
      <c r="O20" s="33">
        <v>2007</v>
      </c>
    </row>
    <row r="21" spans="1:15" x14ac:dyDescent="0.25">
      <c r="A21" s="9" t="s">
        <v>110</v>
      </c>
    </row>
    <row r="22" spans="1:15" x14ac:dyDescent="0.25">
      <c r="A22" s="19" t="s">
        <v>231</v>
      </c>
      <c r="B22" s="34">
        <f>'Adjusted Statements'!AH6/'Adjusted Statements'!$AH$6</f>
        <v>1</v>
      </c>
      <c r="C22" s="34">
        <f>'Adjusted Statements'!AI6/'Adjusted Statements'!$AI$6</f>
        <v>1</v>
      </c>
      <c r="D22" s="34">
        <f>'Adjusted Statements'!AJ6/'Adjusted Statements'!$AJ$6</f>
        <v>1</v>
      </c>
      <c r="E22" s="34">
        <f>'Adjusted Statements'!$AK$6/'Adjusted Statements'!$AK$6</f>
        <v>1</v>
      </c>
      <c r="F22" s="34">
        <f>'Adjusted Statements'!AL6/'Adjusted Statements'!$AL$6</f>
        <v>1</v>
      </c>
      <c r="G22" s="34">
        <f>'Adjusted Statements'!AM6/'Adjusted Statements'!$AM$6</f>
        <v>1</v>
      </c>
      <c r="H22" s="34">
        <f>'Adjusted Statements'!AN6/'Adjusted Statements'!$AN$6</f>
        <v>1</v>
      </c>
      <c r="I22" s="34">
        <f>'Adjusted Statements'!AO6/'Adjusted Statements'!$AO$6</f>
        <v>1</v>
      </c>
      <c r="J22" s="34">
        <f>'Adjusted Statements'!AP6/'Adjusted Statements'!$AP$6</f>
        <v>1</v>
      </c>
      <c r="K22" s="34">
        <f>'Adjusted Statements'!AQ6/'Adjusted Statements'!$AQ$6</f>
        <v>1</v>
      </c>
      <c r="L22" s="34">
        <f>'Adjusted Statements'!AR6/'Adjusted Statements'!$AR$6</f>
        <v>1</v>
      </c>
      <c r="M22" s="34">
        <f>'Adjusted Statements'!AS6/'Adjusted Statements'!$AS$6</f>
        <v>1</v>
      </c>
      <c r="N22" s="34">
        <f>'Adjusted Statements'!AT6/'Adjusted Statements'!$AT$6</f>
        <v>1</v>
      </c>
      <c r="O22" s="34">
        <f>'Adjusted Statements'!AU6/'Adjusted Statements'!$AU$6</f>
        <v>1</v>
      </c>
    </row>
    <row r="23" spans="1:15" x14ac:dyDescent="0.25">
      <c r="A23" s="19" t="s">
        <v>143</v>
      </c>
      <c r="B23" s="34">
        <f>'Adjusted Statements'!AH7/'Adjusted Statements'!AH6</f>
        <v>-0.98339312734252615</v>
      </c>
      <c r="C23" s="34">
        <f>'Adjusted Statements'!AI7/'Adjusted Statements'!AI6</f>
        <v>-0.91978709427263972</v>
      </c>
      <c r="D23" s="34">
        <f>'Adjusted Statements'!AJ7/'Adjusted Statements'!AJ6</f>
        <v>-0.91937920928805172</v>
      </c>
      <c r="E23" s="34">
        <f>'Adjusted Statements'!AK7/'Adjusted Statements'!AK6</f>
        <v>-0.88937336295574521</v>
      </c>
      <c r="F23" s="34">
        <f>'Adjusted Statements'!AL7/'Adjusted Statements'!AL6</f>
        <v>-0.86727037332229606</v>
      </c>
      <c r="G23" s="34">
        <f>'Adjusted Statements'!AM7/'Adjusted Statements'!AM6</f>
        <v>-0.84327685055909529</v>
      </c>
      <c r="H23" s="34">
        <f>'Adjusted Statements'!AN7/'Adjusted Statements'!AN6</f>
        <v>-0.82276839818661296</v>
      </c>
      <c r="I23" s="34">
        <f>'Adjusted Statements'!AO7/'Adjusted Statements'!AO6</f>
        <v>-0.82000617938854059</v>
      </c>
      <c r="J23" s="34">
        <f>'Adjusted Statements'!AP7/'Adjusted Statements'!AP6</f>
        <v>-0.80658684031794714</v>
      </c>
      <c r="K23" s="34">
        <f>'Adjusted Statements'!AQ7/'Adjusted Statements'!AQ6</f>
        <v>-0.80203912796514742</v>
      </c>
      <c r="L23" s="34">
        <f>'Adjusted Statements'!AR7/'Adjusted Statements'!AR6</f>
        <v>-0.75909745828137498</v>
      </c>
      <c r="M23" s="34">
        <f>'Adjusted Statements'!AS7/'Adjusted Statements'!AS6</f>
        <v>-0.76414795612297703</v>
      </c>
      <c r="N23" s="34">
        <f>'Adjusted Statements'!AT7/'Adjusted Statements'!AT6</f>
        <v>-0.75504317776666641</v>
      </c>
      <c r="O23" s="34">
        <f>'Adjusted Statements'!AU7/'Adjusted Statements'!AU6</f>
        <v>-0.74854983912367901</v>
      </c>
    </row>
    <row r="24" spans="1:15" x14ac:dyDescent="0.25">
      <c r="A24" s="19" t="s">
        <v>246</v>
      </c>
      <c r="B24" s="38">
        <f>'Adjusted Statements'!AH10/'Adjusted Statements'!AH6</f>
        <v>0</v>
      </c>
      <c r="C24" s="38">
        <f>'Adjusted Statements'!AI10/'Adjusted Statements'!AI6</f>
        <v>0</v>
      </c>
      <c r="D24" s="38">
        <f>'Adjusted Statements'!AJ10/'Adjusted Statements'!AJ6</f>
        <v>0</v>
      </c>
      <c r="E24" s="38">
        <f>'Adjusted Statements'!AK10/'Adjusted Statements'!AK6</f>
        <v>0</v>
      </c>
      <c r="F24" s="38">
        <f>'Adjusted Statements'!AL10/'Adjusted Statements'!AL6</f>
        <v>0</v>
      </c>
      <c r="G24" s="38">
        <f>'Adjusted Statements'!AM10/'Adjusted Statements'!AM6</f>
        <v>0</v>
      </c>
      <c r="H24" s="38">
        <f>'Adjusted Statements'!AN10/'Adjusted Statements'!AN6</f>
        <v>0</v>
      </c>
      <c r="I24" s="38">
        <f>'Adjusted Statements'!AO10/'Adjusted Statements'!AO6</f>
        <v>0</v>
      </c>
      <c r="J24" s="38">
        <f>'Adjusted Statements'!AP10/'Adjusted Statements'!AP6</f>
        <v>0</v>
      </c>
      <c r="K24" s="38">
        <f>'Adjusted Statements'!AQ10/'Adjusted Statements'!AQ6</f>
        <v>0</v>
      </c>
      <c r="L24" s="38">
        <f>'Adjusted Statements'!AR10/'Adjusted Statements'!AR6</f>
        <v>0</v>
      </c>
      <c r="M24" s="38">
        <f>'Adjusted Statements'!AS10/'Adjusted Statements'!AS6</f>
        <v>0</v>
      </c>
      <c r="N24" s="38">
        <f>'Adjusted Statements'!AT10/'Adjusted Statements'!AT6</f>
        <v>0</v>
      </c>
      <c r="O24" s="38">
        <f>'Adjusted Statements'!AU10/'Adjusted Statements'!AU6</f>
        <v>0</v>
      </c>
    </row>
    <row r="25" spans="1:15" x14ac:dyDescent="0.25">
      <c r="A25" s="19" t="s">
        <v>144</v>
      </c>
      <c r="B25" s="34">
        <f t="shared" ref="B25:G25" si="6">SUM(B22:B24)</f>
        <v>1.6606872657473848E-2</v>
      </c>
      <c r="C25" s="34">
        <f t="shared" si="6"/>
        <v>8.0212905727360284E-2</v>
      </c>
      <c r="D25" s="34">
        <f t="shared" si="6"/>
        <v>8.0620790711948276E-2</v>
      </c>
      <c r="E25" s="34">
        <f t="shared" si="6"/>
        <v>0.11062663704425479</v>
      </c>
      <c r="F25" s="34">
        <f t="shared" si="6"/>
        <v>0.13272962667770394</v>
      </c>
      <c r="G25" s="34">
        <f t="shared" si="6"/>
        <v>0.15672314944090471</v>
      </c>
      <c r="H25" s="34">
        <f t="shared" ref="H25:O25" si="7">SUM(H22:H24)</f>
        <v>0.17723160181338704</v>
      </c>
      <c r="I25" s="34">
        <f t="shared" si="7"/>
        <v>0.17999382061145941</v>
      </c>
      <c r="J25" s="34">
        <f t="shared" si="7"/>
        <v>0.19341315968205286</v>
      </c>
      <c r="K25" s="34">
        <f t="shared" si="7"/>
        <v>0.19796087203485258</v>
      </c>
      <c r="L25" s="34">
        <f t="shared" si="7"/>
        <v>0.24090254171862502</v>
      </c>
      <c r="M25" s="34">
        <f t="shared" si="7"/>
        <v>0.23585204387702297</v>
      </c>
      <c r="N25" s="34">
        <f t="shared" si="7"/>
        <v>0.24495682223333359</v>
      </c>
      <c r="O25" s="34">
        <f t="shared" si="7"/>
        <v>0.25145016087632099</v>
      </c>
    </row>
    <row r="26" spans="1:15" x14ac:dyDescent="0.25">
      <c r="A26" s="19" t="s">
        <v>277</v>
      </c>
      <c r="B26" s="34">
        <f>('Adjusted Statements'!AH9+'Adjusted Statements'!AH11)/'Adjusted Statements'!AH6</f>
        <v>1.3473702220487512E-3</v>
      </c>
      <c r="C26" s="34">
        <f>('Adjusted Statements'!AI9+'Adjusted Statements'!AI11)/'Adjusted Statements'!AI6</f>
        <v>1.615432536357973E-3</v>
      </c>
      <c r="D26" s="34">
        <f>('Adjusted Statements'!AJ9+'Adjusted Statements'!AJ11)/'Adjusted Statements'!AJ6</f>
        <v>1.3878326996197719E-3</v>
      </c>
      <c r="E26" s="34">
        <f>('Adjusted Statements'!AK9+'Adjusted Statements'!AK11)/'Adjusted Statements'!AK6</f>
        <v>1.4049719005619888E-3</v>
      </c>
      <c r="F26" s="34">
        <f>('Adjusted Statements'!AL9+'Adjusted Statements'!AL11)/'Adjusted Statements'!AL6</f>
        <v>1.1650465238444456E-3</v>
      </c>
      <c r="G26" s="34">
        <f>('Adjusted Statements'!AM9+'Adjusted Statements'!AM11)/'Adjusted Statements'!AM6</f>
        <v>1.7140234765925214E-3</v>
      </c>
      <c r="H26" s="34">
        <f>('Adjusted Statements'!AN9+'Adjusted Statements'!AN11)/'Adjusted Statements'!AN6</f>
        <v>2.1661746544357047E-3</v>
      </c>
      <c r="I26" s="34">
        <f>('Adjusted Statements'!AO9+'Adjusted Statements'!AO11)/'Adjusted Statements'!AO6</f>
        <v>2.8546537857220642E-3</v>
      </c>
      <c r="J26" s="34">
        <f>('Adjusted Statements'!AP9+'Adjusted Statements'!AP11)/'Adjusted Statements'!AP6</f>
        <v>4.4371228238644358E-3</v>
      </c>
      <c r="K26" s="34">
        <f>('Adjusted Statements'!AQ9+'Adjusted Statements'!AQ11)/'Adjusted Statements'!AQ6</f>
        <v>5.1636833062118749E-3</v>
      </c>
      <c r="L26" s="34">
        <f>('Adjusted Statements'!AR9+'Adjusted Statements'!AR11)/'Adjusted Statements'!AR6</f>
        <v>3.281620161684319E-3</v>
      </c>
      <c r="M26" s="34">
        <f>('Adjusted Statements'!AS9+'Adjusted Statements'!AS11)/'Adjusted Statements'!AS6</f>
        <v>4.6058406398863825E-3</v>
      </c>
      <c r="N26" s="34">
        <f>('Adjusted Statements'!AT9+'Adjusted Statements'!AT11)/'Adjusted Statements'!AT6</f>
        <v>1.1973071883612706E-2</v>
      </c>
      <c r="O26" s="34">
        <f>('Adjusted Statements'!AU9+'Adjusted Statements'!AU11)/'Adjusted Statements'!AU6</f>
        <v>1.0121767543971613E-2</v>
      </c>
    </row>
    <row r="27" spans="1:15" x14ac:dyDescent="0.25">
      <c r="A27" s="19" t="s">
        <v>53</v>
      </c>
      <c r="B27" s="34">
        <f>'Adjusted Statements'!AH12/'Adjusted Statements'!AH6</f>
        <v>-6.9827996428399571E-3</v>
      </c>
      <c r="C27" s="34">
        <f>'Adjusted Statements'!AI12/'Adjusted Statements'!AI6</f>
        <v>-7.1102870940333738E-3</v>
      </c>
      <c r="D27" s="34">
        <f>'Adjusted Statements'!AJ12/'Adjusted Statements'!AJ6</f>
        <v>-7.6787755028227805E-3</v>
      </c>
      <c r="E27" s="34">
        <f>'Adjusted Statements'!AK12/'Adjusted Statements'!AK6</f>
        <v>-7.9886898031996528E-3</v>
      </c>
      <c r="F27" s="34">
        <f>'Adjusted Statements'!AL12/'Adjusted Statements'!AL6</f>
        <v>-8.8654170109383843E-3</v>
      </c>
      <c r="G27" s="34">
        <f>'Adjusted Statements'!AM12/'Adjusted Statements'!AM6</f>
        <v>-7.8132130809376987E-3</v>
      </c>
      <c r="H27" s="34">
        <f>'Adjusted Statements'!AN12/'Adjusted Statements'!AN6</f>
        <v>-8.382250014735651E-3</v>
      </c>
      <c r="I27" s="34">
        <f>'Adjusted Statements'!AO12/'Adjusted Statements'!AO6</f>
        <v>-7.6334030697285333E-3</v>
      </c>
      <c r="J27" s="34">
        <f>'Adjusted Statements'!AP12/'Adjusted Statements'!AP6</f>
        <v>-1.3370278532374465E-2</v>
      </c>
      <c r="K27" s="34">
        <f>'Adjusted Statements'!AQ12/'Adjusted Statements'!AQ6</f>
        <v>-1.2741006399710382E-2</v>
      </c>
      <c r="L27" s="34">
        <f>'Adjusted Statements'!AR12/'Adjusted Statements'!AR6</f>
        <v>-1.3659563556147962E-2</v>
      </c>
      <c r="M27" s="34">
        <f>'Adjusted Statements'!AS12/'Adjusted Statements'!AS6</f>
        <v>-2.2464531918603731E-2</v>
      </c>
      <c r="N27" s="34">
        <f>'Adjusted Statements'!AT12/'Adjusted Statements'!AT6</f>
        <v>-1.7581409953028138E-2</v>
      </c>
      <c r="O27" s="34">
        <f>'Adjusted Statements'!AU12/'Adjusted Statements'!AU6</f>
        <v>-1.6888090062239788E-2</v>
      </c>
    </row>
    <row r="28" spans="1:15" x14ac:dyDescent="0.25">
      <c r="A28" s="19" t="s">
        <v>55</v>
      </c>
      <c r="B28" s="50">
        <f>'Adjusted Statements'!AH14/'Adjusted Statements'!AH6</f>
        <v>-4.3254861493549198E-3</v>
      </c>
      <c r="C28" s="50">
        <f>'Adjusted Statements'!AI14/'Adjusted Statements'!AI6</f>
        <v>-1.6962041631758715E-2</v>
      </c>
      <c r="D28" s="50">
        <f>'Adjusted Statements'!AJ14/'Adjusted Statements'!AJ6</f>
        <v>-1.4196768060836503E-2</v>
      </c>
      <c r="E28" s="50">
        <f>'Adjusted Statements'!AK14/'Adjusted Statements'!AK6</f>
        <v>-2.3124537509249816E-2</v>
      </c>
      <c r="F28" s="38">
        <f>'Adjusted Statements'!AL14/'Adjusted Statements'!AL6</f>
        <v>-2.8101546287194371E-2</v>
      </c>
      <c r="G28" s="38">
        <f>'Adjusted Statements'!AM14/'Adjusted Statements'!AM6</f>
        <v>-3.5076661082267598E-2</v>
      </c>
      <c r="H28" s="38">
        <f>'Adjusted Statements'!AN14/'Adjusted Statements'!AN6</f>
        <v>-3.9090206645137002E-2</v>
      </c>
      <c r="I28" s="38">
        <f>'Adjusted Statements'!AO14/'Adjusted Statements'!AO6</f>
        <v>-4.1800843172943795E-2</v>
      </c>
      <c r="J28" s="38">
        <f>'Adjusted Statements'!AP14/'Adjusted Statements'!AP6</f>
        <v>-4.4851364663614765E-2</v>
      </c>
      <c r="K28" s="38">
        <f>'Adjusted Statements'!AQ14/'Adjusted Statements'!AQ6</f>
        <v>-4.6554968681533471E-2</v>
      </c>
      <c r="L28" s="38">
        <f>'Adjusted Statements'!AR14/'Adjusted Statements'!AR6</f>
        <v>-5.8322502143192942E-2</v>
      </c>
      <c r="M28" s="38">
        <f>'Adjusted Statements'!AS14/'Adjusted Statements'!AS6</f>
        <v>-5.6404288264475855E-2</v>
      </c>
      <c r="N28" s="38">
        <f>'Adjusted Statements'!AT14/'Adjusted Statements'!AT6</f>
        <v>-6.6597388514887279E-2</v>
      </c>
      <c r="O28" s="38">
        <f>'Adjusted Statements'!AU14/'Adjusted Statements'!AU6</f>
        <v>-7.124805350624154E-2</v>
      </c>
    </row>
    <row r="29" spans="1:15" x14ac:dyDescent="0.25">
      <c r="A29" s="19" t="s">
        <v>249</v>
      </c>
      <c r="B29" s="43">
        <f>SUM(B25:B28)</f>
        <v>6.6459570873277233E-3</v>
      </c>
      <c r="C29" s="43">
        <f>SUM(C25:C28)</f>
        <v>5.7756009537926173E-2</v>
      </c>
      <c r="D29" s="43">
        <f>SUM(D25:D28)</f>
        <v>6.0133079847908763E-2</v>
      </c>
      <c r="E29" s="43">
        <f t="shared" ref="E29:O29" si="8">SUM(E25:E28)</f>
        <v>8.0918381632367309E-2</v>
      </c>
      <c r="F29" s="34">
        <f t="shared" si="8"/>
        <v>9.6927709903415635E-2</v>
      </c>
      <c r="G29" s="34">
        <f t="shared" si="8"/>
        <v>0.11554729875429195</v>
      </c>
      <c r="H29" s="34">
        <f t="shared" si="8"/>
        <v>0.13192531980795008</v>
      </c>
      <c r="I29" s="34">
        <f t="shared" si="8"/>
        <v>0.13341422815450912</v>
      </c>
      <c r="J29" s="34">
        <f t="shared" si="8"/>
        <v>0.13962863930992808</v>
      </c>
      <c r="K29" s="34">
        <f t="shared" si="8"/>
        <v>0.14382858025982059</v>
      </c>
      <c r="L29" s="34">
        <f t="shared" si="8"/>
        <v>0.17220209618096843</v>
      </c>
      <c r="M29" s="34">
        <f t="shared" si="8"/>
        <v>0.16158906433382977</v>
      </c>
      <c r="N29" s="34">
        <f t="shared" si="8"/>
        <v>0.17275109564903085</v>
      </c>
      <c r="O29" s="34">
        <f t="shared" si="8"/>
        <v>0.17343578485181127</v>
      </c>
    </row>
    <row r="30" spans="1:15" ht="30" x14ac:dyDescent="0.25">
      <c r="A30" s="9" t="s">
        <v>145</v>
      </c>
      <c r="B30" s="43"/>
      <c r="C30" s="43"/>
      <c r="D30" s="43"/>
      <c r="E30" s="43"/>
      <c r="F30" s="43"/>
      <c r="G30" s="43"/>
      <c r="H30" s="43"/>
      <c r="I30" s="34"/>
      <c r="J30" s="34"/>
      <c r="K30" s="34"/>
      <c r="L30" s="34"/>
      <c r="M30" s="34"/>
      <c r="N30" s="34"/>
      <c r="O30" s="34"/>
    </row>
    <row r="31" spans="1:15" x14ac:dyDescent="0.25">
      <c r="A31" s="19" t="s">
        <v>1</v>
      </c>
      <c r="B31" s="34">
        <f>'Adjusted Statements'!AH21/'Adjusted Statements'!AH6</f>
        <v>-0.49984761884393497</v>
      </c>
      <c r="C31" s="34">
        <f>'Adjusted Statements'!AI21/'Adjusted Statements'!AI6</f>
        <v>-0.47389744581212007</v>
      </c>
      <c r="D31" s="34">
        <f>'Adjusted Statements'!AJ21/'Adjusted Statements'!AJ6</f>
        <v>-0.47297053231939162</v>
      </c>
      <c r="E31" s="34">
        <f>'Adjusted Statements'!AK21/'Adjusted Statements'!AK6</f>
        <v>-0.45956080878382433</v>
      </c>
      <c r="F31" s="34">
        <f>'Adjusted Statements'!AL21/'Adjusted Statements'!AL6</f>
        <v>-0.44776274659717996</v>
      </c>
      <c r="G31" s="34">
        <f>'Adjusted Statements'!AM21/'Adjusted Statements'!AM6</f>
        <v>-0.42957851609799791</v>
      </c>
      <c r="H31" s="34">
        <f>'Adjusted Statements'!AN21/'Adjusted Statements'!AN6</f>
        <v>-0.41188358132070613</v>
      </c>
      <c r="I31" s="34">
        <f>'Adjusted Statements'!AO21/'Adjusted Statements'!AO6</f>
        <v>-0.40858885207137413</v>
      </c>
      <c r="J31" s="34">
        <f>'Adjusted Statements'!AP21/'Adjusted Statements'!AP6</f>
        <v>-0.40503646553365508</v>
      </c>
      <c r="K31" s="34">
        <f>'Adjusted Statements'!AQ21/'Adjusted Statements'!AQ6</f>
        <v>-0.39865816961972383</v>
      </c>
      <c r="L31" s="34">
        <f>'Adjusted Statements'!AR21/'Adjusted Statements'!$AR$6</f>
        <v>-0.37069402579205957</v>
      </c>
      <c r="M31" s="34">
        <f>'Adjusted Statements'!AS21/'Adjusted Statements'!$AS$6</f>
        <v>-0.38384306608937502</v>
      </c>
      <c r="N31" s="34">
        <f>'Adjusted Statements'!AT21/'Adjusted Statements'!$AT$6</f>
        <v>-0.3847648307956445</v>
      </c>
      <c r="O31" s="34">
        <f>'Adjusted Statements'!AU21/'Adjusted Statements'!$AU$6</f>
        <v>-0.38928598779771784</v>
      </c>
    </row>
    <row r="32" spans="1:15" x14ac:dyDescent="0.25">
      <c r="A32" s="19" t="s">
        <v>278</v>
      </c>
      <c r="B32" s="34">
        <f>'Adjusted Statements'!AH22/'Adjusted Statements'!AH6</f>
        <v>-0.48354550849859113</v>
      </c>
      <c r="C32" s="34">
        <f>'Adjusted Statements'!AI22/'Adjusted Statements'!AI6</f>
        <v>-0.44588964846051965</v>
      </c>
      <c r="D32" s="34">
        <f>'Adjusted Statements'!AJ22/'Adjusted Statements'!AJ6</f>
        <v>-0.4464086769686601</v>
      </c>
      <c r="E32" s="34">
        <f>'Adjusted Statements'!AK22/'Adjusted Statements'!AK6</f>
        <v>-0.42981255417192088</v>
      </c>
      <c r="F32" s="34">
        <f>'Adjusted Statements'!AL22/'Adjusted Statements'!AL6</f>
        <v>-0.41950762672511616</v>
      </c>
      <c r="G32" s="34">
        <f>'Adjusted Statements'!AM22/'Adjusted Statements'!AM6</f>
        <v>-0.41369833446109738</v>
      </c>
      <c r="H32" s="34">
        <f>'Adjusted Statements'!AN22/'Adjusted Statements'!AN6</f>
        <v>-0.41088481686590683</v>
      </c>
      <c r="I32" s="34">
        <f>'Adjusted Statements'!AO22/'Adjusted Statements'!AO6</f>
        <v>-0.41141732731716651</v>
      </c>
      <c r="J32" s="34">
        <f>'Adjusted Statements'!AP22/'Adjusted Statements'!AP6</f>
        <v>-0.40155037478429206</v>
      </c>
      <c r="K32" s="34">
        <f>'Adjusted Statements'!AQ22/'Adjusted Statements'!AQ6</f>
        <v>-0.40338095834542365</v>
      </c>
      <c r="L32" s="34">
        <f>'Adjusted Statements'!AR22/'Adjusted Statements'!$AR$6</f>
        <v>-0.38840343248931541</v>
      </c>
      <c r="M32" s="34">
        <f>'Adjusted Statements'!AS22/'Adjusted Statements'!$AS$6</f>
        <v>-0.38030489003360202</v>
      </c>
      <c r="N32" s="34">
        <f>'Adjusted Statements'!AT22/'Adjusted Statements'!$AT$6</f>
        <v>-0.37027834697102191</v>
      </c>
      <c r="O32" s="34">
        <f>'Adjusted Statements'!AU22/'Adjusted Statements'!$AU$6</f>
        <v>-0.35926385132596128</v>
      </c>
    </row>
    <row r="33" spans="1:15" ht="30" x14ac:dyDescent="0.25">
      <c r="A33" s="9" t="s">
        <v>146</v>
      </c>
      <c r="B33" s="34"/>
      <c r="C33" s="34"/>
      <c r="D33" s="34"/>
      <c r="E33" s="34"/>
      <c r="F33" s="34"/>
      <c r="G33" s="34"/>
      <c r="H33" s="34"/>
      <c r="I33" s="34"/>
      <c r="J33" s="34"/>
      <c r="K33" s="34"/>
      <c r="L33" s="34"/>
      <c r="M33" s="34"/>
      <c r="N33" s="34"/>
      <c r="O33" s="34"/>
    </row>
    <row r="34" spans="1:15" x14ac:dyDescent="0.25">
      <c r="A34" s="19" t="s">
        <v>111</v>
      </c>
      <c r="B34" s="34">
        <f>'Adjusted Statements'!AH26/'Adjusted Statements'!AH6</f>
        <v>-0.19757152557597404</v>
      </c>
      <c r="C34" s="34">
        <f>'Adjusted Statements'!AI26/'Adjusted Statements'!AI6</f>
        <v>-0.18210135120620394</v>
      </c>
      <c r="D34" s="34">
        <f>'Adjusted Statements'!AJ26/'Adjusted Statements'!AJ6</f>
        <v>-0.18318916349809886</v>
      </c>
      <c r="E34" s="34">
        <f>'Adjusted Statements'!AK26/'Adjusted Statements'!AK6</f>
        <v>-0.17816643667126658</v>
      </c>
      <c r="F34" s="34">
        <f>'Adjusted Statements'!AL26/'Adjusted Statements'!AL6</f>
        <v>-0.16935303510222763</v>
      </c>
      <c r="G34" s="34">
        <f>'Adjusted Statements'!AM26/'Adjusted Statements'!AM6</f>
        <v>-0.1656078424867716</v>
      </c>
      <c r="H34" s="34">
        <f>'Adjusted Statements'!AN26/'Adjusted Statements'!AN6</f>
        <v>-0.16542177665946811</v>
      </c>
      <c r="I34" s="34">
        <f>'Adjusted Statements'!AO26/'Adjusted Statements'!AO6</f>
        <v>-0.16663555327390675</v>
      </c>
      <c r="J34" s="34">
        <f>'Adjusted Statements'!AP26/'Adjusted Statements'!AP6</f>
        <v>-0.16467851555062543</v>
      </c>
      <c r="K34" s="34">
        <f>'Adjusted Statements'!AQ26/'Adjusted Statements'!AQ6</f>
        <v>-0.16822880208001892</v>
      </c>
      <c r="L34" s="34">
        <f>'Adjusted Statements'!AR26/'Adjusted Statements'!AR6</f>
        <v>-0.1532774720463114</v>
      </c>
      <c r="M34" s="34">
        <f>'Adjusted Statements'!AS26/'Adjusted Statements'!AS6</f>
        <v>-0.17266477961989488</v>
      </c>
      <c r="N34" s="34">
        <f>'Adjusted Statements'!AT26/'Adjusted Statements'!AT6</f>
        <v>-0.16360186147381739</v>
      </c>
      <c r="O34" s="34">
        <f>'Adjusted Statements'!AU26/'Adjusted Statements'!AU6</f>
        <v>-0.15531105608454804</v>
      </c>
    </row>
    <row r="35" spans="1:15" x14ac:dyDescent="0.25">
      <c r="A35" s="19" t="s">
        <v>147</v>
      </c>
      <c r="B35" s="34">
        <f>'Adjusted Statements'!AH25/'Adjusted Statements'!AH6</f>
        <v>-0.48942688645197857</v>
      </c>
      <c r="C35" s="34">
        <f>'Adjusted Statements'!AI25/'Adjusted Statements'!AI6</f>
        <v>-0.47144851882881139</v>
      </c>
      <c r="D35" s="34">
        <f>'Adjusted Statements'!AJ25/'Adjusted Statements'!AJ6</f>
        <v>-0.47031844106463877</v>
      </c>
      <c r="E35" s="34">
        <f>'Adjusted Statements'!AK25/'Adjusted Statements'!AK6</f>
        <v>-0.45588088238235236</v>
      </c>
      <c r="F35" s="34">
        <f>'Adjusted Statements'!AL25/'Adjusted Statements'!AL6</f>
        <v>-0.44335741442889315</v>
      </c>
      <c r="G35" s="34">
        <f>'Adjusted Statements'!AM25/'Adjusted Statements'!AM6</f>
        <v>-0.42556991280596701</v>
      </c>
      <c r="H35" s="34">
        <f>'Adjusted Statements'!AN25/'Adjusted Statements'!AN6</f>
        <v>-0.40813240082156138</v>
      </c>
      <c r="I35" s="34">
        <f>'Adjusted Statements'!AO25/'Adjusted Statements'!AO6</f>
        <v>-0.40493302842208428</v>
      </c>
      <c r="J35" s="34">
        <f>'Adjusted Statements'!AP25/'Adjusted Statements'!AP6</f>
        <v>-0.40160100663084958</v>
      </c>
      <c r="K35" s="34">
        <f>'Adjusted Statements'!AQ25/'Adjusted Statements'!AQ6</f>
        <v>-0.39533086664424222</v>
      </c>
      <c r="L35" s="34">
        <f>'Adjusted Statements'!AR25/'Adjusted Statements'!AR6</f>
        <v>-0.36759676631361599</v>
      </c>
      <c r="M35" s="34">
        <f>'Adjusted Statements'!AS25/'Adjusted Statements'!AS6</f>
        <v>-0.38078565581450396</v>
      </c>
      <c r="N35" s="34">
        <f>'Adjusted Statements'!AT25/'Adjusted Statements'!AT6</f>
        <v>-0.38199746984141325</v>
      </c>
      <c r="O35" s="34">
        <f>'Adjusted Statements'!AU25/'Adjusted Statements'!AU6</f>
        <v>-0.38669491741760909</v>
      </c>
    </row>
    <row r="36" spans="1:15" x14ac:dyDescent="0.25">
      <c r="A36" s="19" t="s">
        <v>112</v>
      </c>
      <c r="B36" s="34">
        <f>'Adjusted Statements'!AH27/'Adjusted Statements'!AH6</f>
        <v>-0.13876309274933032</v>
      </c>
      <c r="C36" s="34">
        <f>'Adjusted Statements'!AI27/'Adjusted Statements'!AI6</f>
        <v>-0.13260744184841683</v>
      </c>
      <c r="D36" s="34">
        <f>'Adjusted Statements'!AJ27/'Adjusted Statements'!AJ6</f>
        <v>-0.13587635757702513</v>
      </c>
      <c r="E36" s="34">
        <f>'Adjusted Statements'!AK27/'Adjusted Statements'!AK6</f>
        <v>-0.13034854345213526</v>
      </c>
      <c r="F36" s="34">
        <f>'Adjusted Statements'!AL27/'Adjusted Statements'!AL6</f>
        <v>-0.13772760207189955</v>
      </c>
      <c r="G36" s="34">
        <f>'Adjusted Statements'!AM27/'Adjusted Statements'!AM6</f>
        <v>-0.14138423689445778</v>
      </c>
      <c r="H36" s="34">
        <f>'Adjusted Statements'!AN27/'Adjusted Statements'!AN6</f>
        <v>-0.13864685465508783</v>
      </c>
      <c r="I36" s="34">
        <f>'Adjusted Statements'!AO27/'Adjusted Statements'!AO6</f>
        <v>-0.14222425315839485</v>
      </c>
      <c r="J36" s="34">
        <f>'Adjusted Statements'!AP27/'Adjusted Statements'!AP6</f>
        <v>-0.13390743072018557</v>
      </c>
      <c r="K36" s="34">
        <f>'Adjusted Statements'!AQ27/'Adjusted Statements'!AQ6</f>
        <v>-0.13534215799269317</v>
      </c>
      <c r="L36" s="34">
        <f>'Adjusted Statements'!AR27/'Adjusted Statements'!AR6</f>
        <v>-0.13356166004570671</v>
      </c>
      <c r="M36" s="34">
        <f>'Adjusted Statements'!AS27/'Adjusted Statements'!AS6</f>
        <v>-0.12644121108140613</v>
      </c>
      <c r="N36" s="34">
        <f>'Adjusted Statements'!AT27/'Adjusted Statements'!AT6</f>
        <v>-0.11400942725837564</v>
      </c>
      <c r="O36" s="34">
        <f>'Adjusted Statements'!AU27/'Adjusted Statements'!AU6</f>
        <v>-0.11483529083786997</v>
      </c>
    </row>
    <row r="37" spans="1:15" x14ac:dyDescent="0.25">
      <c r="A37" s="19" t="s">
        <v>282</v>
      </c>
      <c r="B37" s="34">
        <f>'Adjusted Statements'!AH28/'Adjusted Statements'!AH6</f>
        <v>-0.15763162256524318</v>
      </c>
      <c r="C37" s="34">
        <f>'Adjusted Statements'!AI28/'Adjusted Statements'!AI6</f>
        <v>-0.13362978238920753</v>
      </c>
      <c r="D37" s="34">
        <f>'Adjusted Statements'!AJ28/'Adjusted Statements'!AJ6</f>
        <v>-0.12999524714828897</v>
      </c>
      <c r="E37" s="34">
        <f>'Adjusted Statements'!AK28/'Adjusted Statements'!AK6</f>
        <v>-0.12497750044999099</v>
      </c>
      <c r="F37" s="34">
        <f>'Adjusted Statements'!AL28/'Adjusted Statements'!AL6</f>
        <v>-0.11683232171927579</v>
      </c>
      <c r="G37" s="34">
        <f>'Adjusted Statements'!AM28/'Adjusted Statements'!AM6</f>
        <v>-0.11071485837189886</v>
      </c>
      <c r="H37" s="34">
        <f>'Adjusted Statements'!AN28/'Adjusted Statements'!AN6</f>
        <v>-0.11056736605049565</v>
      </c>
      <c r="I37" s="34">
        <f>'Adjusted Statements'!AO28/'Adjusted Statements'!AO6</f>
        <v>-0.10621334453415472</v>
      </c>
      <c r="J37" s="34">
        <f>'Adjusted Statements'!AP28/'Adjusted Statements'!AP6</f>
        <v>-0.10639988741628656</v>
      </c>
      <c r="K37" s="34">
        <f>'Adjusted Statements'!AQ28/'Adjusted Statements'!AQ6</f>
        <v>-0.10313730124819316</v>
      </c>
      <c r="L37" s="34">
        <f>'Adjusted Statements'!AR28/'Adjusted Statements'!AR6</f>
        <v>-0.1046615598757409</v>
      </c>
      <c r="M37" s="34">
        <f>'Adjusted Statements'!AS28/'Adjusted Statements'!AS6</f>
        <v>-8.4256309607172092E-2</v>
      </c>
      <c r="N37" s="34">
        <f>'Adjusted Statements'!AT28/'Adjusted Statements'!AT6</f>
        <v>-9.543441919306013E-2</v>
      </c>
      <c r="O37" s="34">
        <f>'Adjusted Statements'!AU28/'Adjusted Statements'!AU6</f>
        <v>-9.1708574783652005E-2</v>
      </c>
    </row>
    <row r="38" spans="1:15" x14ac:dyDescent="0.25">
      <c r="A38" s="19"/>
      <c r="B38" s="34"/>
      <c r="C38" s="34"/>
      <c r="D38" s="34"/>
      <c r="E38" s="34"/>
      <c r="F38" s="34"/>
      <c r="G38" s="34"/>
      <c r="H38" s="34"/>
      <c r="I38" s="34"/>
      <c r="J38" s="34"/>
      <c r="K38" s="34"/>
      <c r="L38" s="34"/>
      <c r="M38" s="34"/>
      <c r="N38" s="34"/>
      <c r="O38" s="34"/>
    </row>
    <row r="39" spans="1:15" x14ac:dyDescent="0.25">
      <c r="A39" s="14" t="s">
        <v>304</v>
      </c>
      <c r="B39" s="34"/>
      <c r="C39" s="34"/>
      <c r="D39" s="34"/>
      <c r="E39" s="34"/>
      <c r="F39" s="34"/>
      <c r="G39" s="34"/>
      <c r="H39" s="34"/>
      <c r="I39" s="34"/>
      <c r="J39" s="34"/>
      <c r="K39" s="34"/>
      <c r="L39" s="34"/>
      <c r="M39" s="34"/>
      <c r="N39" s="34"/>
      <c r="O39" s="34"/>
    </row>
    <row r="40" spans="1:15" x14ac:dyDescent="0.25">
      <c r="A40" s="19" t="s">
        <v>113</v>
      </c>
      <c r="B40" s="34">
        <f>1+B31</f>
        <v>0.50015238115606508</v>
      </c>
      <c r="C40" s="34">
        <f t="shared" ref="C40:O40" si="9">1+C31</f>
        <v>0.52610255418787988</v>
      </c>
      <c r="D40" s="34">
        <f t="shared" si="9"/>
        <v>0.52702946768060843</v>
      </c>
      <c r="E40" s="34">
        <f t="shared" si="9"/>
        <v>0.54043919121617567</v>
      </c>
      <c r="F40" s="34">
        <f t="shared" si="9"/>
        <v>0.55223725340282004</v>
      </c>
      <c r="G40" s="34">
        <f t="shared" si="9"/>
        <v>0.57042148390200209</v>
      </c>
      <c r="H40" s="34">
        <f t="shared" si="9"/>
        <v>0.58811641867929387</v>
      </c>
      <c r="I40" s="34">
        <f t="shared" si="9"/>
        <v>0.59141114792862592</v>
      </c>
      <c r="J40" s="34">
        <f t="shared" si="9"/>
        <v>0.59496353446634487</v>
      </c>
      <c r="K40" s="34">
        <f t="shared" si="9"/>
        <v>0.60134183038027622</v>
      </c>
      <c r="L40" s="34">
        <f t="shared" si="9"/>
        <v>0.62930597420794043</v>
      </c>
      <c r="M40" s="34">
        <f t="shared" si="9"/>
        <v>0.61615693391062498</v>
      </c>
      <c r="N40" s="34">
        <f t="shared" si="9"/>
        <v>0.6152351692043555</v>
      </c>
      <c r="O40" s="34">
        <f t="shared" si="9"/>
        <v>0.61071401220228216</v>
      </c>
    </row>
    <row r="41" spans="1:15" x14ac:dyDescent="0.25">
      <c r="A41" s="19" t="s">
        <v>114</v>
      </c>
      <c r="B41" s="34">
        <f>SUM(B25:B26)-B36</f>
        <v>0.15671733562885293</v>
      </c>
      <c r="C41" s="34">
        <f>SUM(C25:C26)-C36</f>
        <v>0.2144357801121351</v>
      </c>
      <c r="D41" s="34">
        <f>SUM(D25:D26)-D36</f>
        <v>0.21788498098859316</v>
      </c>
      <c r="E41" s="34">
        <f t="shared" ref="E41:O41" si="10">SUM(E25:E26)-E36</f>
        <v>0.24238015239695204</v>
      </c>
      <c r="F41" s="34">
        <f t="shared" si="10"/>
        <v>0.27162227527344796</v>
      </c>
      <c r="G41" s="34">
        <f t="shared" si="10"/>
        <v>0.29982140981195504</v>
      </c>
      <c r="H41" s="34">
        <f t="shared" si="10"/>
        <v>0.31804463112291059</v>
      </c>
      <c r="I41" s="34">
        <f t="shared" si="10"/>
        <v>0.32507272755557631</v>
      </c>
      <c r="J41" s="34">
        <f t="shared" si="10"/>
        <v>0.33175771322610287</v>
      </c>
      <c r="K41" s="34">
        <f t="shared" si="10"/>
        <v>0.33846671333375761</v>
      </c>
      <c r="L41" s="34">
        <f t="shared" si="10"/>
        <v>0.37774582192601602</v>
      </c>
      <c r="M41" s="34">
        <f t="shared" si="10"/>
        <v>0.36689909559831546</v>
      </c>
      <c r="N41" s="34">
        <f t="shared" si="10"/>
        <v>0.37093932137532193</v>
      </c>
      <c r="O41" s="34">
        <f t="shared" si="10"/>
        <v>0.37640721925816256</v>
      </c>
    </row>
    <row r="43" spans="1:15" x14ac:dyDescent="0.25">
      <c r="A43" s="10" t="s">
        <v>305</v>
      </c>
    </row>
    <row r="44" spans="1:15" x14ac:dyDescent="0.25">
      <c r="A44" s="32" t="s">
        <v>103</v>
      </c>
      <c r="B44" s="33">
        <v>2020</v>
      </c>
      <c r="C44" s="33">
        <v>2019</v>
      </c>
      <c r="D44" s="33">
        <v>2018</v>
      </c>
      <c r="E44" s="33">
        <v>2017</v>
      </c>
      <c r="F44" s="33">
        <v>2016</v>
      </c>
      <c r="G44" s="33">
        <v>2015</v>
      </c>
      <c r="H44" s="33">
        <v>2014</v>
      </c>
      <c r="I44" s="33">
        <v>2013</v>
      </c>
      <c r="J44" s="33">
        <v>2012</v>
      </c>
      <c r="K44" s="33">
        <v>2011</v>
      </c>
      <c r="L44" s="33">
        <v>2010</v>
      </c>
      <c r="M44" s="33">
        <v>2009</v>
      </c>
      <c r="N44" s="33">
        <v>2008</v>
      </c>
      <c r="O44" s="33">
        <v>2007</v>
      </c>
    </row>
    <row r="45" spans="1:15" x14ac:dyDescent="0.25">
      <c r="A45" s="19" t="s">
        <v>279</v>
      </c>
      <c r="B45" s="34">
        <f>AVERAGE('Adjusted Statements'!AH124,'Adjusted Statements'!AI124)/'Adjusted Statements'!AH96</f>
        <v>0.11641733188615792</v>
      </c>
      <c r="C45" s="34">
        <f>AVERAGE('Adjusted Statements'!AI124,'Adjusted Statements'!AJ124)/'Adjusted Statements'!AI96</f>
        <v>9.8972632166870744E-2</v>
      </c>
      <c r="D45" s="34">
        <f>AVERAGE('Adjusted Statements'!AJ124,'Adjusted Statements'!AK124)/'Adjusted Statements'!AJ96</f>
        <v>0.12058222433460077</v>
      </c>
      <c r="E45" s="34">
        <f>AVERAGE('Adjusted Statements'!AK124,'Adjusted Statements'!AL124)/'Adjusted Statements'!AK96</f>
        <v>0.11677766444671106</v>
      </c>
      <c r="F45" s="34">
        <f>AVERAGE('Adjusted Statements'!AL124,'Adjusted Statements'!AM124)/'Adjusted Statements'!AL96</f>
        <v>0.10324197600212205</v>
      </c>
      <c r="G45" s="34">
        <f>AVERAGE('Adjusted Statements'!AM124,'Adjusted Statements'!AN124)/'Adjusted Statements'!AM96</f>
        <v>8.684569918335075E-2</v>
      </c>
      <c r="H45" s="34">
        <f>AVERAGE('Adjusted Statements'!AN124,'Adjusted Statements'!AO124)/'Adjusted Statements'!AN96</f>
        <v>7.9980220447896225E-2</v>
      </c>
      <c r="I45" s="34">
        <f>AVERAGE('Adjusted Statements'!AO124,'Adjusted Statements'!AP124)/'Adjusted Statements'!AO96</f>
        <v>9.0528499867768078E-2</v>
      </c>
      <c r="J45" s="34">
        <f>AVERAGE('Adjusted Statements'!AP124,'Adjusted Statements'!AQ124)/'Adjusted Statements'!AP96</f>
        <v>8.8001142393562867E-2</v>
      </c>
      <c r="K45" s="34">
        <f>AVERAGE('Adjusted Statements'!AQ124,'Adjusted Statements'!AR124)/'Adjusted Statements'!AQ96</f>
        <v>7.476477058882354E-2</v>
      </c>
      <c r="L45" s="34">
        <f>AVERAGE('Adjusted Statements'!AR124,'Adjusted Statements'!AS124)/'Adjusted Statements'!AR96</f>
        <v>7.1351271627812671E-2</v>
      </c>
      <c r="M45" s="34">
        <f>AVERAGE('Adjusted Statements'!AS124,'Adjusted Statements'!AT124)/'Adjusted Statements'!AS96</f>
        <v>6.8432978607990691E-2</v>
      </c>
      <c r="N45" s="34">
        <f>AVERAGE('Adjusted Statements'!AT124,'Adjusted Statements'!AU124)/'Adjusted Statements'!AT96</f>
        <v>6.2440134640581922E-2</v>
      </c>
      <c r="O45" s="34">
        <f>AVERAGE('Adjusted Statements'!AU124,'Adjusted Statements'!AV124)/'Adjusted Statements'!AU96</f>
        <v>6.771436959130013E-2</v>
      </c>
    </row>
    <row r="46" spans="1:15" x14ac:dyDescent="0.25">
      <c r="A46" s="19" t="s">
        <v>326</v>
      </c>
      <c r="B46" s="34">
        <f>AVERAGE('Adjusted Statements'!AH131,'Adjusted Statements'!AI131)/'Adjusted Statements'!AH96</f>
        <v>0.59317915303649915</v>
      </c>
      <c r="C46" s="34">
        <f>AVERAGE('Adjusted Statements'!AI131,'Adjusted Statements'!AJ131)/'Adjusted Statements'!AI96</f>
        <v>0.50413207873456178</v>
      </c>
      <c r="D46" s="34">
        <f>AVERAGE('Adjusted Statements'!AJ131,'Adjusted Statements'!AK131)/'Adjusted Statements'!AJ96</f>
        <v>0.55398161102253463</v>
      </c>
      <c r="E46" s="34">
        <f>AVERAGE('Adjusted Statements'!AK131,'Adjusted Statements'!AL131)/'Adjusted Statements'!AK96</f>
        <v>0.58449472965880978</v>
      </c>
      <c r="F46" s="34">
        <f>AVERAGE('Adjusted Statements'!AL131,'Adjusted Statements'!AM131)/'Adjusted Statements'!AL96</f>
        <v>0.59941352116477786</v>
      </c>
      <c r="G46" s="34">
        <f>AVERAGE('Adjusted Statements'!AM131,'Adjusted Statements'!AN131)/'Adjusted Statements'!AM96</f>
        <v>0.5952207103410595</v>
      </c>
      <c r="H46" s="34">
        <f>AVERAGE('Adjusted Statements'!AN131,'Adjusted Statements'!AO131)/'Adjusted Statements'!AN96</f>
        <v>0.60507271666430584</v>
      </c>
      <c r="I46" s="34">
        <f>AVERAGE('Adjusted Statements'!AO131,'Adjusted Statements'!AP131)/'Adjusted Statements'!AO96</f>
        <v>0.59549760677757513</v>
      </c>
      <c r="J46" s="34">
        <f>AVERAGE('Adjusted Statements'!AP131,'Adjusted Statements'!AQ131)/'Adjusted Statements'!AP96</f>
        <v>0.58039385791471443</v>
      </c>
      <c r="K46" s="34">
        <f>AVERAGE('Adjusted Statements'!AQ131,'Adjusted Statements'!AR131)/'Adjusted Statements'!AQ96</f>
        <v>0.6113650878709298</v>
      </c>
      <c r="L46" s="34">
        <f>AVERAGE('Adjusted Statements'!AR131,'Adjusted Statements'!AS131)/'Adjusted Statements'!AR96</f>
        <v>0.59698693118958734</v>
      </c>
      <c r="M46" s="34">
        <f>AVERAGE('Adjusted Statements'!AS131,'Adjusted Statements'!AT131)/'Adjusted Statements'!AS96</f>
        <v>0.59394043331971658</v>
      </c>
      <c r="N46" s="34">
        <f>AVERAGE('Adjusted Statements'!AT131,'Adjusted Statements'!AU131)/'Adjusted Statements'!AT96</f>
        <v>0.55862846691627754</v>
      </c>
      <c r="O46" s="34">
        <f>AVERAGE('Adjusted Statements'!AU131,'Adjusted Statements'!AV131)/'Adjusted Statements'!AU96</f>
        <v>0.5045130880691453</v>
      </c>
    </row>
    <row r="47" spans="1:15" x14ac:dyDescent="0.25">
      <c r="A47" s="19" t="s">
        <v>280</v>
      </c>
      <c r="B47" s="34">
        <f>AVERAGE('Adjusted Statements'!AH126,'Adjusted Statements'!AI126)/'Adjusted Statements'!AH96</f>
        <v>0.53101031471557913</v>
      </c>
      <c r="C47" s="34">
        <f>AVERAGE('Adjusted Statements'!AI126,'Adjusted Statements'!AJ126)/'Adjusted Statements'!AI96</f>
        <v>0.46317055266637847</v>
      </c>
      <c r="D47" s="34">
        <f>AVERAGE('Adjusted Statements'!AJ126,'Adjusted Statements'!AK126)/'Adjusted Statements'!AJ96</f>
        <v>0.52646259961569053</v>
      </c>
      <c r="E47" s="34">
        <f>AVERAGE('Adjusted Statements'!AK126,'Adjusted Statements'!AL126)/'Adjusted Statements'!AK96</f>
        <v>0.56953752880282693</v>
      </c>
      <c r="F47" s="34">
        <f>AVERAGE('Adjusted Statements'!AL126,'Adjusted Statements'!AM126)/'Adjusted Statements'!AL96</f>
        <v>0.58856142486120011</v>
      </c>
      <c r="G47" s="34">
        <f>AVERAGE('Adjusted Statements'!AM126,'Adjusted Statements'!AN126)/'Adjusted Statements'!AM96</f>
        <v>0.58578805211181162</v>
      </c>
      <c r="H47" s="34">
        <f>AVERAGE('Adjusted Statements'!AN126,'Adjusted Statements'!AO126)/'Adjusted Statements'!AN96</f>
        <v>0.59905299654992128</v>
      </c>
      <c r="I47" s="34">
        <f>AVERAGE('Adjusted Statements'!AO126,'Adjusted Statements'!AP126)/'Adjusted Statements'!AO96</f>
        <v>0.59214902788178947</v>
      </c>
      <c r="J47" s="34">
        <f>AVERAGE('Adjusted Statements'!AP126,'Adjusted Statements'!AQ126)/'Adjusted Statements'!AP96</f>
        <v>0.57348154903798532</v>
      </c>
      <c r="K47" s="34">
        <f>AVERAGE('Adjusted Statements'!AQ126,'Adjusted Statements'!AR126)/'Adjusted Statements'!AQ96</f>
        <v>0.60231955109332269</v>
      </c>
      <c r="L47" s="34">
        <f>AVERAGE('Adjusted Statements'!AR126,'Adjusted Statements'!AS126)/'Adjusted Statements'!AR96</f>
        <v>0.59231799688651676</v>
      </c>
      <c r="M47" s="34">
        <f>AVERAGE('Adjusted Statements'!AS126,'Adjusted Statements'!AT126)/'Adjusted Statements'!AS96</f>
        <v>0.59410316644725003</v>
      </c>
      <c r="N47" s="34">
        <f>AVERAGE('Adjusted Statements'!AT126,'Adjusted Statements'!AU126)/'Adjusted Statements'!AT96</f>
        <v>0.55856634248669279</v>
      </c>
      <c r="O47" s="34">
        <f>AVERAGE('Adjusted Statements'!AU126,'Adjusted Statements'!AV126)/'Adjusted Statements'!AU96</f>
        <v>0.50732752658547031</v>
      </c>
    </row>
    <row r="48" spans="1:15" x14ac:dyDescent="0.25">
      <c r="A48" s="19" t="s">
        <v>115</v>
      </c>
      <c r="B48" s="36">
        <f t="shared" ref="B48:D50" si="11">1/B45</f>
        <v>8.5897862783685781</v>
      </c>
      <c r="C48" s="36">
        <f t="shared" si="11"/>
        <v>10.103803224248606</v>
      </c>
      <c r="D48" s="36">
        <f t="shared" si="11"/>
        <v>8.2930963126465773</v>
      </c>
      <c r="E48" s="36">
        <f t="shared" ref="E48:J50" si="12">1/E45</f>
        <v>8.5632813837985964</v>
      </c>
      <c r="F48" s="36">
        <f t="shared" si="12"/>
        <v>9.6859827632458906</v>
      </c>
      <c r="G48" s="36">
        <f t="shared" si="12"/>
        <v>11.514674985675176</v>
      </c>
      <c r="H48" s="36">
        <f t="shared" si="12"/>
        <v>12.503091319327611</v>
      </c>
      <c r="I48" s="36">
        <f t="shared" si="12"/>
        <v>11.046245121267514</v>
      </c>
      <c r="J48" s="36">
        <f t="shared" si="12"/>
        <v>11.363488845721488</v>
      </c>
      <c r="K48" s="36">
        <f t="shared" ref="K48:O50" si="13">1/K45</f>
        <v>13.37528346739137</v>
      </c>
      <c r="L48" s="36">
        <f t="shared" si="13"/>
        <v>14.015167174823002</v>
      </c>
      <c r="M48" s="36">
        <f t="shared" si="13"/>
        <v>14.612837557873497</v>
      </c>
      <c r="N48" s="36">
        <f t="shared" si="13"/>
        <v>16.015340225580914</v>
      </c>
      <c r="O48" s="36">
        <f t="shared" si="13"/>
        <v>14.767914196582566</v>
      </c>
    </row>
    <row r="49" spans="1:15" x14ac:dyDescent="0.25">
      <c r="A49" s="19" t="s">
        <v>116</v>
      </c>
      <c r="B49" s="36">
        <f t="shared" si="11"/>
        <v>1.6858313291709168</v>
      </c>
      <c r="C49" s="36">
        <f t="shared" si="11"/>
        <v>1.9836071580886745</v>
      </c>
      <c r="D49" s="36">
        <f t="shared" si="11"/>
        <v>1.8051140689565641</v>
      </c>
      <c r="E49" s="36">
        <f t="shared" si="12"/>
        <v>1.7108794130337759</v>
      </c>
      <c r="F49" s="36">
        <f t="shared" si="12"/>
        <v>1.6682973684957993</v>
      </c>
      <c r="G49" s="36">
        <f t="shared" si="12"/>
        <v>1.680049068566521</v>
      </c>
      <c r="H49" s="36">
        <f t="shared" si="12"/>
        <v>1.6526939200182111</v>
      </c>
      <c r="I49" s="36">
        <f t="shared" si="12"/>
        <v>1.6792678738228934</v>
      </c>
      <c r="J49" s="36">
        <f t="shared" si="12"/>
        <v>1.7229679231838879</v>
      </c>
      <c r="K49" s="36">
        <f t="shared" si="13"/>
        <v>1.635683848880684</v>
      </c>
      <c r="L49" s="36">
        <f t="shared" si="13"/>
        <v>1.6750785448642029</v>
      </c>
      <c r="M49" s="36">
        <f t="shared" si="13"/>
        <v>1.6836705230029401</v>
      </c>
      <c r="N49" s="36">
        <f t="shared" si="13"/>
        <v>1.7900985345773142</v>
      </c>
      <c r="O49" s="36">
        <f t="shared" si="13"/>
        <v>1.9821091338327113</v>
      </c>
    </row>
    <row r="50" spans="1:15" x14ac:dyDescent="0.25">
      <c r="A50" s="19" t="s">
        <v>117</v>
      </c>
      <c r="B50" s="36">
        <f t="shared" si="11"/>
        <v>1.8832025900205387</v>
      </c>
      <c r="C50" s="36">
        <f t="shared" si="11"/>
        <v>2.1590319035681431</v>
      </c>
      <c r="D50" s="36">
        <f t="shared" si="11"/>
        <v>1.8994701631796529</v>
      </c>
      <c r="E50" s="36">
        <f t="shared" si="12"/>
        <v>1.7558105470275314</v>
      </c>
      <c r="F50" s="36">
        <f t="shared" si="12"/>
        <v>1.699058004414457</v>
      </c>
      <c r="G50" s="36">
        <f t="shared" si="12"/>
        <v>1.7071020762457036</v>
      </c>
      <c r="H50" s="36">
        <f t="shared" si="12"/>
        <v>1.6693013902930478</v>
      </c>
      <c r="I50" s="36">
        <f t="shared" si="12"/>
        <v>1.6887640659939236</v>
      </c>
      <c r="J50" s="36">
        <f t="shared" si="12"/>
        <v>1.7437352634579071</v>
      </c>
      <c r="K50" s="36">
        <f t="shared" si="13"/>
        <v>1.660248282136638</v>
      </c>
      <c r="L50" s="36">
        <f t="shared" si="13"/>
        <v>1.688282316688736</v>
      </c>
      <c r="M50" s="36">
        <f t="shared" si="13"/>
        <v>1.6832093422090677</v>
      </c>
      <c r="N50" s="36">
        <f t="shared" si="13"/>
        <v>1.7902976315187196</v>
      </c>
      <c r="O50" s="36">
        <f t="shared" si="13"/>
        <v>1.9711132307967294</v>
      </c>
    </row>
    <row r="51" spans="1:15" x14ac:dyDescent="0.25">
      <c r="A51" s="19" t="s">
        <v>118</v>
      </c>
      <c r="B51" s="36">
        <f>'Adjusted Statements'!AH96/AVERAGE('Adjusted Statements'!AH119,'Adjusted Statements'!AI119)</f>
        <v>41.724707194645845</v>
      </c>
      <c r="C51" s="36">
        <f>'Adjusted Statements'!AI96/AVERAGE('Adjusted Statements'!AI119,'Adjusted Statements'!AJ119)</f>
        <v>38.131553079947572</v>
      </c>
      <c r="D51" s="36">
        <f>'Adjusted Statements'!AJ96/AVERAGE('Adjusted Statements'!AJ119,'Adjusted Statements'!AK119)</f>
        <v>36.194735936693618</v>
      </c>
      <c r="E51" s="36">
        <f>'Adjusted Statements'!AK96/AVERAGE('Adjusted Statements'!AK119,'Adjusted Statements'!AL119)</f>
        <v>39.301237964236591</v>
      </c>
      <c r="F51" s="36">
        <f>'Adjusted Statements'!AL96/AVERAGE('Adjusted Statements'!AL119,'Adjusted Statements'!AM119)</f>
        <v>43.196360368456524</v>
      </c>
      <c r="G51" s="36">
        <f>'Adjusted Statements'!AM96/AVERAGE('Adjusted Statements'!AM119,'Adjusted Statements'!AN119)</f>
        <v>47.099218749999999</v>
      </c>
      <c r="H51" s="36">
        <f>'Adjusted Statements'!AN96/AVERAGE('Adjusted Statements'!AN119,'Adjusted Statements'!AO119)</f>
        <v>44.758793969849243</v>
      </c>
      <c r="I51" s="36">
        <f>'Adjusted Statements'!AO96/AVERAGE('Adjusted Statements'!AO119,'Adjusted Statements'!AP119)</f>
        <v>48.386149792999625</v>
      </c>
      <c r="J51" s="36">
        <f>'Adjusted Statements'!AP96/AVERAGE('Adjusted Statements'!AP119,'Adjusted Statements'!AQ119)</f>
        <v>53.168573943661968</v>
      </c>
      <c r="K51" s="36">
        <f>'Adjusted Statements'!AQ96/AVERAGE('Adjusted Statements'!AQ119,'Adjusted Statements'!AR119)</f>
        <v>47.877693144722528</v>
      </c>
      <c r="L51" s="36">
        <f>'Adjusted Statements'!AR96/AVERAGE('Adjusted Statements'!AR119,'Adjusted Statements'!AS119)</f>
        <v>51.074858757062145</v>
      </c>
      <c r="M51" s="36">
        <f>'Adjusted Statements'!AS96/AVERAGE('Adjusted Statements'!AS119,'Adjusted Statements'!AT119)</f>
        <v>50.93845767395127</v>
      </c>
      <c r="N51" s="36">
        <f>'Adjusted Statements'!AT96/AVERAGE('Adjusted Statements'!AT119,'Adjusted Statements'!AU119)</f>
        <v>56.878894956633474</v>
      </c>
      <c r="O51" s="36">
        <f>'Adjusted Statements'!AU96/AVERAGE('Adjusted Statements'!AU119,'Adjusted Statements'!AV119)</f>
        <v>78.858580775037751</v>
      </c>
    </row>
    <row r="52" spans="1:15" x14ac:dyDescent="0.25">
      <c r="A52" s="19" t="s">
        <v>119</v>
      </c>
      <c r="B52" s="37">
        <f t="shared" ref="B52:G52" si="14">360*(1/B51)</f>
        <v>8.6279814576193257</v>
      </c>
      <c r="C52" s="37">
        <f t="shared" si="14"/>
        <v>9.4410001933363414</v>
      </c>
      <c r="D52" s="37">
        <f t="shared" si="14"/>
        <v>9.9461977186311792</v>
      </c>
      <c r="E52" s="37">
        <f t="shared" si="14"/>
        <v>9.1600167996640049</v>
      </c>
      <c r="F52" s="37">
        <f t="shared" si="14"/>
        <v>8.3340354819079714</v>
      </c>
      <c r="G52" s="37">
        <f t="shared" si="14"/>
        <v>7.6434388840048433</v>
      </c>
      <c r="H52" s="37">
        <f t="shared" ref="H52:O52" si="15">360*(1/H51)</f>
        <v>8.0431121589760863</v>
      </c>
      <c r="I52" s="37">
        <f t="shared" si="15"/>
        <v>7.4401456106781163</v>
      </c>
      <c r="J52" s="37">
        <f t="shared" si="15"/>
        <v>6.7709169777895521</v>
      </c>
      <c r="K52" s="37">
        <f t="shared" si="15"/>
        <v>7.5191592650842276</v>
      </c>
      <c r="L52" s="37">
        <f t="shared" si="15"/>
        <v>7.0484776416581401</v>
      </c>
      <c r="M52" s="37">
        <f t="shared" si="15"/>
        <v>7.0673517895712719</v>
      </c>
      <c r="N52" s="37">
        <f t="shared" si="15"/>
        <v>6.3292368860976822</v>
      </c>
      <c r="O52" s="37">
        <f t="shared" si="15"/>
        <v>4.5651341485206647</v>
      </c>
    </row>
    <row r="53" spans="1:15" x14ac:dyDescent="0.25">
      <c r="A53" s="19" t="s">
        <v>120</v>
      </c>
      <c r="B53" s="36">
        <f>-'Adjusted Statements'!AH25/AVERAGE('Adjusted Statements'!AH120,'Adjusted Statements'!AI120)</f>
        <v>2.4078808922558923</v>
      </c>
      <c r="C53" s="36">
        <f>-'Adjusted Statements'!AI25/AVERAGE('Adjusted Statements'!AI120,'Adjusted Statements'!AJ120)</f>
        <v>2.9051148999258709</v>
      </c>
      <c r="D53" s="36">
        <f>-'Adjusted Statements'!AJ25/AVERAGE('Adjusted Statements'!AJ120,'Adjusted Statements'!AK120)</f>
        <v>2.7705682247700643</v>
      </c>
      <c r="E53" s="36">
        <f>-'Adjusted Statements'!AK25/AVERAGE('Adjusted Statements'!AK120,'Adjusted Statements'!AL120)</f>
        <v>2.786443371432064</v>
      </c>
      <c r="F53" s="36">
        <f>-'Adjusted Statements'!AL25/AVERAGE('Adjusted Statements'!AL120,'Adjusted Statements'!AM120)</f>
        <v>3.0139839123132681</v>
      </c>
      <c r="G53" s="36">
        <f>-'Adjusted Statements'!AM25/AVERAGE('Adjusted Statements'!AM120,'Adjusted Statements'!AN120)</f>
        <v>3.4799258522470384</v>
      </c>
      <c r="H53" s="36">
        <f>-'Adjusted Statements'!AN25/AVERAGE('Adjusted Statements'!AN120,'Adjusted Statements'!AO120)</f>
        <v>3.4239570059283064</v>
      </c>
      <c r="I53" s="36">
        <f>-'Adjusted Statements'!AO25/AVERAGE('Adjusted Statements'!AO120,'Adjusted Statements'!AP120)</f>
        <v>3.2630688228657392</v>
      </c>
      <c r="J53" s="36">
        <f>-'Adjusted Statements'!AP25/AVERAGE('Adjusted Statements'!AP120,'Adjusted Statements'!AQ120)</f>
        <v>3.3420363736566547</v>
      </c>
      <c r="K53" s="36">
        <f>-'Adjusted Statements'!AQ25/AVERAGE('Adjusted Statements'!AQ120,'Adjusted Statements'!AR120)</f>
        <v>3.4368134039358256</v>
      </c>
      <c r="L53" s="36">
        <f>-'Adjusted Statements'!AR25/AVERAGE('Adjusted Statements'!AR120,'Adjusted Statements'!AS120)</f>
        <v>3.6708243199705435</v>
      </c>
      <c r="M53" s="36">
        <f>-'Adjusted Statements'!AS25/AVERAGE('Adjusted Statements'!AS120,'Adjusted Statements'!AT120)</f>
        <v>4.1204909284951974</v>
      </c>
      <c r="N53" s="36">
        <f>-'Adjusted Statements'!AT25/AVERAGE('Adjusted Statements'!AT120,'Adjusted Statements'!AU120)</f>
        <v>4.1069888882142207</v>
      </c>
      <c r="O53" s="36">
        <f>-'Adjusted Statements'!AU25/AVERAGE('Adjusted Statements'!AU120,'Adjusted Statements'!AV120)</f>
        <v>3.9892027124893015</v>
      </c>
    </row>
    <row r="54" spans="1:15" x14ac:dyDescent="0.25">
      <c r="A54" s="19" t="s">
        <v>121</v>
      </c>
      <c r="B54" s="37">
        <f t="shared" ref="B54:G54" si="16">360*(1/B53)</f>
        <v>149.50905634818326</v>
      </c>
      <c r="C54" s="37">
        <f t="shared" si="16"/>
        <v>123.9193671855065</v>
      </c>
      <c r="D54" s="37">
        <f t="shared" si="16"/>
        <v>129.93724420190995</v>
      </c>
      <c r="E54" s="37">
        <f t="shared" si="16"/>
        <v>129.19695540590934</v>
      </c>
      <c r="F54" s="37">
        <f t="shared" si="16"/>
        <v>119.44323874101099</v>
      </c>
      <c r="G54" s="37">
        <f t="shared" si="16"/>
        <v>103.45048006340215</v>
      </c>
      <c r="H54" s="37">
        <f t="shared" ref="H54:O54" si="17">360*(1/H53)</f>
        <v>105.14150714412854</v>
      </c>
      <c r="I54" s="37">
        <f t="shared" si="17"/>
        <v>110.32559211663688</v>
      </c>
      <c r="J54" s="37">
        <f t="shared" si="17"/>
        <v>107.71875579741511</v>
      </c>
      <c r="K54" s="37">
        <f t="shared" si="17"/>
        <v>104.7481948213218</v>
      </c>
      <c r="L54" s="37">
        <f t="shared" si="17"/>
        <v>98.070615376899553</v>
      </c>
      <c r="M54" s="37">
        <f t="shared" si="17"/>
        <v>87.368230205392521</v>
      </c>
      <c r="N54" s="37">
        <f t="shared" si="17"/>
        <v>87.655459948549634</v>
      </c>
      <c r="O54" s="37">
        <f t="shared" si="17"/>
        <v>90.243596514391342</v>
      </c>
    </row>
    <row r="55" spans="1:15" x14ac:dyDescent="0.25">
      <c r="A55" s="19" t="s">
        <v>122</v>
      </c>
      <c r="B55" s="36">
        <f>-'Adjusted Statements'!AH25/AVERAGE('Adjusted Statements'!AH122,'Adjusted Statements'!AI122)</f>
        <v>10.552539051242146</v>
      </c>
      <c r="C55" s="36">
        <f>-'Adjusted Statements'!AI25/AVERAGE('Adjusted Statements'!AI122,'Adjusted Statements'!AJ122)</f>
        <v>14.992758573575625</v>
      </c>
      <c r="D55" s="36">
        <f>-'Adjusted Statements'!AJ25/AVERAGE('Adjusted Statements'!AJ122,'Adjusted Statements'!AK122)</f>
        <v>14.121298608633607</v>
      </c>
      <c r="E55" s="36">
        <f>-'Adjusted Statements'!AK25/AVERAGE('Adjusted Statements'!AK122,'Adjusted Statements'!AL122)</f>
        <v>12.59625613041376</v>
      </c>
      <c r="F55" s="36">
        <f>-'Adjusted Statements'!AL25/AVERAGE('Adjusted Statements'!AL122,'Adjusted Statements'!AM122)</f>
        <v>12.85522545619062</v>
      </c>
      <c r="G55" s="36">
        <f>-'Adjusted Statements'!AM25/AVERAGE('Adjusted Statements'!AM122,'Adjusted Statements'!AN122)</f>
        <v>13.362673611111111</v>
      </c>
      <c r="H55" s="36">
        <f>-'Adjusted Statements'!AN25/AVERAGE('Adjusted Statements'!AN122,'Adjusted Statements'!AO122)</f>
        <v>11.895861405197305</v>
      </c>
      <c r="I55" s="36">
        <f>-'Adjusted Statements'!AO25/AVERAGE('Adjusted Statements'!AO122,'Adjusted Statements'!AP122)</f>
        <v>11.436511423550089</v>
      </c>
      <c r="J55" s="36">
        <f>-'Adjusted Statements'!AP25/AVERAGE('Adjusted Statements'!AP122,'Adjusted Statements'!AQ122)</f>
        <v>11.360028099754127</v>
      </c>
      <c r="K55" s="36">
        <f>-'Adjusted Statements'!AQ25/AVERAGE('Adjusted Statements'!AQ122,'Adjusted Statements'!AR122)</f>
        <v>10.514023210831722</v>
      </c>
      <c r="L55" s="36">
        <f>-'Adjusted Statements'!AR25/AVERAGE('Adjusted Statements'!AR122,'Adjusted Statements'!AS122)</f>
        <v>10.45020964360587</v>
      </c>
      <c r="M55" s="36">
        <f>-'Adjusted Statements'!AS25/AVERAGE('Adjusted Statements'!AS122,'Adjusted Statements'!AT122)</f>
        <v>10.541706484641638</v>
      </c>
      <c r="N55" s="36">
        <f>-'Adjusted Statements'!AT25/AVERAGE('Adjusted Statements'!AT122,'Adjusted Statements'!AU122)</f>
        <v>11.014167073766487</v>
      </c>
      <c r="O55" s="36">
        <f>-'Adjusted Statements'!AU25/AVERAGE('Adjusted Statements'!AU122,'Adjusted Statements'!AV122)</f>
        <v>13.693107344632768</v>
      </c>
    </row>
    <row r="56" spans="1:15" x14ac:dyDescent="0.25">
      <c r="A56" s="19" t="s">
        <v>123</v>
      </c>
      <c r="B56" s="37">
        <f t="shared" ref="B56:G56" si="18">360*(1/B55)</f>
        <v>34.115012344600061</v>
      </c>
      <c r="C56" s="37">
        <f t="shared" si="18"/>
        <v>24.011591878394636</v>
      </c>
      <c r="D56" s="37">
        <f t="shared" si="18"/>
        <v>25.493406093678942</v>
      </c>
      <c r="E56" s="37">
        <f t="shared" si="18"/>
        <v>28.579920594880342</v>
      </c>
      <c r="F56" s="37">
        <f t="shared" si="18"/>
        <v>28.004176296000843</v>
      </c>
      <c r="G56" s="37">
        <f t="shared" si="18"/>
        <v>26.940716392313785</v>
      </c>
      <c r="H56" s="37">
        <f t="shared" ref="H56:O56" si="19">360*(1/H55)</f>
        <v>30.262625608828621</v>
      </c>
      <c r="I56" s="37">
        <f t="shared" si="19"/>
        <v>31.478130582608191</v>
      </c>
      <c r="J56" s="37">
        <f t="shared" si="19"/>
        <v>31.690062457485624</v>
      </c>
      <c r="K56" s="37">
        <f t="shared" si="19"/>
        <v>34.239985282619692</v>
      </c>
      <c r="L56" s="37">
        <f t="shared" si="19"/>
        <v>34.449069662470535</v>
      </c>
      <c r="M56" s="37">
        <f t="shared" si="19"/>
        <v>34.150068636846328</v>
      </c>
      <c r="N56" s="37">
        <f t="shared" si="19"/>
        <v>32.685176971524889</v>
      </c>
      <c r="O56" s="37">
        <f t="shared" si="19"/>
        <v>26.290599419065224</v>
      </c>
    </row>
    <row r="57" spans="1:15" x14ac:dyDescent="0.25">
      <c r="A57" s="19" t="s">
        <v>213</v>
      </c>
      <c r="B57" s="37">
        <f t="shared" ref="B57:G57" si="20">B54+B52-B56</f>
        <v>124.02202546120252</v>
      </c>
      <c r="C57" s="37">
        <f t="shared" si="20"/>
        <v>109.34877550044821</v>
      </c>
      <c r="D57" s="37">
        <f t="shared" si="20"/>
        <v>114.39003582686217</v>
      </c>
      <c r="E57" s="37">
        <f t="shared" si="20"/>
        <v>109.77705161069298</v>
      </c>
      <c r="F57" s="37">
        <f t="shared" si="20"/>
        <v>99.773097926918126</v>
      </c>
      <c r="G57" s="37">
        <f t="shared" si="20"/>
        <v>84.153202555093202</v>
      </c>
      <c r="H57" s="37">
        <f t="shared" ref="H57:O57" si="21">H54+H52-H56</f>
        <v>82.921993694276011</v>
      </c>
      <c r="I57" s="37">
        <f t="shared" si="21"/>
        <v>86.287607144706811</v>
      </c>
      <c r="J57" s="37">
        <f t="shared" si="21"/>
        <v>82.799610317719043</v>
      </c>
      <c r="K57" s="37">
        <f t="shared" si="21"/>
        <v>78.027368803786345</v>
      </c>
      <c r="L57" s="37">
        <f t="shared" si="21"/>
        <v>70.670023356087157</v>
      </c>
      <c r="M57" s="37">
        <f t="shared" si="21"/>
        <v>60.28551335811747</v>
      </c>
      <c r="N57" s="37">
        <f t="shared" si="21"/>
        <v>61.29951986312242</v>
      </c>
      <c r="O57" s="37">
        <f t="shared" si="21"/>
        <v>68.518131243846796</v>
      </c>
    </row>
    <row r="59" spans="1:15" x14ac:dyDescent="0.25">
      <c r="A59" s="10" t="s">
        <v>306</v>
      </c>
    </row>
    <row r="60" spans="1:15" x14ac:dyDescent="0.25">
      <c r="A60" s="32" t="s">
        <v>103</v>
      </c>
      <c r="B60" s="33">
        <v>2020</v>
      </c>
      <c r="C60" s="33">
        <v>2019</v>
      </c>
      <c r="D60" s="33">
        <v>2018</v>
      </c>
      <c r="E60" s="33">
        <v>2017</v>
      </c>
      <c r="F60" s="33">
        <v>2016</v>
      </c>
      <c r="G60" s="33">
        <v>2015</v>
      </c>
      <c r="H60" s="33">
        <v>2014</v>
      </c>
      <c r="I60" s="33">
        <v>2013</v>
      </c>
      <c r="J60" s="33">
        <v>2012</v>
      </c>
      <c r="K60" s="33">
        <v>2011</v>
      </c>
      <c r="L60" s="33">
        <v>2010</v>
      </c>
      <c r="M60" s="33">
        <v>2009</v>
      </c>
      <c r="N60" s="33">
        <v>2008</v>
      </c>
      <c r="O60" s="33">
        <v>2007</v>
      </c>
    </row>
    <row r="61" spans="1:15" x14ac:dyDescent="0.25">
      <c r="A61" s="19" t="s">
        <v>124</v>
      </c>
      <c r="B61" s="36">
        <f>AVERAGE('Adjusted Statements'!AH44,'Adjusted Statements'!AI44)/AVERAGE('Adjusted Statements'!AH66,'Adjusted Statements'!AI66)</f>
        <v>1.0701054813239488</v>
      </c>
      <c r="C61" s="36">
        <f>AVERAGE('Adjusted Statements'!AI44,'Adjusted Statements'!AJ44)/AVERAGE('Adjusted Statements'!AI66,'Adjusted Statements'!AJ66)</f>
        <v>1.0135024494460463</v>
      </c>
      <c r="D61" s="36">
        <f>AVERAGE('Adjusted Statements'!AJ44,'Adjusted Statements'!AK44)/AVERAGE('Adjusted Statements'!AJ66,'Adjusted Statements'!AK66)</f>
        <v>1.0261041324672384</v>
      </c>
      <c r="E61" s="36">
        <f>AVERAGE('Adjusted Statements'!AK44,'Adjusted Statements'!AL44)/AVERAGE('Adjusted Statements'!AK66,'Adjusted Statements'!AL66)</f>
        <v>1.0544717847152711</v>
      </c>
      <c r="F61" s="36">
        <f>AVERAGE('Adjusted Statements'!AL44,'Adjusted Statements'!AM44)/AVERAGE('Adjusted Statements'!AL66,'Adjusted Statements'!AM66)</f>
        <v>1.1737232582464416</v>
      </c>
      <c r="G61" s="36">
        <f>AVERAGE('Adjusted Statements'!AM44,'Adjusted Statements'!AN44)/AVERAGE('Adjusted Statements'!AM66,'Adjusted Statements'!AN66)</f>
        <v>1.291547837461327</v>
      </c>
      <c r="H61" s="36">
        <f>AVERAGE('Adjusted Statements'!AN44,'Adjusted Statements'!AO44)/AVERAGE('Adjusted Statements'!AN66,'Adjusted Statements'!AO66)</f>
        <v>1.3750607020507597</v>
      </c>
      <c r="I61" s="36">
        <f>AVERAGE('Adjusted Statements'!AO44,'Adjusted Statements'!AP44)/AVERAGE('Adjusted Statements'!AO66,'Adjusted Statements'!AP66)</f>
        <v>1.5165033305638203</v>
      </c>
      <c r="J61" s="36">
        <f>AVERAGE('Adjusted Statements'!AP44,'Adjusted Statements'!AQ44)/AVERAGE('Adjusted Statements'!AP66,'Adjusted Statements'!AQ66)</f>
        <v>1.6681226574988435</v>
      </c>
      <c r="K61" s="36">
        <f>AVERAGE('Adjusted Statements'!AQ44,'Adjusted Statements'!AR44)/AVERAGE('Adjusted Statements'!AQ66,'Adjusted Statements'!AR66)</f>
        <v>1.7837750628132658</v>
      </c>
      <c r="L61" s="36">
        <f>AVERAGE('Adjusted Statements'!AR44,'Adjusted Statements'!AS44)/AVERAGE('Adjusted Statements'!AR66,'Adjusted Statements'!AS66)</f>
        <v>1.8827049543046677</v>
      </c>
      <c r="M61" s="36">
        <f>AVERAGE('Adjusted Statements'!AS44,'Adjusted Statements'!AT44)/AVERAGE('Adjusted Statements'!AS66,'Adjusted Statements'!AT66)</f>
        <v>1.9603427060892327</v>
      </c>
      <c r="N61" s="36">
        <f>AVERAGE('Adjusted Statements'!AT44,'Adjusted Statements'!AU44)/AVERAGE('Adjusted Statements'!AT66,'Adjusted Statements'!AU66)</f>
        <v>2.102707295483774</v>
      </c>
      <c r="O61" s="36">
        <f>AVERAGE('Adjusted Statements'!AU44,'Adjusted Statements'!AV44)/AVERAGE('Adjusted Statements'!AU66,'Adjusted Statements'!AV66)</f>
        <v>2.2680647836480508</v>
      </c>
    </row>
    <row r="62" spans="1:15" x14ac:dyDescent="0.25">
      <c r="A62" s="19" t="s">
        <v>125</v>
      </c>
      <c r="B62" s="36">
        <f>AVERAGE('Adjusted Statements'!AH41+'Adjusted Statements'!AH43,'Adjusted Statements'!AI41+'Adjusted Statements'!AI43)/AVERAGE('Adjusted Statements'!AH66,'Adjusted Statements'!AI66)</f>
        <v>0.32056796225594131</v>
      </c>
      <c r="C62" s="36">
        <f>AVERAGE('Adjusted Statements'!AI41+'Adjusted Statements'!AI43,'Adjusted Statements'!AJ41+'Adjusted Statements'!AJ43)/AVERAGE('Adjusted Statements'!AI66,'Adjusted Statements'!AJ66)</f>
        <v>0.29798944306067443</v>
      </c>
      <c r="D62" s="36">
        <f>AVERAGE('Adjusted Statements'!AJ41+'Adjusted Statements'!AJ43,'Adjusted Statements'!AK41+'Adjusted Statements'!AK43)/AVERAGE('Adjusted Statements'!AJ66,'Adjusted Statements'!AK66)</f>
        <v>0.29019186709381495</v>
      </c>
      <c r="E62" s="36">
        <f>AVERAGE('Adjusted Statements'!AK41+'Adjusted Statements'!AK43,'Adjusted Statements'!AL41+'Adjusted Statements'!AL43)/AVERAGE('Adjusted Statements'!AK66,'Adjusted Statements'!AL66)</f>
        <v>0.29449013084515613</v>
      </c>
      <c r="F62" s="36">
        <f>AVERAGE('Adjusted Statements'!AL41+'Adjusted Statements'!AL43,'Adjusted Statements'!AM41+'Adjusted Statements'!AM43)/AVERAGE('Adjusted Statements'!AL66,'Adjusted Statements'!AM66)</f>
        <v>0.38814072246098147</v>
      </c>
      <c r="G62" s="36">
        <f>AVERAGE('Adjusted Statements'!AM41+'Adjusted Statements'!AM43,'Adjusted Statements'!AN41+'Adjusted Statements'!AN43)/AVERAGE('Adjusted Statements'!AM66,'Adjusted Statements'!AN66)</f>
        <v>0.55326638054299015</v>
      </c>
      <c r="H62" s="36">
        <f>AVERAGE('Adjusted Statements'!AN41+'Adjusted Statements'!AN43,'Adjusted Statements'!AO41+'Adjusted Statements'!AO43)/AVERAGE('Adjusted Statements'!AN66,'Adjusted Statements'!AO66)</f>
        <v>0.68808849374576952</v>
      </c>
      <c r="I62" s="36">
        <f>AVERAGE('Adjusted Statements'!AO41+'Adjusted Statements'!AO43,'Adjusted Statements'!AP41+'Adjusted Statements'!AP43)/AVERAGE('Adjusted Statements'!AO66,'Adjusted Statements'!AP66)</f>
        <v>0.79100332115388494</v>
      </c>
      <c r="J62" s="36">
        <f>AVERAGE('Adjusted Statements'!AP41+'Adjusted Statements'!AP43,'Adjusted Statements'!AQ41+'Adjusted Statements'!AQ43)/AVERAGE('Adjusted Statements'!AP66,'Adjusted Statements'!AQ66)</f>
        <v>0.93641190886354542</v>
      </c>
      <c r="K62" s="36">
        <f>AVERAGE('Adjusted Statements'!AQ41+'Adjusted Statements'!AQ43,'Adjusted Statements'!AR41+'Adjusted Statements'!AR43)/AVERAGE('Adjusted Statements'!AQ66,'Adjusted Statements'!AR66)</f>
        <v>1.1320278336254423</v>
      </c>
      <c r="L62" s="36">
        <f>AVERAGE('Adjusted Statements'!AR41+'Adjusted Statements'!AR43,'Adjusted Statements'!AS41+'Adjusted Statements'!AS43)/AVERAGE('Adjusted Statements'!AR66,'Adjusted Statements'!AS66)</f>
        <v>1.2617252151954488</v>
      </c>
      <c r="M62" s="36">
        <f>AVERAGE('Adjusted Statements'!AS41+'Adjusted Statements'!AS43,'Adjusted Statements'!AT41+'Adjusted Statements'!AT43)/AVERAGE('Adjusted Statements'!AS66,'Adjusted Statements'!AT66)</f>
        <v>1.354440831865543</v>
      </c>
      <c r="N62" s="36">
        <f>AVERAGE('Adjusted Statements'!AT41+'Adjusted Statements'!AT43,'Adjusted Statements'!AU41+'Adjusted Statements'!AU43)/AVERAGE('Adjusted Statements'!AT66,'Adjusted Statements'!AU66)</f>
        <v>1.4967985756517523</v>
      </c>
      <c r="O62" s="36">
        <f>AVERAGE('Adjusted Statements'!AU41+'Adjusted Statements'!AU43,'Adjusted Statements'!AV41+'Adjusted Statements'!AV43)/AVERAGE('Adjusted Statements'!AU66,'Adjusted Statements'!AV66)</f>
        <v>1.6102640274069562</v>
      </c>
    </row>
    <row r="63" spans="1:15" x14ac:dyDescent="0.25">
      <c r="A63" s="19" t="s">
        <v>126</v>
      </c>
      <c r="B63" s="36">
        <f>AVERAGE('Adjusted Statements'!AH43,'Adjusted Statements'!AI43)/AVERAGE('Adjusted Statements'!AH66,'Adjusted Statements'!AI66)</f>
        <v>0.24457325665728161</v>
      </c>
      <c r="C63" s="36">
        <f>AVERAGE('Adjusted Statements'!AI43,'Adjusted Statements'!AJ43)/AVERAGE('Adjusted Statements'!AI66,'Adjusted Statements'!AJ66)</f>
        <v>0.19724573990684688</v>
      </c>
      <c r="D63" s="36">
        <f>AVERAGE('Adjusted Statements'!AJ43,'Adjusted Statements'!AK43)/AVERAGE('Adjusted Statements'!AJ66,'Adjusted Statements'!AK66)</f>
        <v>0.1877515122376574</v>
      </c>
      <c r="E63" s="36">
        <f>AVERAGE('Adjusted Statements'!AK43,'Adjusted Statements'!AL43)/AVERAGE('Adjusted Statements'!AK66,'Adjusted Statements'!AL66)</f>
        <v>0.19233892943618611</v>
      </c>
      <c r="F63" s="36">
        <f>AVERAGE('Adjusted Statements'!AL43,'Adjusted Statements'!AM43)/AVERAGE('Adjusted Statements'!AL66,'Adjusted Statements'!AM66)</f>
        <v>0.27774297463851177</v>
      </c>
      <c r="G63" s="36">
        <f>AVERAGE('Adjusted Statements'!AM43,'Adjusted Statements'!AN43)/AVERAGE('Adjusted Statements'!AM66,'Adjusted Statements'!AN66)</f>
        <v>0.43942007122781818</v>
      </c>
      <c r="H63" s="36">
        <f>AVERAGE('Adjusted Statements'!AN43,'Adjusted Statements'!AO43)/AVERAGE('Adjusted Statements'!AN66,'Adjusted Statements'!AO66)</f>
        <v>0.57365232265013055</v>
      </c>
      <c r="I63" s="36">
        <f>AVERAGE('Adjusted Statements'!AO43,'Adjusted Statements'!AP43)/AVERAGE('Adjusted Statements'!AO66,'Adjusted Statements'!AP66)</f>
        <v>0.68507374154118006</v>
      </c>
      <c r="J63" s="36">
        <f>AVERAGE('Adjusted Statements'!AP43,'Adjusted Statements'!AQ43)/AVERAGE('Adjusted Statements'!AP66,'Adjusted Statements'!AQ66)</f>
        <v>0.83737420953676134</v>
      </c>
      <c r="K63" s="36">
        <f>AVERAGE('Adjusted Statements'!AQ43,'Adjusted Statements'!AR43)/AVERAGE('Adjusted Statements'!AQ66,'Adjusted Statements'!AR66)</f>
        <v>1.0294915060971768</v>
      </c>
      <c r="L63" s="36">
        <f>AVERAGE('Adjusted Statements'!AR43,'Adjusted Statements'!AS43)/AVERAGE('Adjusted Statements'!AR66,'Adjusted Statements'!AS66)</f>
        <v>1.1569001831375922</v>
      </c>
      <c r="M63" s="36">
        <f>AVERAGE('Adjusted Statements'!AS43,'Adjusted Statements'!AT43)/AVERAGE('Adjusted Statements'!AS66,'Adjusted Statements'!AT66)</f>
        <v>1.2437942556598316</v>
      </c>
      <c r="N63" s="36">
        <f>AVERAGE('Adjusted Statements'!AT43,'Adjusted Statements'!AU43)/AVERAGE('Adjusted Statements'!AT66,'Adjusted Statements'!AU66)</f>
        <v>1.3972422658852011</v>
      </c>
      <c r="O63" s="36">
        <f>AVERAGE('Adjusted Statements'!AU43,'Adjusted Statements'!AV43)/AVERAGE('Adjusted Statements'!AU66,'Adjusted Statements'!AV66)</f>
        <v>1.533306296445401</v>
      </c>
    </row>
    <row r="64" spans="1:15" x14ac:dyDescent="0.25">
      <c r="A64" s="19" t="s">
        <v>127</v>
      </c>
      <c r="B64" s="36">
        <f>'Adjusted Statements'!AH80/AVERAGE('Adjusted Statements'!AH66,'Adjusted Statements'!AI66)</f>
        <v>0.45209737777884362</v>
      </c>
      <c r="C64" s="36">
        <f>'Adjusted Statements'!AI80/AVERAGE('Adjusted Statements'!AI66,'Adjusted Statements'!AJ66)</f>
        <v>0.82052164615156531</v>
      </c>
      <c r="D64" s="36">
        <f>'Adjusted Statements'!AJ80/AVERAGE('Adjusted Statements'!AJ66,'Adjusted Statements'!AK66)</f>
        <v>0.72556892353330993</v>
      </c>
      <c r="E64" s="36">
        <f>'Adjusted Statements'!AK80/AVERAGE('Adjusted Statements'!AK66,'Adjusted Statements'!AL66)</f>
        <v>0.80561729900339407</v>
      </c>
      <c r="F64" s="36">
        <f>'Adjusted Statements'!AL80/AVERAGE('Adjusted Statements'!AL66,'Adjusted Statements'!AM66)</f>
        <v>1.0852761848389469</v>
      </c>
      <c r="G64" s="36">
        <f>'Adjusted Statements'!AM80/AVERAGE('Adjusted Statements'!AM66,'Adjusted Statements'!AN66)</f>
        <v>1.3054114949972875</v>
      </c>
      <c r="H64" s="36">
        <f>'Adjusted Statements'!AN80/AVERAGE('Adjusted Statements'!AN66,'Adjusted Statements'!AO66)</f>
        <v>1.3790106266223379</v>
      </c>
      <c r="I64" s="36">
        <f>'Adjusted Statements'!AO80/AVERAGE('Adjusted Statements'!AO66,'Adjusted Statements'!AP66)</f>
        <v>1.5282285260503385</v>
      </c>
      <c r="J64" s="36">
        <f>'Adjusted Statements'!AP80/AVERAGE('Adjusted Statements'!AP66,'Adjusted Statements'!AQ66)</f>
        <v>1.3959967195912184</v>
      </c>
      <c r="K64" s="36">
        <f>'Adjusted Statements'!AQ80/AVERAGE('Adjusted Statements'!AQ66,'Adjusted Statements'!AR66)</f>
        <v>1.3170353248195203</v>
      </c>
      <c r="L64" s="36">
        <f>'Adjusted Statements'!AR80/AVERAGE('Adjusted Statements'!AR66,'Adjusted Statements'!AS66)</f>
        <v>1.6781026101089189</v>
      </c>
      <c r="M64" s="36">
        <f>'Adjusted Statements'!AS80/AVERAGE('Adjusted Statements'!AS66,'Adjusted Statements'!AT66)</f>
        <v>1.6196052289084084</v>
      </c>
      <c r="N64" s="36">
        <f>'Adjusted Statements'!AT80/AVERAGE('Adjusted Statements'!AT66,'Adjusted Statements'!AU66)</f>
        <v>1.6799000033391949</v>
      </c>
      <c r="O64" s="36">
        <f>'Adjusted Statements'!AU80/AVERAGE('Adjusted Statements'!AU66,'Adjusted Statements'!AV66)</f>
        <v>1.7581784126039197</v>
      </c>
    </row>
    <row r="66" spans="1:15" x14ac:dyDescent="0.25">
      <c r="A66" s="10" t="s">
        <v>307</v>
      </c>
    </row>
    <row r="67" spans="1:15" x14ac:dyDescent="0.25">
      <c r="A67" s="32" t="s">
        <v>103</v>
      </c>
      <c r="B67" s="33">
        <v>2020</v>
      </c>
      <c r="C67" s="33">
        <v>2019</v>
      </c>
      <c r="D67" s="33">
        <v>2018</v>
      </c>
      <c r="E67" s="33">
        <v>2017</v>
      </c>
      <c r="F67" s="33">
        <v>2016</v>
      </c>
      <c r="G67" s="33">
        <v>2015</v>
      </c>
      <c r="H67" s="33">
        <v>2014</v>
      </c>
      <c r="I67" s="33">
        <v>2013</v>
      </c>
      <c r="J67" s="33">
        <v>2012</v>
      </c>
      <c r="K67" s="33">
        <v>2011</v>
      </c>
      <c r="L67" s="33">
        <v>2010</v>
      </c>
      <c r="M67" s="33">
        <v>2009</v>
      </c>
      <c r="N67" s="33">
        <v>2008</v>
      </c>
      <c r="O67" s="33">
        <v>2007</v>
      </c>
    </row>
    <row r="68" spans="1:15" x14ac:dyDescent="0.25">
      <c r="A68" s="19" t="s">
        <v>128</v>
      </c>
      <c r="B68" s="36">
        <f>AVERAGE('Adjusted Statements'!AH61+'Adjusted Statements'!AH66,'Adjusted Statements'!AI61+'Adjusted Statements'!AI66)/AVERAGE('Adjusted Statements'!AH148,'Adjusted Statements'!AI148)</f>
        <v>2.2304800732652201</v>
      </c>
      <c r="C68" s="36">
        <f>AVERAGE('Adjusted Statements'!AI61+'Adjusted Statements'!AI66,'Adjusted Statements'!AJ61+'Adjusted Statements'!AJ66)/AVERAGE('Adjusted Statements'!AI148,'Adjusted Statements'!AJ148)</f>
        <v>2.2057736796412737</v>
      </c>
      <c r="D68" s="36">
        <f>AVERAGE('Adjusted Statements'!AJ61+'Adjusted Statements'!AJ66,'Adjusted Statements'!AK61+'Adjusted Statements'!AK66)/AVERAGE('Adjusted Statements'!AJ148,'Adjusted Statements'!AK148)</f>
        <v>2.0740194143218069</v>
      </c>
      <c r="E68" s="36">
        <f>AVERAGE('Adjusted Statements'!AK61+'Adjusted Statements'!AK66,'Adjusted Statements'!AL61+'Adjusted Statements'!AL66)/AVERAGE('Adjusted Statements'!AK148,'Adjusted Statements'!AL148)</f>
        <v>1.9204670383497273</v>
      </c>
      <c r="F68" s="36">
        <f>AVERAGE('Adjusted Statements'!AL61+'Adjusted Statements'!AL66,'Adjusted Statements'!AM61+'Adjusted Statements'!AM66)/AVERAGE('Adjusted Statements'!AL148,'Adjusted Statements'!AM148)</f>
        <v>1.8316123481374582</v>
      </c>
      <c r="G68" s="36">
        <f>AVERAGE('Adjusted Statements'!AM61+'Adjusted Statements'!AM66,'Adjusted Statements'!AN61+'Adjusted Statements'!AN66)/AVERAGE('Adjusted Statements'!AM148,'Adjusted Statements'!AN148)</f>
        <v>1.8486239294374227</v>
      </c>
      <c r="H68" s="36">
        <f>AVERAGE('Adjusted Statements'!AN61+'Adjusted Statements'!AN66,'Adjusted Statements'!AO61+'Adjusted Statements'!AO66)/AVERAGE('Adjusted Statements'!AN148,'Adjusted Statements'!AO148)</f>
        <v>1.8145015843269396</v>
      </c>
      <c r="I68" s="36">
        <f>AVERAGE('Adjusted Statements'!AO61+'Adjusted Statements'!AO66,'Adjusted Statements'!AP61+'Adjusted Statements'!AP66)/AVERAGE('Adjusted Statements'!AO148,'Adjusted Statements'!AP148)</f>
        <v>1.6453950433312443</v>
      </c>
      <c r="J68" s="36">
        <f>AVERAGE('Adjusted Statements'!AP61+'Adjusted Statements'!AP66,'Adjusted Statements'!AQ61+'Adjusted Statements'!AQ66)/AVERAGE('Adjusted Statements'!AP148,'Adjusted Statements'!AQ148)</f>
        <v>1.5161418174470846</v>
      </c>
      <c r="K68" s="36">
        <f>AVERAGE('Adjusted Statements'!AQ61+'Adjusted Statements'!AQ66,'Adjusted Statements'!AR61+'Adjusted Statements'!AR66)/AVERAGE('Adjusted Statements'!AQ148,'Adjusted Statements'!AR148)</f>
        <v>1.4666284902060449</v>
      </c>
      <c r="L68" s="36">
        <f>AVERAGE('Adjusted Statements'!AR61+'Adjusted Statements'!AR66,'Adjusted Statements'!AS61+'Adjusted Statements'!AS66)/AVERAGE('Adjusted Statements'!AR148,'Adjusted Statements'!AS148)</f>
        <v>1.4765921626759451</v>
      </c>
      <c r="M68" s="36">
        <f>AVERAGE('Adjusted Statements'!AS61+'Adjusted Statements'!AS66,'Adjusted Statements'!AT61+'Adjusted Statements'!AT66)/AVERAGE('Adjusted Statements'!AS148,'Adjusted Statements'!AT148)</f>
        <v>1.5406289688533457</v>
      </c>
      <c r="N68" s="36">
        <f>AVERAGE('Adjusted Statements'!AT61+'Adjusted Statements'!AT66,'Adjusted Statements'!AU61+'Adjusted Statements'!AU66)/AVERAGE('Adjusted Statements'!AT148,'Adjusted Statements'!AU148)</f>
        <v>1.4510231430567004</v>
      </c>
      <c r="O68" s="36">
        <f>AVERAGE('Adjusted Statements'!AU61+'Adjusted Statements'!AU66,'Adjusted Statements'!AV61+'Adjusted Statements'!AV66)/AVERAGE('Adjusted Statements'!AU148,'Adjusted Statements'!AV148)</f>
        <v>1.3183485568501221</v>
      </c>
    </row>
    <row r="69" spans="1:15" x14ac:dyDescent="0.25">
      <c r="A69" s="19" t="s">
        <v>212</v>
      </c>
      <c r="B69" s="36">
        <f>AVERAGE('Adjusted Statements'!AH143,'Adjusted Statements'!AI143)/AVERAGE('Adjusted Statements'!AH148,'Adjusted Statements'!AI148)</f>
        <v>1.475913944983875</v>
      </c>
      <c r="C69" s="36">
        <f>AVERAGE('Adjusted Statements'!AI143,'Adjusted Statements'!AJ143)/AVERAGE('Adjusted Statements'!AI148,'Adjusted Statements'!AJ148)</f>
        <v>1.4686201960967511</v>
      </c>
      <c r="D69" s="36">
        <f>AVERAGE('Adjusted Statements'!AJ143,'Adjusted Statements'!AK143)/AVERAGE('Adjusted Statements'!AJ148,'Adjusted Statements'!AK148)</f>
        <v>1.4296540806051341</v>
      </c>
      <c r="E69" s="36">
        <f>AVERAGE('Adjusted Statements'!AK143,'Adjusted Statements'!AL143)/AVERAGE('Adjusted Statements'!AK148,'Adjusted Statements'!AL148)</f>
        <v>1.336253857587588</v>
      </c>
      <c r="F69" s="36">
        <f>AVERAGE('Adjusted Statements'!AL143,'Adjusted Statements'!AM143)/AVERAGE('Adjusted Statements'!AL148,'Adjusted Statements'!AM148)</f>
        <v>1.313600863038745</v>
      </c>
      <c r="G69" s="36">
        <f>AVERAGE('Adjusted Statements'!AM143,'Adjusted Statements'!AN143)/AVERAGE('Adjusted Statements'!AM148,'Adjusted Statements'!AN148)</f>
        <v>1.3841834385839031</v>
      </c>
      <c r="H69" s="36">
        <f>AVERAGE('Adjusted Statements'!AN143,'Adjusted Statements'!AO143)/AVERAGE('Adjusted Statements'!AN148,'Adjusted Statements'!AO148)</f>
        <v>1.3629809860045561</v>
      </c>
      <c r="I69" s="36">
        <f>AVERAGE('Adjusted Statements'!AO143,'Adjusted Statements'!AP143)/AVERAGE('Adjusted Statements'!AO148,'Adjusted Statements'!AP148)</f>
        <v>1.2403794960326575</v>
      </c>
      <c r="J69" s="36">
        <f>AVERAGE('Adjusted Statements'!AP143,'Adjusted Statements'!AQ143)/AVERAGE('Adjusted Statements'!AP148,'Adjusted Statements'!AQ148)</f>
        <v>1.1560285571189026</v>
      </c>
      <c r="K69" s="36">
        <f>AVERAGE('Adjusted Statements'!AQ143,'Adjusted Statements'!AR143)/AVERAGE('Adjusted Statements'!AQ148,'Adjusted Statements'!AR148)</f>
        <v>1.1215743418531519</v>
      </c>
      <c r="L69" s="36">
        <f>AVERAGE('Adjusted Statements'!AR143,'Adjusted Statements'!AS143)/AVERAGE('Adjusted Statements'!AR148,'Adjusted Statements'!AS148)</f>
        <v>1.1477486172374831</v>
      </c>
      <c r="M69" s="36">
        <f>AVERAGE('Adjusted Statements'!AS143,'Adjusted Statements'!AT143)/AVERAGE('Adjusted Statements'!AS148,'Adjusted Statements'!AT148)</f>
        <v>1.1947810774618317</v>
      </c>
      <c r="N69" s="36">
        <f>AVERAGE('Adjusted Statements'!AT143,'Adjusted Statements'!AU143)/AVERAGE('Adjusted Statements'!AT148,'Adjusted Statements'!AU148)</f>
        <v>1.1152613714071489</v>
      </c>
      <c r="O69" s="36">
        <f>AVERAGE('Adjusted Statements'!AU143,'Adjusted Statements'!AV143)/AVERAGE('Adjusted Statements'!AU148,'Adjusted Statements'!AV148)</f>
        <v>1.0430779796186951</v>
      </c>
    </row>
    <row r="70" spans="1:15" x14ac:dyDescent="0.25">
      <c r="A70" s="19" t="s">
        <v>281</v>
      </c>
      <c r="B70" s="36">
        <f>AVERAGE('Adjusted Statements'!AH143,'Adjusted Statements'!AI143)/AVERAGE('Adjusted Statements'!AH149,'Adjusted Statements'!AI149)</f>
        <v>0.59610874116769319</v>
      </c>
      <c r="C70" s="36">
        <f>AVERAGE('Adjusted Statements'!AI143,'Adjusted Statements'!AJ143)/AVERAGE('Adjusted Statements'!AI149,'Adjusted Statements'!AJ149)</f>
        <v>0.59491541000063686</v>
      </c>
      <c r="D70" s="36">
        <f>AVERAGE('Adjusted Statements'!AJ143,'Adjusted Statements'!AK143)/AVERAGE('Adjusted Statements'!AJ149,'Adjusted Statements'!AK149)</f>
        <v>0.58841877616136284</v>
      </c>
      <c r="E70" s="36">
        <f>AVERAGE('Adjusted Statements'!AK143,'Adjusted Statements'!AL143)/AVERAGE('Adjusted Statements'!AK149,'Adjusted Statements'!AL149)</f>
        <v>0.57196432367474037</v>
      </c>
      <c r="F70" s="36">
        <f>AVERAGE('Adjusted Statements'!AL143,'Adjusted Statements'!AM143)/AVERAGE('Adjusted Statements'!AL149,'Adjusted Statements'!AM149)</f>
        <v>0.56777332859109786</v>
      </c>
      <c r="G70" s="36">
        <f>AVERAGE('Adjusted Statements'!AM143,'Adjusted Statements'!AN143)/AVERAGE('Adjusted Statements'!AM149,'Adjusted Statements'!AN149)</f>
        <v>0.58056918615542663</v>
      </c>
      <c r="H70" s="36">
        <f>AVERAGE('Adjusted Statements'!AN143,'Adjusted Statements'!AO143)/AVERAGE('Adjusted Statements'!AN149,'Adjusted Statements'!AO149)</f>
        <v>0.5768057356691435</v>
      </c>
      <c r="I70" s="36">
        <f>AVERAGE('Adjusted Statements'!AO143,'Adjusted Statements'!AP143)/AVERAGE('Adjusted Statements'!AO149,'Adjusted Statements'!AP149)</f>
        <v>0.55364704873846815</v>
      </c>
      <c r="J70" s="36">
        <f>AVERAGE('Adjusted Statements'!AP143,'Adjusted Statements'!AQ143)/AVERAGE('Adjusted Statements'!AP149,'Adjusted Statements'!AQ149)</f>
        <v>0.53618425103965306</v>
      </c>
      <c r="K70" s="36">
        <f>AVERAGE('Adjusted Statements'!AQ143,'Adjusted Statements'!AR143)/AVERAGE('Adjusted Statements'!AQ149,'Adjusted Statements'!AR149)</f>
        <v>0.52865191651661836</v>
      </c>
      <c r="L70" s="36">
        <f>AVERAGE('Adjusted Statements'!AR143,'Adjusted Statements'!AS143)/AVERAGE('Adjusted Statements'!AR149,'Adjusted Statements'!AS149)</f>
        <v>0.53439616164845283</v>
      </c>
      <c r="M70" s="36">
        <f>AVERAGE('Adjusted Statements'!AS143,'Adjusted Statements'!AT143)/AVERAGE('Adjusted Statements'!AS149,'Adjusted Statements'!AT149)</f>
        <v>0.54437369163194338</v>
      </c>
      <c r="N70" s="36">
        <f>AVERAGE('Adjusted Statements'!AT143,'Adjusted Statements'!AU143)/AVERAGE('Adjusted Statements'!AT149,'Adjusted Statements'!AU149)</f>
        <v>0.52724518420399102</v>
      </c>
      <c r="O70" s="36">
        <f>AVERAGE('Adjusted Statements'!AU143,'Adjusted Statements'!AV143)/AVERAGE('Adjusted Statements'!AU149,'Adjusted Statements'!AV149)</f>
        <v>0.51054242178919051</v>
      </c>
    </row>
    <row r="71" spans="1:15" x14ac:dyDescent="0.25">
      <c r="A71" s="19" t="s">
        <v>129</v>
      </c>
      <c r="B71" s="36">
        <f>('Adjusted Statements'!AH15-'Adjusted Statements'!AH14-'Adjusted Statements'!AH12)/(-'Adjusted Statements'!AH12)</f>
        <v>2.5712098009188362</v>
      </c>
      <c r="C71" s="36">
        <f>('Adjusted Statements'!AI15-'Adjusted Statements'!AI14-'Adjusted Statements'!AI12)/(-'Adjusted Statements'!AI12)</f>
        <v>11.508443636879981</v>
      </c>
      <c r="D71" s="36">
        <f>('Adjusted Statements'!AJ15-'Adjusted Statements'!AJ14-'Adjusted Statements'!AJ12)/(-'Adjusted Statements'!AJ12)</f>
        <v>10.679908975255364</v>
      </c>
      <c r="E71" s="36">
        <f>('Adjusted Statements'!AK15-'Adjusted Statements'!AK14-'Adjusted Statements'!AK12)/(-'Adjusted Statements'!AK12)</f>
        <v>14.023777578639439</v>
      </c>
      <c r="F71" s="36">
        <f>('Adjusted Statements'!AL15-'Adjusted Statements'!AL14-'Adjusted Statements'!AL12)/(-'Adjusted Statements'!AL12)</f>
        <v>15.103031593025523</v>
      </c>
      <c r="G71" s="36">
        <f>('Adjusted Statements'!AM15-'Adjusted Statements'!AM14-'Adjusted Statements'!AM12)/(-'Adjusted Statements'!AM12)</f>
        <v>20.278107262176768</v>
      </c>
      <c r="H71" s="36">
        <f>('Adjusted Statements'!AN15-'Adjusted Statements'!AN14-'Adjusted Statements'!AN12)/(-'Adjusted Statements'!AN12)</f>
        <v>21.40210279488787</v>
      </c>
      <c r="I71" s="36">
        <f>('Adjusted Statements'!AO15-'Adjusted Statements'!AO14-'Adjusted Statements'!AO12)/(-'Adjusted Statements'!AO12)</f>
        <v>23.95372977516358</v>
      </c>
      <c r="J71" s="36">
        <f>('Adjusted Statements'!AP15-'Adjusted Statements'!AP14-'Adjusted Statements'!AP12)/(-'Adjusted Statements'!AP12)</f>
        <v>14.797768201077297</v>
      </c>
      <c r="K71" s="36">
        <f>('Adjusted Statements'!AQ15-'Adjusted Statements'!AQ14-'Adjusted Statements'!AQ12)/(-'Adjusted Statements'!AQ12)</f>
        <v>15.942583259802902</v>
      </c>
      <c r="L71" s="36">
        <f>('Adjusted Statements'!AR15-'Adjusted Statements'!AR14-'Adjusted Statements'!AR12)/(-'Adjusted Statements'!AR12)</f>
        <v>17.87642488550857</v>
      </c>
      <c r="M71" s="36">
        <f>('Adjusted Statements'!AS15-'Adjusted Statements'!AS14-'Adjusted Statements'!AS12)/(-'Adjusted Statements'!AS12)</f>
        <v>10.703890265248619</v>
      </c>
      <c r="N71" s="36">
        <f>('Adjusted Statements'!AT15-'Adjusted Statements'!AT14-'Adjusted Statements'!AT12)/(-'Adjusted Statements'!AT12)</f>
        <v>14.613725224733406</v>
      </c>
      <c r="O71" s="36">
        <f>('Adjusted Statements'!AU15-'Adjusted Statements'!AU14-'Adjusted Statements'!AU12)/(-'Adjusted Statements'!AU12)</f>
        <v>15.488544143019656</v>
      </c>
    </row>
    <row r="72" spans="1:15" x14ac:dyDescent="0.25">
      <c r="A72" s="19" t="s">
        <v>130</v>
      </c>
      <c r="B72" s="36">
        <f>('Adjusted Statements'!AH80-B73)/-B74</f>
        <v>23.266217457886675</v>
      </c>
      <c r="C72" s="36">
        <f>('Adjusted Statements'!AI80-C73)/-C74</f>
        <v>32.275750120623805</v>
      </c>
      <c r="D72" s="36">
        <f>('Adjusted Statements'!AJ80-D73)/-D74</f>
        <v>27.401690512804262</v>
      </c>
      <c r="E72" s="36">
        <f>('Adjusted Statements'!AK80-E73)/-E74</f>
        <v>28.906221210877199</v>
      </c>
      <c r="F72" s="36">
        <f>('Adjusted Statements'!AL80-F73)/-F74</f>
        <v>28.29289315082297</v>
      </c>
      <c r="G72" s="36">
        <f>('Adjusted Statements'!AM80-G73)/-G74</f>
        <v>36.128311482800356</v>
      </c>
      <c r="H72" s="36">
        <f>('Adjusted Statements'!AN80-H73)/-H74</f>
        <v>36.82366352991864</v>
      </c>
      <c r="I72" s="36">
        <f>('Adjusted Statements'!AO80-I73)/-I74</f>
        <v>42.177044959390535</v>
      </c>
      <c r="J72" s="36">
        <f>('Adjusted Statements'!AP80-J73)/-J74</f>
        <v>24.17548816085807</v>
      </c>
      <c r="K72" s="36">
        <f>('Adjusted Statements'!AQ80-K73)/-K74</f>
        <v>25.099148885956176</v>
      </c>
      <c r="L72" s="36">
        <f>('Adjusted Statements'!AR80-L73)/-L74</f>
        <v>26.624691807154431</v>
      </c>
      <c r="M72" s="36">
        <f>('Adjusted Statements'!AS80-M73)/-M74</f>
        <v>15.631341944222072</v>
      </c>
      <c r="N72" s="36">
        <f>('Adjusted Statements'!AT80-N73)/-N74</f>
        <v>20.689891049329791</v>
      </c>
      <c r="O72" s="36">
        <f>('Adjusted Statements'!AU80-O73)/-O74</f>
        <v>21.354563176522568</v>
      </c>
    </row>
    <row r="73" spans="1:15" x14ac:dyDescent="0.25">
      <c r="A73" s="19" t="s">
        <v>325</v>
      </c>
      <c r="B73" s="36">
        <f>'Adjusted Statements'!AH74-(1-'Adjusted Statements'!AH104)*('Adjusted Statements'!AH87/'Adjusted Statements'!AH104)</f>
        <v>-3719</v>
      </c>
      <c r="C73" s="36">
        <f>'Adjusted Statements'!AI74-(1-'Adjusted Statements'!AI104)*('Adjusted Statements'!AI87/'Adjusted Statements'!AI104)</f>
        <v>-3700</v>
      </c>
      <c r="D73" s="36">
        <f>'Adjusted Statements'!AJ74-(1-'Adjusted Statements'!AJ104)*('Adjusted Statements'!AJ87/'Adjusted Statements'!AJ104)</f>
        <v>-3098</v>
      </c>
      <c r="E73" s="36">
        <f>'Adjusted Statements'!AK74-(1-'Adjusted Statements'!AK104)*('Adjusted Statements'!AK87/'Adjusted Statements'!AK104)</f>
        <v>-6051.0000000000009</v>
      </c>
      <c r="F73" s="36">
        <f>'Adjusted Statements'!AL74-(1-'Adjusted Statements'!AL104)*('Adjusted Statements'!AL87/'Adjusted Statements'!AL104)</f>
        <v>-4470.0000000000009</v>
      </c>
      <c r="G73" s="36">
        <f>'Adjusted Statements'!AM74-(1-'Adjusted Statements'!AM104)*('Adjusted Statements'!AM87/'Adjusted Statements'!AM104)</f>
        <v>-7022</v>
      </c>
      <c r="H73" s="36">
        <f>'Adjusted Statements'!AN74-(1-'Adjusted Statements'!AN104)*('Adjusted Statements'!AN87/'Adjusted Statements'!AN104)</f>
        <v>-5971</v>
      </c>
      <c r="I73" s="36">
        <f>'Adjusted Statements'!AO74-(1-'Adjusted Statements'!AO104)*('Adjusted Statements'!AO87/'Adjusted Statements'!AO104)</f>
        <v>-3059</v>
      </c>
      <c r="J73" s="36">
        <f>'Adjusted Statements'!AP74-(1-'Adjusted Statements'!AP104)*('Adjusted Statements'!AP87/'Adjusted Statements'!AP104)</f>
        <v>-7021.0000000000009</v>
      </c>
      <c r="K73" s="36">
        <f>'Adjusted Statements'!AQ74-(1-'Adjusted Statements'!AQ104)*('Adjusted Statements'!AQ87/'Adjusted Statements'!AQ104)</f>
        <v>-5666</v>
      </c>
      <c r="L73" s="36">
        <f>'Adjusted Statements'!AR74-(1-'Adjusted Statements'!AR104)*('Adjusted Statements'!AR87/'Adjusted Statements'!AR104)</f>
        <v>-5451.0000000000009</v>
      </c>
      <c r="M73" s="36">
        <f>'Adjusted Statements'!AS74-(1-'Adjusted Statements'!AS104)*('Adjusted Statements'!AS87/'Adjusted Statements'!AS104)</f>
        <v>-6467.9999999999991</v>
      </c>
      <c r="N73" s="36">
        <f>'Adjusted Statements'!AT74-(1-'Adjusted Statements'!AT104)*('Adjusted Statements'!AT87/'Adjusted Statements'!AT104)</f>
        <v>-5939.9999999999991</v>
      </c>
      <c r="O73" s="36">
        <f>'Adjusted Statements'!AU74-(1-'Adjusted Statements'!AU104)*('Adjusted Statements'!AU87/'Adjusted Statements'!AU104)</f>
        <v>-5557.0000000000009</v>
      </c>
    </row>
    <row r="74" spans="1:15" x14ac:dyDescent="0.25">
      <c r="A74" s="19" t="s">
        <v>196</v>
      </c>
      <c r="B74" s="60">
        <f>'Adjusted Statements'!AH87/'Adjusted Statements'!AH104</f>
        <v>-1306</v>
      </c>
      <c r="C74" s="60">
        <f>'Adjusted Statements'!AI87/'Adjusted Statements'!AI104</f>
        <v>-1654.954872571738</v>
      </c>
      <c r="D74" s="60">
        <f>'Adjusted Statements'!AJ87/'Adjusted Statements'!AJ104</f>
        <v>-1615.6143657939128</v>
      </c>
      <c r="E74" s="60">
        <f>'Adjusted Statements'!AK87/'Adjusted Statements'!AK104</f>
        <v>-1597.7699153991434</v>
      </c>
      <c r="F74" s="60">
        <f>'Adjusted Statements'!AL87/'Adjusted Statements'!AL104</f>
        <v>-1704.5271324420903</v>
      </c>
      <c r="G74" s="60">
        <f>'Adjusted Statements'!AM87/'Adjusted Statements'!AM104</f>
        <v>-1413.1055310314734</v>
      </c>
      <c r="H74" s="60">
        <f>'Adjusted Statements'!AN87/'Adjusted Statements'!AN104</f>
        <v>-1269.2319149812577</v>
      </c>
      <c r="I74" s="60">
        <f>'Adjusted Statements'!AO87/'Adjusted Statements'!AO104</f>
        <v>-981.36556545043959</v>
      </c>
      <c r="J74" s="60">
        <f>'Adjusted Statements'!AP87/'Adjusted Statements'!AP104</f>
        <v>-1615.1162764323028</v>
      </c>
      <c r="K74" s="60">
        <f>'Adjusted Statements'!AQ87/'Adjusted Statements'!AQ104</f>
        <v>-1401.4979629617424</v>
      </c>
      <c r="L74" s="60">
        <f>'Adjusted Statements'!AR87/'Adjusted Statements'!AR104</f>
        <v>-1481.8304332615992</v>
      </c>
      <c r="M74" s="60">
        <f>'Adjusted Statements'!AS87/'Adjusted Statements'!AS104</f>
        <v>-2277.7462848229879</v>
      </c>
      <c r="N74" s="60">
        <f>'Adjusted Statements'!AT87/'Adjusted Statements'!AT104</f>
        <v>-1556.5173859614874</v>
      </c>
      <c r="O74" s="60">
        <f>'Adjusted Statements'!AU87/'Adjusted Statements'!AU104</f>
        <v>-1323.1143040162385</v>
      </c>
    </row>
    <row r="75" spans="1:15" x14ac:dyDescent="0.25">
      <c r="B75" s="45"/>
      <c r="C75" s="45"/>
      <c r="D75" s="45"/>
      <c r="E75" s="59"/>
      <c r="F75" s="59"/>
      <c r="G75" s="45"/>
      <c r="H75" s="45"/>
      <c r="I75" s="36"/>
      <c r="J75" s="36"/>
      <c r="K75" s="36"/>
      <c r="L75" s="36"/>
      <c r="M75" s="36"/>
      <c r="N75" s="36"/>
      <c r="O75" s="36"/>
    </row>
    <row r="76" spans="1:15" x14ac:dyDescent="0.25">
      <c r="A76" s="10" t="s">
        <v>133</v>
      </c>
    </row>
    <row r="77" spans="1:15" x14ac:dyDescent="0.25">
      <c r="A77" s="32" t="s">
        <v>103</v>
      </c>
      <c r="B77" s="33">
        <v>2020</v>
      </c>
      <c r="C77" s="33">
        <v>2019</v>
      </c>
      <c r="D77" s="33">
        <v>2018</v>
      </c>
      <c r="E77" s="33">
        <v>2017</v>
      </c>
      <c r="F77" s="33">
        <v>2016</v>
      </c>
      <c r="G77" s="33">
        <v>2015</v>
      </c>
      <c r="H77" s="33">
        <v>2014</v>
      </c>
      <c r="I77" s="33">
        <v>2013</v>
      </c>
      <c r="J77" s="33">
        <v>2012</v>
      </c>
      <c r="K77" s="33">
        <v>2011</v>
      </c>
      <c r="L77" s="33">
        <v>2010</v>
      </c>
      <c r="M77" s="33">
        <v>2009</v>
      </c>
      <c r="N77" s="33">
        <v>2008</v>
      </c>
      <c r="O77" s="33">
        <v>2007</v>
      </c>
    </row>
    <row r="78" spans="1:15" x14ac:dyDescent="0.25">
      <c r="A78" s="19" t="s">
        <v>131</v>
      </c>
      <c r="B78" s="34">
        <f t="shared" ref="B78:O78" si="22">B3</f>
        <v>2.2257637073380365E-2</v>
      </c>
      <c r="C78" s="34">
        <f t="shared" si="22"/>
        <v>0.232547679799334</v>
      </c>
      <c r="D78" s="34">
        <f t="shared" si="22"/>
        <v>0.21397102968907228</v>
      </c>
      <c r="E78" s="34">
        <f t="shared" si="22"/>
        <v>0.26761692944960269</v>
      </c>
      <c r="F78" s="34">
        <f t="shared" si="22"/>
        <v>0.31246175126797165</v>
      </c>
      <c r="G78" s="34">
        <f t="shared" si="22"/>
        <v>0.38133296838647873</v>
      </c>
      <c r="H78" s="34">
        <f t="shared" si="22"/>
        <v>0.41271021858600887</v>
      </c>
      <c r="I78" s="34">
        <f t="shared" si="22"/>
        <v>0.38507908355129489</v>
      </c>
      <c r="J78" s="34">
        <f t="shared" si="22"/>
        <v>0.3836068183627287</v>
      </c>
      <c r="K78" s="34">
        <f t="shared" si="22"/>
        <v>0.35844397118129495</v>
      </c>
      <c r="L78" s="34">
        <f t="shared" si="22"/>
        <v>0.44066757091466652</v>
      </c>
      <c r="M78" s="34">
        <f t="shared" si="22"/>
        <v>0.42246947642561533</v>
      </c>
      <c r="N78" s="34">
        <f t="shared" si="22"/>
        <v>0.44302825775241511</v>
      </c>
      <c r="O78" s="34">
        <f t="shared" si="22"/>
        <v>0.45390165686798506</v>
      </c>
    </row>
    <row r="79" spans="1:15" x14ac:dyDescent="0.25">
      <c r="A79" s="19" t="s">
        <v>132</v>
      </c>
      <c r="B79" s="38">
        <f>-'Adjusted Statements'!AH91/'Adjusted Statements'!AH114</f>
        <v>0</v>
      </c>
      <c r="C79" s="38">
        <f>-'Adjusted Statements'!AI91/'Adjusted Statements'!AI114</f>
        <v>1.2004016960499888</v>
      </c>
      <c r="D79" s="38">
        <f>-'Adjusted Statements'!AJ91/'Adjusted Statements'!AJ114</f>
        <v>1.2754505216566552</v>
      </c>
      <c r="E79" s="38">
        <f>-'Adjusted Statements'!AK91/'Adjusted Statements'!AK114</f>
        <v>0.99709589718240244</v>
      </c>
      <c r="F79" s="38">
        <f>-'Adjusted Statements'!AL91/'Adjusted Statements'!AL114</f>
        <v>0.86590470057952351</v>
      </c>
      <c r="G79" s="38">
        <f>-'Adjusted Statements'!AM91/'Adjusted Statements'!AM114</f>
        <v>0.77217915590008612</v>
      </c>
      <c r="H79" s="38">
        <f>-'Adjusted Statements'!AN91/'Adjusted Statements'!AN114</f>
        <v>0.78709451341609937</v>
      </c>
      <c r="I79" s="38">
        <f>-'Adjusted Statements'!AO91/'Adjusted Statements'!AO114</f>
        <v>0.91668610074626866</v>
      </c>
      <c r="J79" s="38">
        <f>-'Adjusted Statements'!AP91/'Adjusted Statements'!AP114</f>
        <v>0.93217525345348906</v>
      </c>
      <c r="K79" s="38">
        <f>-'Adjusted Statements'!AQ91/'Adjusted Statements'!AQ114</f>
        <v>0.99380570128310497</v>
      </c>
      <c r="L79" s="38">
        <f>-'Adjusted Statements'!AR91/'Adjusted Statements'!AR114</f>
        <v>0.70868797173598841</v>
      </c>
      <c r="M79" s="38">
        <f>-'Adjusted Statements'!AS91/'Adjusted Statements'!AS114</f>
        <v>0.78277587890625</v>
      </c>
      <c r="N79" s="38">
        <f>-'Adjusted Statements'!AT91/'Adjusted Statements'!AT114</f>
        <v>0.7574212109323919</v>
      </c>
      <c r="O79" s="38">
        <f>-'Adjusted Statements'!AU91/'Adjusted Statements'!AU114</f>
        <v>0.70025022078304389</v>
      </c>
    </row>
    <row r="80" spans="1:15" x14ac:dyDescent="0.25">
      <c r="A80" s="19" t="s">
        <v>133</v>
      </c>
      <c r="B80" s="34">
        <f t="shared" ref="B80:G80" si="23">(1-B79)*B78</f>
        <v>2.2257637073380365E-2</v>
      </c>
      <c r="C80" s="34">
        <f t="shared" si="23"/>
        <v>-4.6602949444276252E-2</v>
      </c>
      <c r="D80" s="34">
        <f t="shared" si="23"/>
        <v>-5.8938431747266609E-2</v>
      </c>
      <c r="E80" s="34">
        <f t="shared" si="23"/>
        <v>7.7718707885139984E-4</v>
      </c>
      <c r="F80" s="34">
        <f t="shared" si="23"/>
        <v>4.1899652093725107E-2</v>
      </c>
      <c r="G80" s="34">
        <f t="shared" si="23"/>
        <v>8.6875598740933355E-2</v>
      </c>
      <c r="H80" s="34">
        <f t="shared" ref="H80:O80" si="24">(1-H79)*H78</f>
        <v>8.7868269906202209E-2</v>
      </c>
      <c r="I80" s="34">
        <f t="shared" si="24"/>
        <v>3.2082439971711778E-2</v>
      </c>
      <c r="J80" s="34">
        <f t="shared" si="24"/>
        <v>2.6018035228965532E-2</v>
      </c>
      <c r="K80" s="34">
        <f t="shared" si="24"/>
        <v>2.2203090307670544E-3</v>
      </c>
      <c r="L80" s="34">
        <f t="shared" si="24"/>
        <v>0.12837176387332666</v>
      </c>
      <c r="M80" s="34">
        <f t="shared" si="24"/>
        <v>9.1770560705491028E-2</v>
      </c>
      <c r="N80" s="34">
        <f t="shared" si="24"/>
        <v>0.10746925828831302</v>
      </c>
      <c r="O80" s="34">
        <f t="shared" si="24"/>
        <v>0.13605692143238909</v>
      </c>
    </row>
  </sheetData>
  <pageMargins left="0.7" right="0.7" top="0.75" bottom="0.75" header="0.3" footer="0.3"/>
  <pageSetup paperSize="9" orientation="portrait"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Financial Statements</vt:lpstr>
      <vt:lpstr>Standardized Statements</vt:lpstr>
      <vt:lpstr>Lease adjustments</vt:lpstr>
      <vt:lpstr>Adjusted Statements</vt:lpstr>
      <vt:lpstr>Ratio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Peek-Apreda</dc:creator>
  <cp:lastModifiedBy>Xi.Li</cp:lastModifiedBy>
  <dcterms:created xsi:type="dcterms:W3CDTF">2006-04-02T09:15:21Z</dcterms:created>
  <dcterms:modified xsi:type="dcterms:W3CDTF">2025-02-11T16:53:50Z</dcterms:modified>
</cp:coreProperties>
</file>