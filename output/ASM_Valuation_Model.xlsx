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 ASM" sheetId="2" state="visible" r:id="rId2"/>
    <sheet xmlns:r="http://schemas.openxmlformats.org/officeDocument/2006/relationships" name="Input ASM (Reported)" sheetId="3" state="visible" r:id="rId3"/>
    <sheet xmlns:r="http://schemas.openxmlformats.org/officeDocument/2006/relationships" name="Input AIXTRON" sheetId="4" state="visible" r:id="rId4"/>
    <sheet xmlns:r="http://schemas.openxmlformats.org/officeDocument/2006/relationships" name="Input AMAT" sheetId="5" state="visible" r:id="rId5"/>
    <sheet xmlns:r="http://schemas.openxmlformats.org/officeDocument/2006/relationships" name="Input LRCX" sheetId="6" state="visible" r:id="rId6"/>
    <sheet xmlns:r="http://schemas.openxmlformats.org/officeDocument/2006/relationships" name="Std ASM" sheetId="7" state="visible" r:id="rId7"/>
    <sheet xmlns:r="http://schemas.openxmlformats.org/officeDocument/2006/relationships" name="Std AIXTRON" sheetId="8" state="visible" r:id="rId8"/>
    <sheet xmlns:r="http://schemas.openxmlformats.org/officeDocument/2006/relationships" name="Std AMAT" sheetId="9" state="visible" r:id="rId9"/>
    <sheet xmlns:r="http://schemas.openxmlformats.org/officeDocument/2006/relationships" name="Std LRCX" sheetId="10" state="visible" r:id="rId10"/>
    <sheet xmlns:r="http://schemas.openxmlformats.org/officeDocument/2006/relationships" name="Adjustments" sheetId="11" state="visible" r:id="rId11"/>
    <sheet xmlns:r="http://schemas.openxmlformats.org/officeDocument/2006/relationships" name="Adj ASM" sheetId="12" state="visible" r:id="rId12"/>
    <sheet xmlns:r="http://schemas.openxmlformats.org/officeDocument/2006/relationships" name="Adj AIXTRON" sheetId="13" state="visible" r:id="rId13"/>
    <sheet xmlns:r="http://schemas.openxmlformats.org/officeDocument/2006/relationships" name="Adj AMAT" sheetId="14" state="visible" r:id="rId14"/>
    <sheet xmlns:r="http://schemas.openxmlformats.org/officeDocument/2006/relationships" name="Adj LRCX" sheetId="15" state="visible" r:id="rId15"/>
    <sheet xmlns:r="http://schemas.openxmlformats.org/officeDocument/2006/relationships" name="Ratio Definitions" sheetId="16" state="visible" r:id="rId16"/>
    <sheet xmlns:r="http://schemas.openxmlformats.org/officeDocument/2006/relationships" name="Ratios ASM" sheetId="17" state="visible" r:id="rId17"/>
    <sheet xmlns:r="http://schemas.openxmlformats.org/officeDocument/2006/relationships" name="Ratios AIXTRON" sheetId="18" state="visible" r:id="rId18"/>
    <sheet xmlns:r="http://schemas.openxmlformats.org/officeDocument/2006/relationships" name="Ratios AMAT" sheetId="19" state="visible" r:id="rId19"/>
    <sheet xmlns:r="http://schemas.openxmlformats.org/officeDocument/2006/relationships" name="Ratios LRCX" sheetId="20" state="visible" r:id="rId20"/>
    <sheet xmlns:r="http://schemas.openxmlformats.org/officeDocument/2006/relationships" name="Ratio Compariso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0.0%"/>
    <numFmt numFmtId="166" formatCode="#,##0;(#,##0);&quot;-&quot;"/>
    <numFmt numFmtId="167" formatCode="#,##0.00;(#,##0.00);&quot;-&quot;"/>
    <numFmt numFmtId="168" formatCode="0.00;(0.00);&quot;-&quot;"/>
  </numFmts>
  <fonts count="18">
    <font>
      <name val="Calibri"/>
      <family val="2"/>
      <color theme="1"/>
      <sz val="11"/>
      <scheme val="minor"/>
    </font>
    <font>
      <b val="1"/>
      <color rgb="00000000"/>
      <sz val="22"/>
    </font>
    <font>
      <color rgb="00333333"/>
      <sz val="16"/>
    </font>
    <font>
      <color rgb="00000000"/>
      <sz val="12"/>
    </font>
    <font>
      <b val="1"/>
      <color rgb="00000000"/>
      <sz val="11"/>
    </font>
    <font>
      <color rgb="00000000"/>
      <sz val="11"/>
    </font>
    <font>
      <b val="1"/>
      <color rgb="00000000"/>
      <sz val="14"/>
    </font>
    <font>
      <b val="1"/>
      <color rgb="00000000"/>
      <sz val="10"/>
    </font>
    <font>
      <color rgb="00666666"/>
      <sz val="10"/>
    </font>
    <font>
      <i val="1"/>
      <color rgb="00888888"/>
      <sz val="9"/>
    </font>
    <font>
      <color rgb="00000000"/>
    </font>
    <font>
      <color rgb="000000FF"/>
    </font>
    <font>
      <i val="1"/>
      <color rgb="00666666"/>
      <sz val="10"/>
    </font>
    <font>
      <b val="1"/>
      <color rgb="00000000"/>
    </font>
    <font>
      <color rgb="00008000"/>
    </font>
    <font>
      <b val="1"/>
      <color rgb="00000000"/>
      <sz val="12"/>
    </font>
    <font>
      <b val="1"/>
      <color rgb="00008000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B4C6E7"/>
        <bgColor rgb="00B4C6E7"/>
      </patternFill>
    </fill>
  </fills>
  <borders count="5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  <border>
      <top style="thin"/>
      <bottom style="thin"/>
    </border>
    <border>
      <bottom style="double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49" fontId="13" fillId="2" borderId="2" applyAlignment="1" pivotButton="0" quotePrefix="0" xfId="0">
      <alignment horizontal="center"/>
    </xf>
    <xf numFmtId="165" fontId="11" fillId="3" borderId="0" pivotButton="0" quotePrefix="0" xfId="0"/>
    <xf numFmtId="165" fontId="14" fillId="0" borderId="0" pivotButton="0" quotePrefix="0" xfId="0"/>
    <xf numFmtId="0" fontId="13" fillId="4" borderId="2" pivotButton="0" quotePrefix="0" xfId="0"/>
    <xf numFmtId="0" fontId="0" fillId="4" borderId="2" pivotButton="0" quotePrefix="0" xfId="0"/>
    <xf numFmtId="166" fontId="14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0" fontId="13" fillId="0" borderId="3" pivotButton="0" quotePrefix="0" xfId="0"/>
    <xf numFmtId="166" fontId="13" fillId="0" borderId="3" pivotButton="0" quotePrefix="0" xfId="0"/>
    <xf numFmtId="0" fontId="13" fillId="0" borderId="4" pivotButton="0" quotePrefix="0" xfId="0"/>
    <xf numFmtId="166" fontId="13" fillId="0" borderId="4" pivotButton="0" quotePrefix="0" xfId="0"/>
    <xf numFmtId="165" fontId="10" fillId="0" borderId="0" pivotButton="0" quotePrefix="0" xfId="0"/>
    <xf numFmtId="167" fontId="10" fillId="0" borderId="0" pivotButton="0" quotePrefix="0" xfId="0"/>
    <xf numFmtId="167" fontId="14" fillId="0" borderId="0" pivotButton="0" quotePrefix="0" xfId="0"/>
    <xf numFmtId="166" fontId="10" fillId="0" borderId="0" pivotButton="0" quotePrefix="0" xfId="0"/>
    <xf numFmtId="0" fontId="15" fillId="0" borderId="0" pivotButton="0" quotePrefix="0" xfId="0"/>
    <xf numFmtId="49" fontId="16" fillId="2" borderId="2" pivotButton="0" quotePrefix="0" xfId="0"/>
    <xf numFmtId="165" fontId="14" fillId="3" borderId="0" pivotButton="0" quotePrefix="0" xfId="0"/>
    <xf numFmtId="166" fontId="16" fillId="0" borderId="0" pivotButton="0" quotePrefix="0" xfId="0"/>
    <xf numFmtId="166" fontId="16" fillId="0" borderId="3" pivotButton="0" quotePrefix="0" xfId="0"/>
    <xf numFmtId="166" fontId="16" fillId="0" borderId="4" pivotButton="0" quotePrefix="0" xfId="0"/>
    <xf numFmtId="0" fontId="15" fillId="0" borderId="1" pivotButton="0" quotePrefix="0" xfId="0"/>
    <xf numFmtId="165" fontId="17" fillId="0" borderId="0" pivotButton="0" quotePrefix="0" xfId="0"/>
    <xf numFmtId="168" fontId="17" fillId="0" borderId="0" pivotButton="0" quotePrefix="0" xfId="0"/>
    <xf numFmtId="168" fontId="10" fillId="0" borderId="0" pivotButton="0" quotePrefix="0" xfId="0"/>
    <xf numFmtId="168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3:C3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</cols>
  <sheetData>
    <row r="3">
      <c r="B3" s="1" t="inlineStr">
        <is>
          <t>ASM International NV</t>
        </is>
      </c>
    </row>
    <row r="4">
      <c r="B4" s="2" t="inlineStr">
        <is>
          <t>Equity Valuation Report</t>
        </is>
      </c>
    </row>
    <row r="6">
      <c r="B6" s="3" t="inlineStr">
        <is>
          <t>AC444 Valuation and Security Analysis</t>
        </is>
      </c>
    </row>
    <row r="7">
      <c r="B7" s="3" t="inlineStr">
        <is>
          <t>London School of Economics</t>
        </is>
      </c>
    </row>
    <row r="9">
      <c r="B9" s="4" t="inlineStr">
        <is>
          <t>Ticker:</t>
        </is>
      </c>
      <c r="C9" s="5" t="inlineStr">
        <is>
          <t>ENXTAM:ASM</t>
        </is>
      </c>
    </row>
    <row r="10">
      <c r="B10" s="4" t="inlineStr">
        <is>
          <t>Currency:</t>
        </is>
      </c>
      <c r="C10" s="5" t="inlineStr">
        <is>
          <t>EUR (Thousands)</t>
        </is>
      </c>
    </row>
    <row r="11">
      <c r="B11" s="4" t="inlineStr">
        <is>
          <t>Data Period:</t>
        </is>
      </c>
      <c r="C11" s="5" t="inlineStr">
        <is>
          <t>FY 2019 - FY 2024</t>
        </is>
      </c>
    </row>
    <row r="12">
      <c r="B12" s="4" t="inlineStr">
        <is>
          <t>Forecast Period:</t>
        </is>
      </c>
      <c r="C12" s="5" t="inlineStr">
        <is>
          <t>FY 2025E - FY 2030E</t>
        </is>
      </c>
    </row>
    <row r="13">
      <c r="B13" s="4" t="inlineStr">
        <is>
          <t>Peers:</t>
        </is>
      </c>
      <c r="C13" s="5" t="inlineStr">
        <is>
          <t>AIXTRON SE, Applied Materials, Lam Research</t>
        </is>
      </c>
    </row>
    <row r="15">
      <c r="B15" s="6" t="inlineStr">
        <is>
          <t>Table of Contents</t>
        </is>
      </c>
      <c r="C15" s="7" t="n"/>
    </row>
    <row r="16">
      <c r="B16" s="8" t="inlineStr">
        <is>
          <t>1.  Cover</t>
        </is>
      </c>
      <c r="C16" s="9" t="inlineStr">
        <is>
          <t>Title page and overview</t>
        </is>
      </c>
    </row>
    <row r="17">
      <c r="B17" s="8" t="inlineStr">
        <is>
          <t>2.  Input ASM</t>
        </is>
      </c>
      <c r="C17" s="9" t="inlineStr">
        <is>
          <t>Raw financial data - ASM International</t>
        </is>
      </c>
    </row>
    <row r="18">
      <c r="B18" s="8" t="inlineStr">
        <is>
          <t>3.  Input ASM (Reported)</t>
        </is>
      </c>
      <c r="C18" s="9" t="inlineStr">
        <is>
          <t>As-reported financial data - ASM International</t>
        </is>
      </c>
    </row>
    <row r="19">
      <c r="B19" s="8" t="inlineStr">
        <is>
          <t>4.  Input AIXTRON</t>
        </is>
      </c>
      <c r="C19" s="9" t="inlineStr">
        <is>
          <t>Raw financial data - AIXTRON SE</t>
        </is>
      </c>
    </row>
    <row r="20">
      <c r="B20" s="8" t="inlineStr">
        <is>
          <t>5.  Input AMAT</t>
        </is>
      </c>
      <c r="C20" s="9" t="inlineStr">
        <is>
          <t>Raw financial data - Applied Materials</t>
        </is>
      </c>
    </row>
    <row r="21">
      <c r="B21" s="8" t="inlineStr">
        <is>
          <t>6.  Input LRCX</t>
        </is>
      </c>
      <c r="C21" s="9" t="inlineStr">
        <is>
          <t>Raw financial data - Lam Research</t>
        </is>
      </c>
    </row>
    <row r="22">
      <c r="B22" s="8" t="inlineStr">
        <is>
          <t>7.  Standardized ASM</t>
        </is>
      </c>
      <c r="C22" s="9" t="inlineStr">
        <is>
          <t>Standardized financial statements - ASM</t>
        </is>
      </c>
    </row>
    <row r="23">
      <c r="B23" s="8" t="inlineStr">
        <is>
          <t>8.  Standardized AIXTRON</t>
        </is>
      </c>
      <c r="C23" s="9" t="inlineStr">
        <is>
          <t>Standardized financial statements - AIXTRON</t>
        </is>
      </c>
    </row>
    <row r="24">
      <c r="B24" s="8" t="inlineStr">
        <is>
          <t>9.  Standardized AMAT</t>
        </is>
      </c>
      <c r="C24" s="9" t="inlineStr">
        <is>
          <t>Standardized financial statements - Applied Materials</t>
        </is>
      </c>
    </row>
    <row r="25">
      <c r="B25" s="8" t="inlineStr">
        <is>
          <t>10.  Standardized LRCX</t>
        </is>
      </c>
      <c r="C25" s="9" t="inlineStr">
        <is>
          <t>Standardized financial statements - Lam Research</t>
        </is>
      </c>
    </row>
    <row r="26">
      <c r="B26" s="8" t="inlineStr">
        <is>
          <t>11.  Adjustments</t>
        </is>
      </c>
      <c r="C26" s="9" t="inlineStr">
        <is>
          <t>Adjustments and adjusted financial statements</t>
        </is>
      </c>
    </row>
    <row r="27">
      <c r="B27" s="8" t="inlineStr">
        <is>
          <t>12.  Ratio Analysis</t>
        </is>
      </c>
      <c r="C27" s="9" t="inlineStr">
        <is>
          <t>Key financial ratios and analysis</t>
        </is>
      </c>
    </row>
    <row r="28">
      <c r="B28" s="8" t="inlineStr">
        <is>
          <t>13.  Forecasts</t>
        </is>
      </c>
      <c r="C28" s="9" t="inlineStr">
        <is>
          <t>Revenue, margin, and balance sheet forecasts</t>
        </is>
      </c>
    </row>
    <row r="29">
      <c r="B29" s="8" t="inlineStr">
        <is>
          <t>14.  Valuation</t>
        </is>
      </c>
      <c r="C29" s="9" t="inlineStr">
        <is>
          <t>WACC, DCF, and PVAOI valuation</t>
        </is>
      </c>
    </row>
    <row r="30">
      <c r="B30" s="8" t="inlineStr">
        <is>
          <t>15.  Sensitivity</t>
        </is>
      </c>
      <c r="C30" s="9" t="inlineStr">
        <is>
          <t>Sensitivity analysis tables</t>
        </is>
      </c>
    </row>
    <row r="31">
      <c r="B31" s="8" t="inlineStr">
        <is>
          <t>16.  Comps</t>
        </is>
      </c>
      <c r="C31" s="9" t="inlineStr">
        <is>
          <t>Comparable company analysis</t>
        </is>
      </c>
    </row>
    <row r="32">
      <c r="B32" s="8" t="inlineStr">
        <is>
          <t>17.  Football Field</t>
        </is>
      </c>
      <c r="C32" s="9" t="inlineStr">
        <is>
          <t>Valuation range summary</t>
        </is>
      </c>
    </row>
    <row r="34">
      <c r="B34" s="10" t="inlineStr">
        <is>
          <t>Generated: 26 March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A2" s="11" t="inlineStr">
        <is>
          <t>ASM International NV | Income Statement</t>
        </is>
      </c>
    </row>
    <row r="3">
      <c r="A3" s="11" t="inlineStr">
        <is>
          <t>ENXTAM:ASM (MI KEY: 4231951; SPCIQ KEY: 322899)</t>
        </is>
      </c>
    </row>
    <row r="5">
      <c r="A5" s="11" t="inlineStr">
        <is>
          <t>Source: Recommended</t>
        </is>
      </c>
    </row>
    <row r="6">
      <c r="A6" s="11" t="inlineStr">
        <is>
          <t>Period Category: Fiscal</t>
        </is>
      </c>
    </row>
    <row r="7">
      <c r="A7" s="11" t="inlineStr">
        <is>
          <t>Period Type: Years</t>
        </is>
      </c>
    </row>
    <row r="8">
      <c r="A8" s="11" t="inlineStr">
        <is>
          <t>Reporting Basis: Current/Restated</t>
        </is>
      </c>
    </row>
    <row r="9">
      <c r="A9" s="11" t="inlineStr">
        <is>
          <t>Sort Order: Latest on Right</t>
        </is>
      </c>
    </row>
    <row r="10">
      <c r="A10" s="11" t="inlineStr">
        <is>
          <t>Currency: Euro (EUR)</t>
        </is>
      </c>
    </row>
    <row r="11">
      <c r="A11" s="11" t="inlineStr">
        <is>
          <t>Magnitude: Thousands (K)</t>
        </is>
      </c>
    </row>
    <row r="13">
      <c r="A13" s="11" t="inlineStr">
        <is>
          <t>Recommended: S&amp;P Capital IQ - Standard</t>
        </is>
      </c>
      <c r="B13" s="11" t="inlineStr">
        <is>
          <t>2019 FY</t>
        </is>
      </c>
      <c r="C13" s="11" t="inlineStr">
        <is>
          <t>2020 FY</t>
        </is>
      </c>
      <c r="D13" s="11" t="inlineStr">
        <is>
          <t>2021 FY</t>
        </is>
      </c>
      <c r="E13" s="11" t="inlineStr">
        <is>
          <t>2022 FY</t>
        </is>
      </c>
      <c r="F13" s="11" t="inlineStr">
        <is>
          <t>2023 FY</t>
        </is>
      </c>
      <c r="G13" s="11" t="inlineStr">
        <is>
          <t>2024 FY</t>
        </is>
      </c>
    </row>
    <row r="14">
      <c r="A14" s="11" t="inlineStr">
        <is>
          <t xml:space="preserve"> </t>
        </is>
      </c>
      <c r="B14" s="11" t="inlineStr">
        <is>
          <t>Current/Restated</t>
        </is>
      </c>
      <c r="C14" s="11" t="inlineStr">
        <is>
          <t>Current/Restated</t>
        </is>
      </c>
      <c r="D14" s="11" t="inlineStr">
        <is>
          <t>Current/Restated</t>
        </is>
      </c>
      <c r="E14" s="11" t="inlineStr">
        <is>
          <t>Current/Restated</t>
        </is>
      </c>
      <c r="F14" s="11" t="inlineStr">
        <is>
          <t>Current/Restated</t>
        </is>
      </c>
      <c r="G14" s="11" t="inlineStr">
        <is>
          <t>Current/Restated</t>
        </is>
      </c>
    </row>
    <row r="15">
      <c r="A15" s="11" t="inlineStr">
        <is>
          <t>Period Ended</t>
        </is>
      </c>
      <c r="B15" s="12" t="n">
        <v>43830</v>
      </c>
      <c r="C15" s="12" t="n">
        <v>44196</v>
      </c>
      <c r="D15" s="12" t="n">
        <v>44561</v>
      </c>
      <c r="E15" s="12" t="n">
        <v>44926</v>
      </c>
      <c r="F15" s="12" t="n">
        <v>45291</v>
      </c>
      <c r="G15" s="12" t="n">
        <v>45657</v>
      </c>
    </row>
    <row r="16">
      <c r="A16" s="11" t="inlineStr">
        <is>
          <t>Financial Filing Date</t>
        </is>
      </c>
      <c r="B16" s="12" t="n">
        <v>44260</v>
      </c>
      <c r="C16" s="12" t="n">
        <v>44623</v>
      </c>
      <c r="D16" s="12" t="n">
        <v>44987</v>
      </c>
      <c r="E16" s="12" t="n">
        <v>45352</v>
      </c>
      <c r="F16" s="12" t="n">
        <v>45722</v>
      </c>
      <c r="G16" s="12" t="n">
        <v>45722</v>
      </c>
    </row>
    <row r="17">
      <c r="A17" s="11" t="inlineStr">
        <is>
          <t>Spot Exchange Rate</t>
        </is>
      </c>
      <c r="B17" s="13" t="n">
        <v>1</v>
      </c>
      <c r="C17" s="13" t="n">
        <v>1</v>
      </c>
      <c r="D17" s="13" t="n">
        <v>1</v>
      </c>
      <c r="E17" s="13" t="n">
        <v>1</v>
      </c>
      <c r="F17" s="13" t="n">
        <v>1</v>
      </c>
      <c r="G17" s="13" t="n">
        <v>1</v>
      </c>
    </row>
    <row r="18">
      <c r="A18" s="11" t="inlineStr">
        <is>
          <t>Average Exchange Rate</t>
        </is>
      </c>
      <c r="B18" s="13" t="n">
        <v>1</v>
      </c>
      <c r="C18" s="13" t="n">
        <v>1</v>
      </c>
      <c r="D18" s="13" t="n">
        <v>1</v>
      </c>
      <c r="E18" s="13" t="n">
        <v>1</v>
      </c>
      <c r="F18" s="13" t="n">
        <v>1</v>
      </c>
      <c r="G18" s="13" t="n">
        <v>1</v>
      </c>
    </row>
    <row r="19">
      <c r="A19" s="11" t="inlineStr">
        <is>
          <t xml:space="preserve"> </t>
        </is>
      </c>
    </row>
    <row r="20">
      <c r="A20" s="11" t="inlineStr">
        <is>
          <t>(€000)</t>
        </is>
      </c>
    </row>
    <row r="21">
      <c r="A21" s="11" t="inlineStr">
        <is>
          <t>Revenue</t>
        </is>
      </c>
      <c r="B21" s="13" t="n">
        <v>1283860</v>
      </c>
      <c r="C21" s="13" t="n">
        <v>1328122</v>
      </c>
      <c r="D21" s="13" t="n">
        <v>1729911</v>
      </c>
      <c r="E21" s="13" t="n">
        <v>2410927</v>
      </c>
      <c r="F21" s="13" t="n">
        <v>2634331</v>
      </c>
      <c r="G21" s="13" t="n">
        <v>2932724</v>
      </c>
    </row>
    <row r="22">
      <c r="A22" s="11" t="inlineStr">
        <is>
          <t xml:space="preserve">        Total Revenue</t>
        </is>
      </c>
      <c r="B22" s="13" t="n">
        <v>1283860</v>
      </c>
      <c r="C22" s="13" t="n">
        <v>1328122</v>
      </c>
      <c r="D22" s="13" t="n">
        <v>1729911</v>
      </c>
      <c r="E22" s="13" t="n">
        <v>2410927</v>
      </c>
      <c r="F22" s="13" t="n">
        <v>2634331</v>
      </c>
      <c r="G22" s="13" t="n">
        <v>2932724</v>
      </c>
    </row>
    <row r="23">
      <c r="A23" s="11" t="inlineStr">
        <is>
          <t>Cost Of Goods Sold</t>
        </is>
      </c>
      <c r="B23" s="13" t="n">
        <v>645396</v>
      </c>
      <c r="C23" s="13" t="n">
        <v>704553</v>
      </c>
      <c r="D23" s="13" t="n">
        <v>901780</v>
      </c>
      <c r="E23" s="13" t="n">
        <v>1268046</v>
      </c>
      <c r="F23" s="13" t="n">
        <v>1362635</v>
      </c>
      <c r="G23" s="13" t="n">
        <v>1451351</v>
      </c>
    </row>
    <row r="24">
      <c r="A24" s="11" t="inlineStr">
        <is>
          <t xml:space="preserve">        Gross Profit</t>
        </is>
      </c>
      <c r="B24" s="13" t="n">
        <v>638464</v>
      </c>
      <c r="C24" s="13" t="n">
        <v>623569</v>
      </c>
      <c r="D24" s="13" t="n">
        <v>828131</v>
      </c>
      <c r="E24" s="13" t="n">
        <v>1142881</v>
      </c>
      <c r="F24" s="13" t="n">
        <v>1271696</v>
      </c>
      <c r="G24" s="13" t="n">
        <v>1481373</v>
      </c>
    </row>
    <row r="25">
      <c r="A25" s="11" t="inlineStr">
        <is>
          <t xml:space="preserve"> </t>
        </is>
      </c>
    </row>
    <row r="26">
      <c r="A26" s="11" t="inlineStr">
        <is>
          <t>Selling General &amp; Admin Exp.</t>
        </is>
      </c>
      <c r="B26" s="13" t="n">
        <v>148929</v>
      </c>
      <c r="C26" s="13" t="n">
        <v>157424</v>
      </c>
      <c r="D26" s="13" t="n">
        <v>189547</v>
      </c>
      <c r="E26" s="13" t="n">
        <v>276620</v>
      </c>
      <c r="F26" s="13" t="n">
        <v>308727</v>
      </c>
      <c r="G26" s="13" t="n">
        <v>316811</v>
      </c>
    </row>
    <row r="27">
      <c r="A27" s="11" t="inlineStr">
        <is>
          <t>R &amp; D Exp.</t>
        </is>
      </c>
      <c r="B27" s="13" t="n">
        <v>106091</v>
      </c>
      <c r="C27" s="13" t="n">
        <v>128876</v>
      </c>
      <c r="D27" s="13" t="n">
        <v>149230</v>
      </c>
      <c r="E27" s="13" t="n">
        <v>233860</v>
      </c>
      <c r="F27" s="13" t="n">
        <v>306822</v>
      </c>
      <c r="G27" s="13" t="n">
        <v>369370</v>
      </c>
    </row>
    <row r="28">
      <c r="A28" s="11" t="inlineStr">
        <is>
          <t>Amort. of Goodwill and Intangibles</t>
        </is>
      </c>
      <c r="B28" s="13" t="n">
        <v>13788</v>
      </c>
      <c r="C28" s="13" t="n">
        <v>12863</v>
      </c>
      <c r="D28" s="13" t="n">
        <v>12213</v>
      </c>
      <c r="E28" s="13" t="n">
        <v>13642</v>
      </c>
      <c r="F28" s="13" t="n">
        <v>3666</v>
      </c>
      <c r="G28" s="13" t="n">
        <v>378</v>
      </c>
    </row>
    <row r="29">
      <c r="A29" s="11" t="inlineStr">
        <is>
          <t>Other Operating Expense</t>
        </is>
      </c>
      <c r="B29" s="11" t="inlineStr">
        <is>
          <t>NA</t>
        </is>
      </c>
      <c r="C29" s="11" t="inlineStr">
        <is>
          <t>NA</t>
        </is>
      </c>
      <c r="D29" s="11" t="inlineStr">
        <is>
          <t>NA</t>
        </is>
      </c>
      <c r="E29" s="11" t="inlineStr">
        <is>
          <t>NA</t>
        </is>
      </c>
      <c r="F29" s="13" t="n">
        <v>-254</v>
      </c>
      <c r="G29" s="13" t="n">
        <v>-355</v>
      </c>
    </row>
    <row r="30">
      <c r="A30" s="11" t="inlineStr">
        <is>
          <t xml:space="preserve">        Other Operating Exp., Total</t>
        </is>
      </c>
      <c r="B30" s="13" t="n">
        <v>268808</v>
      </c>
      <c r="C30" s="13" t="n">
        <v>299163</v>
      </c>
      <c r="D30" s="13" t="n">
        <v>350990</v>
      </c>
      <c r="E30" s="13" t="n">
        <v>524122</v>
      </c>
      <c r="F30" s="13" t="n">
        <v>618961</v>
      </c>
      <c r="G30" s="13" t="n">
        <v>686204</v>
      </c>
    </row>
    <row r="31">
      <c r="A31" s="11" t="inlineStr">
        <is>
          <t xml:space="preserve">        Operating Income</t>
        </is>
      </c>
      <c r="B31" s="13" t="n">
        <v>369656</v>
      </c>
      <c r="C31" s="13" t="n">
        <v>324406</v>
      </c>
      <c r="D31" s="13" t="n">
        <v>477141</v>
      </c>
      <c r="E31" s="13" t="n">
        <v>618759</v>
      </c>
      <c r="F31" s="13" t="n">
        <v>652735</v>
      </c>
      <c r="G31" s="13" t="n">
        <v>795169</v>
      </c>
    </row>
    <row r="32">
      <c r="A32" s="11" t="inlineStr">
        <is>
          <t xml:space="preserve"> </t>
        </is>
      </c>
    </row>
    <row r="33">
      <c r="A33" s="11" t="inlineStr">
        <is>
          <t>Interest Expense</t>
        </is>
      </c>
      <c r="B33" s="13" t="n">
        <v>-1766</v>
      </c>
      <c r="C33" s="13" t="n">
        <v>-2008</v>
      </c>
      <c r="D33" s="13" t="n">
        <v>-2012</v>
      </c>
      <c r="E33" s="13" t="n">
        <v>-1523</v>
      </c>
      <c r="F33" s="13" t="n">
        <v>-3945</v>
      </c>
      <c r="G33" s="13" t="n">
        <v>-1884</v>
      </c>
    </row>
    <row r="34">
      <c r="A34" s="11" t="inlineStr">
        <is>
          <t>Interest and Invest. Income</t>
        </is>
      </c>
      <c r="B34" s="13" t="n">
        <v>1639</v>
      </c>
      <c r="C34" s="13" t="n">
        <v>141</v>
      </c>
      <c r="D34" s="13" t="n">
        <v>23</v>
      </c>
      <c r="E34" s="13" t="n">
        <v>2246</v>
      </c>
      <c r="F34" s="13" t="n">
        <v>14826</v>
      </c>
      <c r="G34" s="13" t="n">
        <v>21658</v>
      </c>
    </row>
    <row r="35">
      <c r="A35" s="11" t="inlineStr">
        <is>
          <t xml:space="preserve">        Net Interest Exp.</t>
        </is>
      </c>
      <c r="B35" s="13" t="n">
        <v>-127</v>
      </c>
      <c r="C35" s="13" t="n">
        <v>-1867</v>
      </c>
      <c r="D35" s="13" t="n">
        <v>-1989</v>
      </c>
      <c r="E35" s="13" t="n">
        <v>723</v>
      </c>
      <c r="F35" s="13" t="n">
        <v>10881</v>
      </c>
      <c r="G35" s="13" t="n">
        <v>19774</v>
      </c>
    </row>
    <row r="36">
      <c r="A36" s="11" t="inlineStr">
        <is>
          <t>Income from Affiliates</t>
        </is>
      </c>
      <c r="B36" s="13" t="n">
        <v>18035</v>
      </c>
      <c r="C36" s="13" t="n">
        <v>44813</v>
      </c>
      <c r="D36" s="13" t="n">
        <v>86595</v>
      </c>
      <c r="E36" s="13" t="n">
        <v>78413</v>
      </c>
      <c r="F36" s="13" t="n">
        <v>21206</v>
      </c>
      <c r="G36" s="13" t="n">
        <v>10021</v>
      </c>
    </row>
    <row r="37">
      <c r="A37" s="11" t="inlineStr">
        <is>
          <t>Currency Exchange Gains</t>
        </is>
      </c>
      <c r="B37" s="13" t="n">
        <v>-146</v>
      </c>
      <c r="C37" s="13" t="n">
        <v>-23157</v>
      </c>
      <c r="D37" s="13" t="n">
        <v>33473</v>
      </c>
      <c r="E37" s="13" t="n">
        <v>25011</v>
      </c>
      <c r="F37" s="13" t="n">
        <v>-21375</v>
      </c>
      <c r="G37" s="13" t="n">
        <v>45048</v>
      </c>
    </row>
    <row r="38">
      <c r="A38" s="11" t="inlineStr">
        <is>
          <t xml:space="preserve">        EBT Excl Unusual Items</t>
        </is>
      </c>
      <c r="B38" s="13" t="n">
        <v>387418</v>
      </c>
      <c r="C38" s="13" t="n">
        <v>344195</v>
      </c>
      <c r="D38" s="13" t="n">
        <v>595220</v>
      </c>
      <c r="E38" s="13" t="n">
        <v>722906</v>
      </c>
      <c r="F38" s="13" t="n">
        <v>663447</v>
      </c>
      <c r="G38" s="13" t="n">
        <v>870012</v>
      </c>
    </row>
    <row r="39">
      <c r="A39" s="11" t="inlineStr">
        <is>
          <t>Gain (Loss) On Sale Of Invest.</t>
        </is>
      </c>
      <c r="B39" s="11" t="inlineStr">
        <is>
          <t>NA</t>
        </is>
      </c>
      <c r="C39" s="11" t="inlineStr">
        <is>
          <t>NA</t>
        </is>
      </c>
      <c r="D39" s="11" t="inlineStr">
        <is>
          <t>NA</t>
        </is>
      </c>
      <c r="E39" s="13" t="n">
        <v>-215389</v>
      </c>
      <c r="F39" s="13" t="n">
        <v>215389</v>
      </c>
      <c r="G39" s="11" t="inlineStr">
        <is>
          <t>NA</t>
        </is>
      </c>
    </row>
    <row r="40">
      <c r="A40" s="11" t="inlineStr">
        <is>
          <t>Gain (Loss) On Sale Of Assets</t>
        </is>
      </c>
      <c r="B40" s="11" t="inlineStr">
        <is>
          <t>NA</t>
        </is>
      </c>
      <c r="C40" s="11" t="inlineStr">
        <is>
          <t>NA</t>
        </is>
      </c>
      <c r="D40" s="13" t="n">
        <v>4071</v>
      </c>
      <c r="E40" s="13" t="n">
        <v>40</v>
      </c>
      <c r="F40" s="13" t="n">
        <v>-185</v>
      </c>
      <c r="G40" s="13" t="n">
        <v>7036</v>
      </c>
    </row>
    <row r="41">
      <c r="A41" s="11" t="inlineStr">
        <is>
          <t>Asset Writedown</t>
        </is>
      </c>
      <c r="B41" s="13" t="n">
        <v>-4755</v>
      </c>
      <c r="C41" s="13" t="n">
        <v>-10126</v>
      </c>
      <c r="D41" s="13" t="n">
        <v>-1967</v>
      </c>
      <c r="E41" s="13" t="n">
        <v>-6</v>
      </c>
      <c r="F41" s="13" t="n">
        <v>-2475</v>
      </c>
      <c r="G41" s="13" t="n">
        <v>-448</v>
      </c>
    </row>
    <row r="42">
      <c r="A42" s="11" t="inlineStr">
        <is>
          <t>Other Unusual Items</t>
        </is>
      </c>
      <c r="B42" s="11" t="inlineStr">
        <is>
          <t>NA</t>
        </is>
      </c>
      <c r="C42" s="11" t="inlineStr">
        <is>
          <t>NA</t>
        </is>
      </c>
      <c r="D42" s="11" t="inlineStr">
        <is>
          <t>NA</t>
        </is>
      </c>
      <c r="E42" s="13" t="n">
        <v>-2575</v>
      </c>
      <c r="F42" s="13" t="n">
        <v>-9655</v>
      </c>
      <c r="G42" s="13" t="n">
        <v>-8698</v>
      </c>
    </row>
    <row r="43">
      <c r="A43" s="11" t="inlineStr">
        <is>
          <t xml:space="preserve">        EBT Incl. Unusual Items</t>
        </is>
      </c>
      <c r="B43" s="13" t="n">
        <v>382663</v>
      </c>
      <c r="C43" s="13" t="n">
        <v>334069</v>
      </c>
      <c r="D43" s="13" t="n">
        <v>597324</v>
      </c>
      <c r="E43" s="13" t="n">
        <v>504976</v>
      </c>
      <c r="F43" s="13" t="n">
        <v>866521</v>
      </c>
      <c r="G43" s="13" t="n">
        <v>867902</v>
      </c>
    </row>
    <row r="44">
      <c r="A44" s="11" t="inlineStr">
        <is>
          <t xml:space="preserve"> </t>
        </is>
      </c>
    </row>
    <row r="45">
      <c r="A45" s="11" t="inlineStr">
        <is>
          <t>Income Tax Expense</t>
        </is>
      </c>
      <c r="B45" s="13" t="n">
        <v>53650</v>
      </c>
      <c r="C45" s="13" t="n">
        <v>48673</v>
      </c>
      <c r="D45" s="13" t="n">
        <v>102615</v>
      </c>
      <c r="E45" s="13" t="n">
        <v>115863</v>
      </c>
      <c r="F45" s="13" t="n">
        <v>114448</v>
      </c>
      <c r="G45" s="13" t="n">
        <v>182168</v>
      </c>
    </row>
    <row r="46">
      <c r="A46" s="11" t="inlineStr">
        <is>
          <t xml:space="preserve">        Earnings from Cont. Ops.</t>
        </is>
      </c>
      <c r="B46" s="13" t="n">
        <v>329013</v>
      </c>
      <c r="C46" s="13" t="n">
        <v>285396</v>
      </c>
      <c r="D46" s="13" t="n">
        <v>494709</v>
      </c>
      <c r="E46" s="13" t="n">
        <v>389113</v>
      </c>
      <c r="F46" s="13" t="n">
        <v>752073</v>
      </c>
      <c r="G46" s="13" t="n">
        <v>685734</v>
      </c>
    </row>
    <row r="47">
      <c r="A47" s="11" t="inlineStr">
        <is>
          <t xml:space="preserve">        Net Income to Company</t>
        </is>
      </c>
      <c r="B47" s="13" t="n">
        <v>329013</v>
      </c>
      <c r="C47" s="13" t="n">
        <v>285396</v>
      </c>
      <c r="D47" s="13" t="n">
        <v>494709</v>
      </c>
      <c r="E47" s="13" t="n">
        <v>389113</v>
      </c>
      <c r="F47" s="13" t="n">
        <v>752073</v>
      </c>
      <c r="G47" s="13" t="n">
        <v>685734</v>
      </c>
    </row>
    <row r="48">
      <c r="A48" s="11" t="inlineStr">
        <is>
          <t xml:space="preserve">        Net Income</t>
        </is>
      </c>
      <c r="B48" s="13" t="n">
        <v>329013</v>
      </c>
      <c r="C48" s="13" t="n">
        <v>285396</v>
      </c>
      <c r="D48" s="13" t="n">
        <v>494709</v>
      </c>
      <c r="E48" s="13" t="n">
        <v>389113</v>
      </c>
      <c r="F48" s="13" t="n">
        <v>752073</v>
      </c>
      <c r="G48" s="13" t="n">
        <v>685734</v>
      </c>
    </row>
    <row r="49">
      <c r="A49" s="11" t="inlineStr">
        <is>
          <t xml:space="preserve">        NI to Common Incl Extra Items</t>
        </is>
      </c>
      <c r="B49" s="13" t="n">
        <v>329013</v>
      </c>
      <c r="C49" s="13" t="n">
        <v>285396</v>
      </c>
      <c r="D49" s="13" t="n">
        <v>494709</v>
      </c>
      <c r="E49" s="13" t="n">
        <v>389113</v>
      </c>
      <c r="F49" s="13" t="n">
        <v>752073</v>
      </c>
      <c r="G49" s="13" t="n">
        <v>685734</v>
      </c>
    </row>
    <row r="50">
      <c r="A50" s="11" t="inlineStr">
        <is>
          <t xml:space="preserve">        NI to Common Excl. Extra Items</t>
        </is>
      </c>
      <c r="B50" s="13" t="n">
        <v>329013</v>
      </c>
      <c r="C50" s="13" t="n">
        <v>285396</v>
      </c>
      <c r="D50" s="13" t="n">
        <v>494709</v>
      </c>
      <c r="E50" s="13" t="n">
        <v>389113</v>
      </c>
      <c r="F50" s="13" t="n">
        <v>752073</v>
      </c>
      <c r="G50" s="13" t="n">
        <v>685734</v>
      </c>
    </row>
    <row r="51">
      <c r="A51" s="11" t="inlineStr">
        <is>
          <t>Per Share Items (€)</t>
        </is>
      </c>
    </row>
    <row r="52">
      <c r="A52" s="11" t="inlineStr">
        <is>
          <t>Basic EPS</t>
        </is>
      </c>
      <c r="B52" s="13" t="n">
        <v>6.658</v>
      </c>
      <c r="C52" s="13" t="n">
        <v>5.835</v>
      </c>
      <c r="D52" s="13" t="n">
        <v>10.17</v>
      </c>
      <c r="E52" s="13" t="n">
        <v>7.97</v>
      </c>
      <c r="F52" s="13" t="n">
        <v>15.259</v>
      </c>
      <c r="G52" s="13" t="n">
        <v>13.948</v>
      </c>
    </row>
    <row r="53">
      <c r="A53" s="11" t="inlineStr">
        <is>
          <t>Basic EPS Excl. Extra Items</t>
        </is>
      </c>
      <c r="B53" s="13" t="n">
        <v>6.658</v>
      </c>
      <c r="C53" s="13" t="n">
        <v>5.835</v>
      </c>
      <c r="D53" s="13" t="n">
        <v>10.17</v>
      </c>
      <c r="E53" s="13" t="n">
        <v>7.97</v>
      </c>
      <c r="F53" s="13" t="n">
        <v>15.259</v>
      </c>
      <c r="G53" s="13" t="n">
        <v>13.948</v>
      </c>
    </row>
    <row r="54">
      <c r="A54" s="11" t="inlineStr">
        <is>
          <t>Weighted Avg. Basic Shares Out. (actual)</t>
        </is>
      </c>
      <c r="B54" s="13" t="n">
        <v>49418000</v>
      </c>
      <c r="C54" s="13" t="n">
        <v>48907000</v>
      </c>
      <c r="D54" s="13" t="n">
        <v>48645000</v>
      </c>
      <c r="E54" s="13" t="n">
        <v>48820000</v>
      </c>
      <c r="F54" s="13" t="n">
        <v>49286000</v>
      </c>
      <c r="G54" s="13" t="n">
        <v>49165000</v>
      </c>
    </row>
    <row r="55">
      <c r="A55" s="11" t="inlineStr">
        <is>
          <t>Diluted EPS Incl. Extra Items</t>
        </is>
      </c>
      <c r="B55" s="13" t="n">
        <v>6.58</v>
      </c>
      <c r="C55" s="13" t="n">
        <v>5.78</v>
      </c>
      <c r="D55" s="13" t="n">
        <v>10.11</v>
      </c>
      <c r="E55" s="13" t="n">
        <v>7.93</v>
      </c>
      <c r="F55" s="13" t="n">
        <v>15.18</v>
      </c>
      <c r="G55" s="13" t="n">
        <v>13.89</v>
      </c>
    </row>
    <row r="56">
      <c r="A56" s="11" t="inlineStr">
        <is>
          <t>Diluted EPS Excl. Extra Items</t>
        </is>
      </c>
      <c r="B56" s="13" t="n">
        <v>6.58</v>
      </c>
      <c r="C56" s="13" t="n">
        <v>5.78</v>
      </c>
      <c r="D56" s="13" t="n">
        <v>10.11</v>
      </c>
      <c r="E56" s="13" t="n">
        <v>7.93</v>
      </c>
      <c r="F56" s="13" t="n">
        <v>15.18</v>
      </c>
      <c r="G56" s="13" t="n">
        <v>13.89</v>
      </c>
    </row>
    <row r="57">
      <c r="A57" s="11" t="inlineStr">
        <is>
          <t>Weighted Avg. Diluted Shares Out. (actual)</t>
        </is>
      </c>
      <c r="B57" s="13" t="n">
        <v>49999000</v>
      </c>
      <c r="C57" s="13" t="n">
        <v>49359000</v>
      </c>
      <c r="D57" s="13" t="n">
        <v>48909000</v>
      </c>
      <c r="E57" s="13" t="n">
        <v>49097000</v>
      </c>
      <c r="F57" s="13" t="n">
        <v>49555000</v>
      </c>
      <c r="G57" s="13" t="n">
        <v>49386000</v>
      </c>
    </row>
    <row r="58">
      <c r="A58" s="11" t="inlineStr">
        <is>
          <t>Normalized Basic EPS</t>
        </is>
      </c>
      <c r="B58" s="13" t="n">
        <v>4.9</v>
      </c>
      <c r="C58" s="13" t="n">
        <v>4.399</v>
      </c>
      <c r="D58" s="13" t="n">
        <v>7.647</v>
      </c>
      <c r="E58" s="13" t="n">
        <v>9.255000000000001</v>
      </c>
      <c r="F58" s="13" t="n">
        <v>8.413</v>
      </c>
      <c r="G58" s="13" t="n">
        <v>11.06</v>
      </c>
    </row>
    <row r="59">
      <c r="A59" s="11" t="inlineStr">
        <is>
          <t>Normalized Diluted EPS</t>
        </is>
      </c>
      <c r="B59" s="13" t="n">
        <v>4.843</v>
      </c>
      <c r="C59" s="13" t="n">
        <v>4.358</v>
      </c>
      <c r="D59" s="13" t="n">
        <v>7.606</v>
      </c>
      <c r="E59" s="13" t="n">
        <v>9.202999999999999</v>
      </c>
      <c r="F59" s="13" t="n">
        <v>8.368</v>
      </c>
      <c r="G59" s="13" t="n">
        <v>11.01</v>
      </c>
    </row>
    <row r="60">
      <c r="A60" s="11" t="inlineStr">
        <is>
          <t>Dividends per Share</t>
        </is>
      </c>
      <c r="B60" s="13" t="n">
        <v>1.5</v>
      </c>
      <c r="C60" s="13" t="n">
        <v>2</v>
      </c>
      <c r="D60" s="13" t="n">
        <v>2.5</v>
      </c>
      <c r="E60" s="13" t="n">
        <v>2.5</v>
      </c>
      <c r="F60" s="13" t="n">
        <v>2.75</v>
      </c>
      <c r="G60" s="13" t="n">
        <v>3</v>
      </c>
    </row>
    <row r="61">
      <c r="A61" s="11" t="inlineStr">
        <is>
          <t>Payout Ratio (%)</t>
        </is>
      </c>
      <c r="B61" s="13" t="n">
        <v>30.181</v>
      </c>
      <c r="C61" s="13" t="n">
        <v>34.579</v>
      </c>
      <c r="D61" s="13" t="n">
        <v>19.586</v>
      </c>
      <c r="E61" s="13" t="n">
        <v>31.263</v>
      </c>
      <c r="F61" s="13" t="n">
        <v>16.406</v>
      </c>
      <c r="G61" s="13" t="n">
        <v>19.758</v>
      </c>
    </row>
    <row r="62">
      <c r="A62" s="11" t="inlineStr">
        <is>
          <t>Shares per Depositary Receipt (actual)</t>
        </is>
      </c>
      <c r="B62" s="13" t="n">
        <v>1</v>
      </c>
      <c r="C62" s="13" t="n">
        <v>1</v>
      </c>
      <c r="D62" s="13" t="n">
        <v>1</v>
      </c>
      <c r="E62" s="13" t="n">
        <v>1</v>
      </c>
      <c r="F62" s="13" t="n">
        <v>1</v>
      </c>
      <c r="G62" s="13" t="n">
        <v>1</v>
      </c>
    </row>
    <row r="63">
      <c r="A63" s="11" t="inlineStr">
        <is>
          <t>Supplemental Items (€000)</t>
        </is>
      </c>
    </row>
    <row r="64">
      <c r="A64" s="11" t="inlineStr">
        <is>
          <t>EBITDA</t>
        </is>
      </c>
      <c r="B64" s="13" t="n">
        <v>429559</v>
      </c>
      <c r="C64" s="13" t="n">
        <v>383511</v>
      </c>
      <c r="D64" s="13" t="n">
        <v>535957</v>
      </c>
      <c r="E64" s="13" t="n">
        <v>694618</v>
      </c>
      <c r="F64" s="13" t="n">
        <v>769512</v>
      </c>
      <c r="G64" s="13" t="n">
        <v>907256</v>
      </c>
    </row>
    <row r="65">
      <c r="A65" s="11" t="inlineStr">
        <is>
          <t>EBITA</t>
        </is>
      </c>
      <c r="B65" s="13" t="n">
        <v>384114</v>
      </c>
      <c r="C65" s="13" t="n">
        <v>337554</v>
      </c>
      <c r="D65" s="13" t="n">
        <v>477151</v>
      </c>
      <c r="E65" s="13" t="n">
        <v>624810</v>
      </c>
      <c r="F65" s="13" t="n">
        <v>689323</v>
      </c>
      <c r="G65" s="13" t="n">
        <v>814102</v>
      </c>
    </row>
    <row r="66">
      <c r="A66" s="11" t="inlineStr">
        <is>
          <t>EBIT</t>
        </is>
      </c>
      <c r="B66" s="13" t="n">
        <v>369656</v>
      </c>
      <c r="C66" s="13" t="n">
        <v>324406</v>
      </c>
      <c r="D66" s="13" t="n">
        <v>477141</v>
      </c>
      <c r="E66" s="13" t="n">
        <v>618759</v>
      </c>
      <c r="F66" s="13" t="n">
        <v>652735</v>
      </c>
      <c r="G66" s="13" t="n">
        <v>795169</v>
      </c>
    </row>
    <row r="67">
      <c r="A67" s="11" t="inlineStr">
        <is>
          <t>EBITDAR</t>
        </is>
      </c>
      <c r="B67" s="13" t="n">
        <v>429904</v>
      </c>
      <c r="C67" s="13" t="n">
        <v>383781</v>
      </c>
      <c r="D67" s="13" t="n">
        <v>536021</v>
      </c>
      <c r="E67" s="13" t="n">
        <v>694869</v>
      </c>
      <c r="F67" s="13" t="n">
        <v>770012</v>
      </c>
      <c r="G67" s="13" t="n">
        <v>907890</v>
      </c>
    </row>
    <row r="68">
      <c r="A68" s="11" t="inlineStr">
        <is>
          <t>Effective Tax Rate (%)</t>
        </is>
      </c>
      <c r="B68" s="13" t="n">
        <v>14.02</v>
      </c>
      <c r="C68" s="13" t="n">
        <v>14.57</v>
      </c>
      <c r="D68" s="13" t="n">
        <v>17.179</v>
      </c>
      <c r="E68" s="13" t="n">
        <v>22.944</v>
      </c>
      <c r="F68" s="13" t="n">
        <v>13.208</v>
      </c>
      <c r="G68" s="13" t="n">
        <v>20.989</v>
      </c>
    </row>
    <row r="69">
      <c r="A69" s="11" t="inlineStr">
        <is>
          <t>Current Domestic Taxes</t>
        </is>
      </c>
      <c r="B69" s="13" t="n">
        <v>28409</v>
      </c>
      <c r="C69" s="13" t="n">
        <v>25462</v>
      </c>
      <c r="D69" s="13" t="n">
        <v>72032</v>
      </c>
      <c r="E69" s="13" t="n">
        <v>78738</v>
      </c>
      <c r="F69" s="11" t="inlineStr">
        <is>
          <t>NA</t>
        </is>
      </c>
      <c r="G69" s="11" t="inlineStr">
        <is>
          <t>NA</t>
        </is>
      </c>
    </row>
    <row r="70">
      <c r="A70" s="11" t="inlineStr">
        <is>
          <t>Current Foreign Taxes</t>
        </is>
      </c>
      <c r="B70" s="13" t="n">
        <v>9011</v>
      </c>
      <c r="C70" s="13" t="n">
        <v>17754</v>
      </c>
      <c r="D70" s="13" t="n">
        <v>7718</v>
      </c>
      <c r="E70" s="13" t="n">
        <v>36430</v>
      </c>
      <c r="F70" s="11" t="inlineStr">
        <is>
          <t>NA</t>
        </is>
      </c>
      <c r="G70" s="11" t="inlineStr">
        <is>
          <t>NA</t>
        </is>
      </c>
    </row>
    <row r="71">
      <c r="A71" s="11" t="inlineStr">
        <is>
          <t>Total Current Taxes</t>
        </is>
      </c>
      <c r="B71" s="13" t="n">
        <v>37420</v>
      </c>
      <c r="C71" s="13" t="n">
        <v>43216</v>
      </c>
      <c r="D71" s="13" t="n">
        <v>79750</v>
      </c>
      <c r="E71" s="13" t="n">
        <v>115168</v>
      </c>
      <c r="F71" s="13" t="n">
        <v>85548</v>
      </c>
      <c r="G71" s="13" t="n">
        <v>172198</v>
      </c>
    </row>
    <row r="72">
      <c r="A72" s="11" t="inlineStr">
        <is>
          <t>Deferred Domestic Taxes</t>
        </is>
      </c>
      <c r="B72" s="13" t="n">
        <v>6860</v>
      </c>
      <c r="C72" s="13" t="n">
        <v>3348</v>
      </c>
      <c r="D72" s="13" t="n">
        <v>5948</v>
      </c>
      <c r="E72" s="13" t="n">
        <v>1875</v>
      </c>
      <c r="F72" s="11" t="inlineStr">
        <is>
          <t>NA</t>
        </is>
      </c>
      <c r="G72" s="11" t="inlineStr">
        <is>
          <t>NA</t>
        </is>
      </c>
    </row>
    <row r="73">
      <c r="A73" s="11" t="inlineStr">
        <is>
          <t>Deferred Foreign Taxes</t>
        </is>
      </c>
      <c r="B73" s="13" t="n">
        <v>9370</v>
      </c>
      <c r="C73" s="13" t="n">
        <v>2109</v>
      </c>
      <c r="D73" s="13" t="n">
        <v>16917</v>
      </c>
      <c r="E73" s="13" t="n">
        <v>-1180</v>
      </c>
      <c r="F73" s="11" t="inlineStr">
        <is>
          <t>NA</t>
        </is>
      </c>
      <c r="G73" s="11" t="inlineStr">
        <is>
          <t>NA</t>
        </is>
      </c>
    </row>
    <row r="74">
      <c r="A74" s="11" t="inlineStr">
        <is>
          <t>Total Deferred Taxes</t>
        </is>
      </c>
      <c r="B74" s="13" t="n">
        <v>16230</v>
      </c>
      <c r="C74" s="13" t="n">
        <v>5457</v>
      </c>
      <c r="D74" s="13" t="n">
        <v>22865</v>
      </c>
      <c r="E74" s="13" t="n">
        <v>695</v>
      </c>
      <c r="F74" s="13" t="n">
        <v>28900</v>
      </c>
      <c r="G74" s="13" t="n">
        <v>9970</v>
      </c>
    </row>
    <row r="75">
      <c r="A75" s="11" t="inlineStr">
        <is>
          <t>Normalized Net Income</t>
        </is>
      </c>
      <c r="B75" s="13" t="n">
        <v>242136.25</v>
      </c>
      <c r="C75" s="13" t="n">
        <v>215121.875</v>
      </c>
      <c r="D75" s="13" t="n">
        <v>372012.5</v>
      </c>
      <c r="E75" s="13" t="n">
        <v>451816.25</v>
      </c>
      <c r="F75" s="13" t="n">
        <v>414654.375</v>
      </c>
      <c r="G75" s="13" t="n">
        <v>543757.5</v>
      </c>
    </row>
    <row r="76">
      <c r="A76" s="11" t="inlineStr">
        <is>
          <t>Interest on Long-term Debt</t>
        </is>
      </c>
      <c r="B76" s="13" t="n">
        <v>586</v>
      </c>
      <c r="C76" s="13" t="n">
        <v>561</v>
      </c>
      <c r="D76" s="13" t="n">
        <v>523</v>
      </c>
      <c r="E76" s="13" t="n">
        <v>603</v>
      </c>
      <c r="F76" s="13" t="n">
        <v>705</v>
      </c>
      <c r="G76" s="13" t="n">
        <v>800</v>
      </c>
    </row>
    <row r="77">
      <c r="A77" s="11" t="inlineStr">
        <is>
          <t>Non-Cash Pension Expense</t>
        </is>
      </c>
      <c r="B77" s="13" t="n">
        <v>-4</v>
      </c>
      <c r="C77" s="13" t="n">
        <v>-3</v>
      </c>
      <c r="D77" s="13" t="n">
        <v>-10</v>
      </c>
      <c r="E77" s="11" t="inlineStr">
        <is>
          <t>NA</t>
        </is>
      </c>
      <c r="F77" s="11" t="inlineStr">
        <is>
          <t>NA</t>
        </is>
      </c>
      <c r="G77" s="11" t="inlineStr">
        <is>
          <t>NA</t>
        </is>
      </c>
    </row>
    <row r="78">
      <c r="A78" s="11" t="inlineStr">
        <is>
          <t>Supplemental Operating Expense Items (€000)</t>
        </is>
      </c>
    </row>
    <row r="79">
      <c r="A79" s="11" t="inlineStr">
        <is>
          <t>R&amp;D Expense</t>
        </is>
      </c>
      <c r="B79" s="13" t="n">
        <v>110895</v>
      </c>
      <c r="C79" s="13" t="n">
        <v>139029</v>
      </c>
      <c r="D79" s="13" t="n">
        <v>151197</v>
      </c>
      <c r="E79" s="13" t="n">
        <v>233866</v>
      </c>
      <c r="F79" s="13" t="n">
        <v>309297</v>
      </c>
      <c r="G79" s="13" t="n">
        <v>369818</v>
      </c>
    </row>
    <row r="80">
      <c r="A80" s="11" t="inlineStr">
        <is>
          <t>Net Rental Expense, Total</t>
        </is>
      </c>
      <c r="B80" s="13" t="n">
        <v>345</v>
      </c>
      <c r="C80" s="13" t="n">
        <v>270</v>
      </c>
      <c r="D80" s="13" t="n">
        <v>64</v>
      </c>
      <c r="E80" s="13" t="n">
        <v>251</v>
      </c>
      <c r="F80" s="13" t="n">
        <v>500</v>
      </c>
      <c r="G80" s="13" t="n">
        <v>634</v>
      </c>
    </row>
    <row r="81">
      <c r="A81" s="11" t="inlineStr">
        <is>
          <t>Imputed Oper. Lease Interest Exp.</t>
        </is>
      </c>
      <c r="B81" s="11" t="inlineStr">
        <is>
          <t>NA</t>
        </is>
      </c>
      <c r="C81" s="13" t="n">
        <v>206.33</v>
      </c>
      <c r="D81" s="13" t="n">
        <v>48.221</v>
      </c>
      <c r="E81" s="13" t="n">
        <v>118.57</v>
      </c>
      <c r="F81" s="13" t="n">
        <v>511.656</v>
      </c>
      <c r="G81" s="13" t="n">
        <v>277.702</v>
      </c>
    </row>
    <row r="82">
      <c r="A82" s="11" t="inlineStr">
        <is>
          <t>Imputed Oper. Lease Depreciation</t>
        </is>
      </c>
      <c r="B82" s="11" t="inlineStr">
        <is>
          <t>NA</t>
        </is>
      </c>
      <c r="C82" s="13" t="n">
        <v>63.67</v>
      </c>
      <c r="D82" s="13" t="n">
        <v>15.779</v>
      </c>
      <c r="E82" s="13" t="n">
        <v>132.43</v>
      </c>
      <c r="F82" s="13" t="n">
        <v>-11.656</v>
      </c>
      <c r="G82" s="13" t="n">
        <v>356.298</v>
      </c>
    </row>
    <row r="83">
      <c r="A83" s="11" t="inlineStr">
        <is>
          <t>Stock-Based Comp., Unallocated</t>
        </is>
      </c>
      <c r="B83" s="13" t="n">
        <v>10538</v>
      </c>
      <c r="C83" s="13" t="n">
        <v>12792</v>
      </c>
      <c r="D83" s="13" t="n">
        <v>17242</v>
      </c>
      <c r="E83" s="13" t="n">
        <v>29877</v>
      </c>
      <c r="F83" s="13" t="n">
        <v>37308</v>
      </c>
      <c r="G83" s="13" t="n">
        <v>41576</v>
      </c>
    </row>
    <row r="84">
      <c r="A84" s="11" t="inlineStr">
        <is>
          <t xml:space="preserve">        Stock-Based Comp., Total</t>
        </is>
      </c>
      <c r="B84" s="13" t="n">
        <v>10538</v>
      </c>
      <c r="C84" s="13" t="n">
        <v>12792</v>
      </c>
      <c r="D84" s="13" t="n">
        <v>17242</v>
      </c>
      <c r="E84" s="13" t="n">
        <v>29877</v>
      </c>
      <c r="F84" s="13" t="n">
        <v>37308</v>
      </c>
      <c r="G84" s="13" t="n">
        <v>41576</v>
      </c>
    </row>
    <row r="85">
      <c r="A85" s="11" t="inlineStr">
        <is>
          <t>CIQ Restatement Type Code</t>
        </is>
      </c>
      <c r="B85" s="11" t="inlineStr">
        <is>
          <t>NC</t>
        </is>
      </c>
      <c r="C85" s="11" t="inlineStr">
        <is>
          <t>NC</t>
        </is>
      </c>
      <c r="D85" s="11" t="inlineStr">
        <is>
          <t>NC</t>
        </is>
      </c>
      <c r="E85" s="11" t="inlineStr">
        <is>
          <t>RC</t>
        </is>
      </c>
      <c r="F85" s="11" t="inlineStr">
        <is>
          <t>NC</t>
        </is>
      </c>
      <c r="G85" s="11" t="inlineStr">
        <is>
          <t>O</t>
        </is>
      </c>
    </row>
    <row r="86">
      <c r="A86" s="11" t="inlineStr">
        <is>
          <t>CIQ Calculation Type Code</t>
        </is>
      </c>
      <c r="B86" s="11" t="inlineStr">
        <is>
          <t>REP</t>
        </is>
      </c>
      <c r="C86" s="11" t="inlineStr">
        <is>
          <t>REP</t>
        </is>
      </c>
      <c r="D86" s="11" t="inlineStr">
        <is>
          <t>REP</t>
        </is>
      </c>
      <c r="E86" s="11" t="inlineStr">
        <is>
          <t>REP</t>
        </is>
      </c>
      <c r="F86" s="11" t="inlineStr">
        <is>
          <t>REP</t>
        </is>
      </c>
      <c r="G86" s="11" t="inlineStr">
        <is>
          <t>REP</t>
        </is>
      </c>
    </row>
    <row r="87">
      <c r="A87" s="11" t="inlineStr">
        <is>
          <t>Options Outstanding</t>
        </is>
      </c>
    </row>
    <row r="88">
      <c r="A88" s="11" t="inlineStr">
        <is>
          <t>Options Out. at the Begin of Period, Common Stock</t>
        </is>
      </c>
      <c r="B88" s="13" t="n">
        <v>451170</v>
      </c>
      <c r="C88" s="11" t="inlineStr">
        <is>
          <t>NA</t>
        </is>
      </c>
      <c r="D88" s="11" t="inlineStr">
        <is>
          <t>NA</t>
        </is>
      </c>
      <c r="E88" s="13" t="n">
        <v>18249</v>
      </c>
      <c r="F88" s="11" t="inlineStr">
        <is>
          <t>NA</t>
        </is>
      </c>
      <c r="G88" s="11" t="inlineStr">
        <is>
          <t>NA</t>
        </is>
      </c>
    </row>
    <row r="89">
      <c r="A89" s="11" t="inlineStr">
        <is>
          <t>Options Exercised During the Period, Common Stock</t>
        </is>
      </c>
      <c r="B89" s="13" t="n">
        <v>313531</v>
      </c>
      <c r="C89" s="11" t="inlineStr">
        <is>
          <t>NA</t>
        </is>
      </c>
      <c r="D89" s="13" t="n">
        <v>123521</v>
      </c>
      <c r="E89" s="11" t="inlineStr">
        <is>
          <t>NA</t>
        </is>
      </c>
      <c r="F89" s="11" t="inlineStr">
        <is>
          <t>NA</t>
        </is>
      </c>
      <c r="G89" s="11" t="inlineStr">
        <is>
          <t>NA</t>
        </is>
      </c>
    </row>
    <row r="90">
      <c r="A90" s="11" t="inlineStr">
        <is>
          <t>Options Cancelled During the Period, Common Stock</t>
        </is>
      </c>
      <c r="B90" s="13" t="n">
        <v>10387</v>
      </c>
      <c r="C90" s="11" t="inlineStr">
        <is>
          <t>NA</t>
        </is>
      </c>
      <c r="D90" s="11" t="inlineStr">
        <is>
          <t>NA</t>
        </is>
      </c>
      <c r="E90" s="11" t="inlineStr">
        <is>
          <t>NA</t>
        </is>
      </c>
      <c r="F90" s="11" t="inlineStr">
        <is>
          <t>NA</t>
        </is>
      </c>
      <c r="G90" s="11" t="inlineStr">
        <is>
          <t>NA</t>
        </is>
      </c>
    </row>
    <row r="91">
      <c r="A91" s="11" t="inlineStr">
        <is>
          <t>Options Out. at the End of Period, Common Stock</t>
        </is>
      </c>
      <c r="B91" s="13" t="n">
        <v>127252</v>
      </c>
      <c r="C91" s="11" t="inlineStr">
        <is>
          <t>NA</t>
        </is>
      </c>
      <c r="D91" s="11" t="inlineStr">
        <is>
          <t>NA</t>
        </is>
      </c>
      <c r="E91" s="13" t="n">
        <v>18249</v>
      </c>
      <c r="F91" s="11" t="inlineStr">
        <is>
          <t>NA</t>
        </is>
      </c>
      <c r="G91" s="11" t="inlineStr">
        <is>
          <t>NA</t>
        </is>
      </c>
    </row>
    <row r="92">
      <c r="A92" s="11" t="inlineStr">
        <is>
          <t>Options Wtd Avg Strike Price of Outstd, Comm Stock (€)</t>
        </is>
      </c>
      <c r="B92" s="13" t="n">
        <v>21.79</v>
      </c>
      <c r="C92" s="11" t="inlineStr">
        <is>
          <t>NA</t>
        </is>
      </c>
      <c r="D92" s="11" t="inlineStr">
        <is>
          <t>NA</t>
        </is>
      </c>
      <c r="E92" s="11" t="inlineStr">
        <is>
          <t>NA</t>
        </is>
      </c>
      <c r="F92" s="11" t="inlineStr">
        <is>
          <t>NA</t>
        </is>
      </c>
      <c r="G92" s="11" t="inlineStr">
        <is>
          <t>NA</t>
        </is>
      </c>
    </row>
    <row r="93">
      <c r="A93" s="11" t="inlineStr">
        <is>
          <t>Options Outstanding - All Classes</t>
        </is>
      </c>
    </row>
    <row r="94">
      <c r="A94" s="11" t="inlineStr">
        <is>
          <t>Options Out. at the Beginning of the Period, Total</t>
        </is>
      </c>
      <c r="B94" s="13" t="n">
        <v>451170</v>
      </c>
      <c r="C94" s="11" t="inlineStr">
        <is>
          <t>NA</t>
        </is>
      </c>
      <c r="D94" s="11" t="inlineStr">
        <is>
          <t>NA</t>
        </is>
      </c>
      <c r="E94" s="13" t="n">
        <v>18249</v>
      </c>
      <c r="F94" s="11" t="inlineStr">
        <is>
          <t>NA</t>
        </is>
      </c>
      <c r="G94" s="11" t="inlineStr">
        <is>
          <t>NA</t>
        </is>
      </c>
    </row>
    <row r="95">
      <c r="A95" s="11" t="inlineStr">
        <is>
          <t>Options Exercised During the Period, Total</t>
        </is>
      </c>
      <c r="B95" s="13" t="n">
        <v>313531</v>
      </c>
      <c r="C95" s="11" t="inlineStr">
        <is>
          <t>NA</t>
        </is>
      </c>
      <c r="D95" s="13" t="n">
        <v>123521</v>
      </c>
      <c r="E95" s="11" t="inlineStr">
        <is>
          <t>NA</t>
        </is>
      </c>
      <c r="F95" s="11" t="inlineStr">
        <is>
          <t>NA</t>
        </is>
      </c>
      <c r="G95" s="11" t="inlineStr">
        <is>
          <t>NA</t>
        </is>
      </c>
    </row>
    <row r="96">
      <c r="A96" s="11" t="inlineStr">
        <is>
          <t>Options Cancelled During the Period, Total</t>
        </is>
      </c>
      <c r="B96" s="13" t="n">
        <v>10387</v>
      </c>
      <c r="C96" s="11" t="inlineStr">
        <is>
          <t>NA</t>
        </is>
      </c>
      <c r="D96" s="11" t="inlineStr">
        <is>
          <t>NA</t>
        </is>
      </c>
      <c r="E96" s="11" t="inlineStr">
        <is>
          <t>NA</t>
        </is>
      </c>
      <c r="F96" s="11" t="inlineStr">
        <is>
          <t>NA</t>
        </is>
      </c>
      <c r="G96" s="11" t="inlineStr">
        <is>
          <t>NA</t>
        </is>
      </c>
    </row>
    <row r="97">
      <c r="A97" s="11" t="inlineStr">
        <is>
          <t>Options Out. at the End of the Period, Total</t>
        </is>
      </c>
      <c r="B97" s="13" t="n">
        <v>127252</v>
      </c>
      <c r="C97" s="11" t="inlineStr">
        <is>
          <t>NA</t>
        </is>
      </c>
      <c r="D97" s="11" t="inlineStr">
        <is>
          <t>NA</t>
        </is>
      </c>
      <c r="E97" s="13" t="n">
        <v>18249</v>
      </c>
      <c r="F97" s="11" t="inlineStr">
        <is>
          <t>NA</t>
        </is>
      </c>
      <c r="G97" s="11" t="inlineStr">
        <is>
          <t>NA</t>
        </is>
      </c>
    </row>
    <row r="98">
      <c r="A98" s="11" t="inlineStr">
        <is>
          <t>Stock Based Compensation (€000)</t>
        </is>
      </c>
    </row>
    <row r="99">
      <c r="A99" s="11" t="inlineStr">
        <is>
          <t>Stock Based Comp. Exp., Before Tax</t>
        </is>
      </c>
      <c r="B99" s="13" t="n">
        <v>10538</v>
      </c>
      <c r="C99" s="13" t="n">
        <v>12792</v>
      </c>
      <c r="D99" s="13" t="n">
        <v>17242</v>
      </c>
      <c r="E99" s="13" t="n">
        <v>29877</v>
      </c>
      <c r="F99" s="13" t="n">
        <v>37308</v>
      </c>
      <c r="G99" s="13" t="n">
        <v>41576</v>
      </c>
    </row>
    <row r="102">
      <c r="A102" s="11" t="inlineStr">
        <is>
          <t>Recommended: S&amp;P Capital IQ - Standard</t>
        </is>
      </c>
      <c r="B102" s="11" t="inlineStr">
        <is>
          <t>2019 FY</t>
        </is>
      </c>
      <c r="C102" s="11" t="inlineStr">
        <is>
          <t>2020 FY</t>
        </is>
      </c>
      <c r="D102" s="11" t="inlineStr">
        <is>
          <t>2021 FY</t>
        </is>
      </c>
      <c r="E102" s="11" t="inlineStr">
        <is>
          <t>2022 FY</t>
        </is>
      </c>
      <c r="F102" s="11" t="inlineStr">
        <is>
          <t>2023 FY</t>
        </is>
      </c>
      <c r="G102" s="11" t="inlineStr">
        <is>
          <t>2024 FY</t>
        </is>
      </c>
    </row>
    <row r="103">
      <c r="A103" s="11" t="inlineStr">
        <is>
          <t xml:space="preserve"> </t>
        </is>
      </c>
      <c r="B103" s="11" t="inlineStr">
        <is>
          <t>Current/Restated</t>
        </is>
      </c>
      <c r="C103" s="11" t="inlineStr">
        <is>
          <t>Current/Restated</t>
        </is>
      </c>
      <c r="D103" s="11" t="inlineStr">
        <is>
          <t>Current/Restated</t>
        </is>
      </c>
      <c r="E103" s="11" t="inlineStr">
        <is>
          <t>Current/Restated</t>
        </is>
      </c>
      <c r="F103" s="11" t="inlineStr">
        <is>
          <t>Current/Restated</t>
        </is>
      </c>
      <c r="G103" s="11" t="inlineStr">
        <is>
          <t>Current/Restated</t>
        </is>
      </c>
    </row>
    <row r="104">
      <c r="A104" s="11" t="inlineStr">
        <is>
          <t>Period Ended</t>
        </is>
      </c>
      <c r="B104" s="12" t="n">
        <v>43830</v>
      </c>
      <c r="C104" s="12" t="n">
        <v>44196</v>
      </c>
      <c r="D104" s="12" t="n">
        <v>44561</v>
      </c>
      <c r="E104" s="12" t="n">
        <v>44926</v>
      </c>
      <c r="F104" s="12" t="n">
        <v>45291</v>
      </c>
      <c r="G104" s="12" t="n">
        <v>45657</v>
      </c>
    </row>
    <row r="105">
      <c r="A105" s="11" t="inlineStr">
        <is>
          <t>Financial Filing Date</t>
        </is>
      </c>
      <c r="B105" s="12" t="n">
        <v>44260</v>
      </c>
      <c r="C105" s="12" t="n">
        <v>44623</v>
      </c>
      <c r="D105" s="12" t="n">
        <v>44987</v>
      </c>
      <c r="E105" s="12" t="n">
        <v>45352</v>
      </c>
      <c r="F105" s="12" t="n">
        <v>45722</v>
      </c>
      <c r="G105" s="12" t="n">
        <v>45722</v>
      </c>
    </row>
    <row r="106">
      <c r="A106" s="11" t="inlineStr">
        <is>
          <t>Spot Exchange Rate</t>
        </is>
      </c>
      <c r="B106" s="13" t="n">
        <v>1</v>
      </c>
      <c r="C106" s="13" t="n">
        <v>1</v>
      </c>
      <c r="D106" s="13" t="n">
        <v>1</v>
      </c>
      <c r="E106" s="13" t="n">
        <v>1</v>
      </c>
      <c r="F106" s="13" t="n">
        <v>1</v>
      </c>
      <c r="G106" s="13" t="n">
        <v>1</v>
      </c>
    </row>
    <row r="107">
      <c r="A107" s="11" t="inlineStr">
        <is>
          <t>Average Exchange Rate</t>
        </is>
      </c>
      <c r="B107" s="13" t="n">
        <v>1</v>
      </c>
      <c r="C107" s="13" t="n">
        <v>1</v>
      </c>
      <c r="D107" s="13" t="n">
        <v>1</v>
      </c>
      <c r="E107" s="13" t="n">
        <v>1</v>
      </c>
      <c r="F107" s="13" t="n">
        <v>1</v>
      </c>
      <c r="G107" s="13" t="n">
        <v>1</v>
      </c>
    </row>
    <row r="108">
      <c r="A108" s="11" t="inlineStr">
        <is>
          <t xml:space="preserve"> </t>
        </is>
      </c>
    </row>
    <row r="109">
      <c r="A109" s="11" t="inlineStr">
        <is>
          <t>Operating Activities (€000)</t>
        </is>
      </c>
    </row>
    <row r="110">
      <c r="A110" s="11" t="inlineStr">
        <is>
          <t>Net Income - CF</t>
        </is>
      </c>
      <c r="B110" s="13" t="n">
        <v>329013</v>
      </c>
      <c r="C110" s="13" t="n">
        <v>285396</v>
      </c>
      <c r="D110" s="13" t="n">
        <v>494709</v>
      </c>
      <c r="E110" s="13" t="n">
        <v>389113</v>
      </c>
      <c r="F110" s="13" t="n">
        <v>752073</v>
      </c>
      <c r="G110" s="13" t="n">
        <v>685734</v>
      </c>
    </row>
    <row r="111">
      <c r="A111" s="11" t="inlineStr">
        <is>
          <t>Depreciation &amp; Amort.</t>
        </is>
      </c>
      <c r="B111" s="13" t="n">
        <v>52778</v>
      </c>
      <c r="C111" s="13" t="n">
        <v>53568</v>
      </c>
      <c r="D111" s="13" t="n">
        <v>66995</v>
      </c>
      <c r="E111" s="13" t="n">
        <v>79688</v>
      </c>
      <c r="F111" s="13" t="n">
        <v>92811</v>
      </c>
      <c r="G111" s="13" t="n">
        <v>107021</v>
      </c>
    </row>
    <row r="112">
      <c r="A112" s="11" t="inlineStr">
        <is>
          <t>Amort. of Goodwill and Intangibles</t>
        </is>
      </c>
      <c r="B112" s="13" t="n">
        <v>14458</v>
      </c>
      <c r="C112" s="13" t="n">
        <v>13148</v>
      </c>
      <c r="D112" s="13" t="n">
        <v>10</v>
      </c>
      <c r="E112" s="13" t="n">
        <v>6051</v>
      </c>
      <c r="F112" s="13" t="n">
        <v>36588</v>
      </c>
      <c r="G112" s="13" t="n">
        <v>18933</v>
      </c>
    </row>
    <row r="113">
      <c r="A113" s="11" t="inlineStr">
        <is>
          <t xml:space="preserve">        Depreciation &amp; Amort., Total</t>
        </is>
      </c>
      <c r="B113" s="13" t="n">
        <v>67236</v>
      </c>
      <c r="C113" s="13" t="n">
        <v>66716</v>
      </c>
      <c r="D113" s="13" t="n">
        <v>67005</v>
      </c>
      <c r="E113" s="13" t="n">
        <v>85739</v>
      </c>
      <c r="F113" s="13" t="n">
        <v>129399</v>
      </c>
      <c r="G113" s="13" t="n">
        <v>125954</v>
      </c>
    </row>
    <row r="114">
      <c r="A114" s="11" t="inlineStr">
        <is>
          <t>Other Amortization</t>
        </is>
      </c>
      <c r="B114" s="13" t="n">
        <v>20118</v>
      </c>
      <c r="C114" s="13" t="n">
        <v>25050</v>
      </c>
      <c r="D114" s="13" t="n">
        <v>26608</v>
      </c>
      <c r="E114" s="13" t="n">
        <v>36689</v>
      </c>
      <c r="F114" s="13" t="n">
        <v>46859</v>
      </c>
      <c r="G114" s="13" t="n">
        <v>69398</v>
      </c>
    </row>
    <row r="115">
      <c r="A115" s="11" t="inlineStr">
        <is>
          <t>(Gain) Loss From Sale Of Assets</t>
        </is>
      </c>
      <c r="B115" s="11" t="inlineStr">
        <is>
          <t>NA</t>
        </is>
      </c>
      <c r="C115" s="11" t="inlineStr">
        <is>
          <t>NA</t>
        </is>
      </c>
      <c r="D115" s="13" t="n">
        <v>-4071</v>
      </c>
      <c r="E115" s="13" t="n">
        <v>-40</v>
      </c>
      <c r="F115" s="13" t="n">
        <v>185</v>
      </c>
      <c r="G115" s="13" t="n">
        <v>-7036</v>
      </c>
    </row>
    <row r="116">
      <c r="A116" s="11" t="inlineStr">
        <is>
          <t>Loss On Sale Of Investment</t>
        </is>
      </c>
      <c r="B116" s="11" t="inlineStr">
        <is>
          <t>NA</t>
        </is>
      </c>
      <c r="C116" s="11" t="inlineStr">
        <is>
          <t>NA</t>
        </is>
      </c>
      <c r="D116" s="11" t="inlineStr">
        <is>
          <t>NA</t>
        </is>
      </c>
      <c r="E116" s="13" t="n">
        <v>215389</v>
      </c>
      <c r="F116" s="13" t="n">
        <v>-215389</v>
      </c>
      <c r="G116" s="11" t="inlineStr">
        <is>
          <t>NA</t>
        </is>
      </c>
    </row>
    <row r="117">
      <c r="A117" s="11" t="inlineStr">
        <is>
          <t>Asset Writedown &amp; Restructuring Costs</t>
        </is>
      </c>
      <c r="B117" s="13" t="n">
        <v>4755</v>
      </c>
      <c r="C117" s="13" t="n">
        <v>-29584</v>
      </c>
      <c r="D117" s="13" t="n">
        <v>-6013</v>
      </c>
      <c r="E117" s="13" t="n">
        <v>-20510</v>
      </c>
      <c r="F117" s="13" t="n">
        <v>-27580</v>
      </c>
      <c r="G117" s="13" t="n">
        <v>-46632</v>
      </c>
    </row>
    <row r="118">
      <c r="A118" s="11" t="inlineStr">
        <is>
          <t>Loss on Equity Investment</t>
        </is>
      </c>
      <c r="B118" s="13" t="n">
        <v>-18035</v>
      </c>
      <c r="C118" s="13" t="n">
        <v>-44813</v>
      </c>
      <c r="D118" s="13" t="n">
        <v>-74382</v>
      </c>
      <c r="E118" s="13" t="n">
        <v>-64771</v>
      </c>
      <c r="F118" s="13" t="n">
        <v>-17539</v>
      </c>
      <c r="G118" s="13" t="n">
        <v>-9643</v>
      </c>
    </row>
    <row r="119">
      <c r="A119" s="11" t="inlineStr">
        <is>
          <t>Stock-Based Compensation</t>
        </is>
      </c>
      <c r="B119" s="13" t="n">
        <v>10538</v>
      </c>
      <c r="C119" s="13" t="n">
        <v>12792</v>
      </c>
      <c r="D119" s="13" t="n">
        <v>17242</v>
      </c>
      <c r="E119" s="13" t="n">
        <v>29877</v>
      </c>
      <c r="F119" s="13" t="n">
        <v>37308</v>
      </c>
      <c r="G119" s="13" t="n">
        <v>41576</v>
      </c>
    </row>
    <row r="120">
      <c r="A120" s="11" t="inlineStr">
        <is>
          <t>Other Operating Activities</t>
        </is>
      </c>
      <c r="B120" s="13" t="n">
        <v>52941</v>
      </c>
      <c r="C120" s="13" t="n">
        <v>52186</v>
      </c>
      <c r="D120" s="13" t="n">
        <v>-72857</v>
      </c>
      <c r="E120" s="13" t="n">
        <v>29466</v>
      </c>
      <c r="F120" s="13" t="n">
        <v>-13686</v>
      </c>
      <c r="G120" s="13" t="n">
        <v>59835</v>
      </c>
    </row>
    <row r="121">
      <c r="A121" s="11" t="inlineStr">
        <is>
          <t>Change in Acc. Receivable</t>
        </is>
      </c>
      <c r="B121" s="13" t="n">
        <v>-23937</v>
      </c>
      <c r="C121" s="13" t="n">
        <v>-93000</v>
      </c>
      <c r="D121" s="13" t="n">
        <v>-154030</v>
      </c>
      <c r="E121" s="13" t="n">
        <v>6110</v>
      </c>
      <c r="F121" s="13" t="n">
        <v>89145</v>
      </c>
      <c r="G121" s="13" t="n">
        <v>-110037</v>
      </c>
    </row>
    <row r="122">
      <c r="A122" s="11" t="inlineStr">
        <is>
          <t>Change In Inventories</t>
        </is>
      </c>
      <c r="B122" s="13" t="n">
        <v>3058</v>
      </c>
      <c r="C122" s="13" t="n">
        <v>498</v>
      </c>
      <c r="D122" s="13" t="n">
        <v>-39148</v>
      </c>
      <c r="E122" s="13" t="n">
        <v>-276914</v>
      </c>
      <c r="F122" s="13" t="n">
        <v>-3537</v>
      </c>
      <c r="G122" s="13" t="n">
        <v>-31961</v>
      </c>
    </row>
    <row r="123">
      <c r="A123" s="11" t="inlineStr">
        <is>
          <t>Change in Acc. Payable</t>
        </is>
      </c>
      <c r="B123" s="13" t="n">
        <v>81134</v>
      </c>
      <c r="C123" s="13" t="n">
        <v>-12696</v>
      </c>
      <c r="D123" s="13" t="n">
        <v>103087</v>
      </c>
      <c r="E123" s="13" t="n">
        <v>120324</v>
      </c>
      <c r="F123" s="13" t="n">
        <v>-9314</v>
      </c>
      <c r="G123" s="13" t="n">
        <v>112055</v>
      </c>
    </row>
    <row r="124">
      <c r="A124" s="11" t="inlineStr">
        <is>
          <t>Change in Other Net Operating Assets</t>
        </is>
      </c>
      <c r="B124" s="13" t="n">
        <v>-37950</v>
      </c>
      <c r="C124" s="13" t="n">
        <v>1808</v>
      </c>
      <c r="D124" s="13" t="n">
        <v>22490</v>
      </c>
      <c r="E124" s="13" t="n">
        <v>-8984</v>
      </c>
      <c r="F124" s="13" t="n">
        <v>-32037</v>
      </c>
      <c r="G124" s="13" t="n">
        <v>8411</v>
      </c>
    </row>
    <row r="125">
      <c r="A125" s="11" t="inlineStr">
        <is>
          <t xml:space="preserve">        Cash from Ops.</t>
        </is>
      </c>
      <c r="B125" s="13" t="n">
        <v>488871</v>
      </c>
      <c r="C125" s="13" t="n">
        <v>264353</v>
      </c>
      <c r="D125" s="13" t="n">
        <v>380640</v>
      </c>
      <c r="E125" s="13" t="n">
        <v>541488</v>
      </c>
      <c r="F125" s="13" t="n">
        <v>735887</v>
      </c>
      <c r="G125" s="13" t="n">
        <v>897654</v>
      </c>
    </row>
    <row r="126">
      <c r="A126" s="11" t="inlineStr">
        <is>
          <t>Investing Activity (€000)</t>
        </is>
      </c>
    </row>
    <row r="127">
      <c r="A127" s="11" t="inlineStr">
        <is>
          <t>Capital Expenditure</t>
        </is>
      </c>
      <c r="B127" s="13" t="n">
        <v>-48707</v>
      </c>
      <c r="C127" s="13" t="n">
        <v>-95441</v>
      </c>
      <c r="D127" s="13" t="n">
        <v>-72199</v>
      </c>
      <c r="E127" s="13" t="n">
        <v>-101184</v>
      </c>
      <c r="F127" s="13" t="n">
        <v>-154103</v>
      </c>
      <c r="G127" s="13" t="n">
        <v>-167895</v>
      </c>
    </row>
    <row r="128">
      <c r="A128" s="11" t="inlineStr">
        <is>
          <t>Sale of Property, Plant and Equipment</t>
        </is>
      </c>
      <c r="B128" s="13" t="n">
        <v>28</v>
      </c>
      <c r="C128" s="13" t="n">
        <v>2348</v>
      </c>
      <c r="D128" s="13" t="n">
        <v>6159</v>
      </c>
      <c r="E128" s="13" t="n">
        <v>940</v>
      </c>
      <c r="F128" s="13" t="n">
        <v>3558</v>
      </c>
      <c r="G128" s="13" t="n">
        <v>8817</v>
      </c>
    </row>
    <row r="129">
      <c r="A129" s="11" t="inlineStr">
        <is>
          <t>Cash Acquisitions</t>
        </is>
      </c>
      <c r="B129" s="11" t="inlineStr">
        <is>
          <t>NA</t>
        </is>
      </c>
      <c r="C129" s="11" t="inlineStr">
        <is>
          <t>NA</t>
        </is>
      </c>
      <c r="D129" s="11" t="inlineStr">
        <is>
          <t>NA</t>
        </is>
      </c>
      <c r="E129" s="13" t="n">
        <v>-314295</v>
      </c>
      <c r="F129" s="11" t="inlineStr">
        <is>
          <t>NA</t>
        </is>
      </c>
      <c r="G129" s="11" t="inlineStr">
        <is>
          <t>NA</t>
        </is>
      </c>
    </row>
    <row r="130">
      <c r="A130" s="11" t="inlineStr">
        <is>
          <t>Sale (Purchase) of Intangible assets</t>
        </is>
      </c>
      <c r="B130" s="13" t="n">
        <v>-62522</v>
      </c>
      <c r="C130" s="13" t="n">
        <v>-67356</v>
      </c>
      <c r="D130" s="13" t="n">
        <v>-84653</v>
      </c>
      <c r="E130" s="13" t="n">
        <v>-107289</v>
      </c>
      <c r="F130" s="13" t="n">
        <v>-163609</v>
      </c>
      <c r="G130" s="13" t="n">
        <v>-196835</v>
      </c>
    </row>
    <row r="131">
      <c r="A131" s="11" t="inlineStr">
        <is>
          <t>Invest. in Marketable &amp; Equity Securt.</t>
        </is>
      </c>
      <c r="B131" s="11" t="inlineStr">
        <is>
          <t>NA</t>
        </is>
      </c>
      <c r="C131" s="11" t="inlineStr">
        <is>
          <t>NA</t>
        </is>
      </c>
      <c r="D131" s="11" t="inlineStr">
        <is>
          <t>NA</t>
        </is>
      </c>
      <c r="E131" s="13" t="n">
        <v>-1971</v>
      </c>
      <c r="F131" s="13" t="n">
        <v>-5641</v>
      </c>
      <c r="G131" s="13" t="n">
        <v>-7721</v>
      </c>
    </row>
    <row r="132">
      <c r="A132" s="11" t="inlineStr">
        <is>
          <t>Other Investing Activities</t>
        </is>
      </c>
      <c r="B132" s="13" t="n">
        <v>31960</v>
      </c>
      <c r="C132" s="13" t="n">
        <v>16142</v>
      </c>
      <c r="D132" s="13" t="n">
        <v>36297</v>
      </c>
      <c r="E132" s="13" t="n">
        <v>48919</v>
      </c>
      <c r="F132" s="13" t="n">
        <v>30753</v>
      </c>
      <c r="G132" s="13" t="n">
        <v>13668</v>
      </c>
    </row>
    <row r="133">
      <c r="A133" s="11" t="inlineStr">
        <is>
          <t xml:space="preserve">        Cash from Investing</t>
        </is>
      </c>
      <c r="B133" s="13" t="n">
        <v>-79241</v>
      </c>
      <c r="C133" s="13" t="n">
        <v>-144307</v>
      </c>
      <c r="D133" s="13" t="n">
        <v>-114396</v>
      </c>
      <c r="E133" s="13" t="n">
        <v>-474880</v>
      </c>
      <c r="F133" s="13" t="n">
        <v>-289042</v>
      </c>
      <c r="G133" s="13" t="n">
        <v>-349966</v>
      </c>
    </row>
    <row r="134">
      <c r="A134" s="11" t="inlineStr">
        <is>
          <t>Financing Activity (€000)</t>
        </is>
      </c>
    </row>
    <row r="135">
      <c r="A135" s="11" t="inlineStr">
        <is>
          <t>Long-term Debt Repaid</t>
        </is>
      </c>
      <c r="B135" s="13" t="n">
        <v>-12048</v>
      </c>
      <c r="C135" s="13" t="n">
        <v>-7819</v>
      </c>
      <c r="D135" s="13" t="n">
        <v>-7854</v>
      </c>
      <c r="E135" s="13" t="n">
        <v>-10289</v>
      </c>
      <c r="F135" s="13" t="n">
        <v>-12602</v>
      </c>
      <c r="G135" s="13" t="n">
        <v>-14177</v>
      </c>
    </row>
    <row r="136">
      <c r="A136" s="11" t="inlineStr">
        <is>
          <t xml:space="preserve">        Total Debt Repaid</t>
        </is>
      </c>
      <c r="B136" s="13" t="n">
        <v>-12048</v>
      </c>
      <c r="C136" s="13" t="n">
        <v>-7819</v>
      </c>
      <c r="D136" s="13" t="n">
        <v>-7854</v>
      </c>
      <c r="E136" s="13" t="n">
        <v>-10289</v>
      </c>
      <c r="F136" s="13" t="n">
        <v>-12602</v>
      </c>
      <c r="G136" s="13" t="n">
        <v>-14177</v>
      </c>
    </row>
    <row r="137">
      <c r="A137" s="11" t="inlineStr">
        <is>
          <t>Issuance of Common Stock</t>
        </is>
      </c>
      <c r="B137" s="13" t="n">
        <v>6767</v>
      </c>
      <c r="C137" s="13" t="n">
        <v>2774</v>
      </c>
      <c r="D137" s="13" t="n">
        <v>4630</v>
      </c>
      <c r="E137" s="11" t="inlineStr">
        <is>
          <t>NA</t>
        </is>
      </c>
      <c r="F137" s="13" t="n">
        <v>863</v>
      </c>
      <c r="G137" s="11" t="inlineStr">
        <is>
          <t>NA</t>
        </is>
      </c>
    </row>
    <row r="138">
      <c r="A138" s="11" t="inlineStr">
        <is>
          <t>Repurchase of Common Stock</t>
        </is>
      </c>
      <c r="B138" s="13" t="n">
        <v>-101073</v>
      </c>
      <c r="C138" s="13" t="n">
        <v>-66715</v>
      </c>
      <c r="D138" s="13" t="n">
        <v>-140142</v>
      </c>
      <c r="E138" s="11" t="inlineStr">
        <is>
          <t>NA</t>
        </is>
      </c>
      <c r="F138" s="13" t="n">
        <v>-100928</v>
      </c>
      <c r="G138" s="13" t="n">
        <v>-151366</v>
      </c>
    </row>
    <row r="139">
      <c r="A139" s="11" t="inlineStr">
        <is>
          <t>Common Dividends Paid</t>
        </is>
      </c>
      <c r="B139" s="13" t="n">
        <v>-99298</v>
      </c>
      <c r="C139" s="13" t="n">
        <v>-98688</v>
      </c>
      <c r="D139" s="13" t="n">
        <v>-96893</v>
      </c>
      <c r="E139" s="13" t="n">
        <v>-121650</v>
      </c>
      <c r="F139" s="13" t="n">
        <v>-123383</v>
      </c>
      <c r="G139" s="13" t="n">
        <v>-135487</v>
      </c>
    </row>
    <row r="140">
      <c r="A140" s="11" t="inlineStr">
        <is>
          <t xml:space="preserve">        Total Dividends Paid</t>
        </is>
      </c>
      <c r="B140" s="13" t="n">
        <v>-99298</v>
      </c>
      <c r="C140" s="13" t="n">
        <v>-98688</v>
      </c>
      <c r="D140" s="13" t="n">
        <v>-96893</v>
      </c>
      <c r="E140" s="13" t="n">
        <v>-121650</v>
      </c>
      <c r="F140" s="13" t="n">
        <v>-123383</v>
      </c>
      <c r="G140" s="13" t="n">
        <v>-135487</v>
      </c>
    </row>
    <row r="141">
      <c r="A141" s="11" t="inlineStr">
        <is>
          <t>Other Financing Activities</t>
        </is>
      </c>
      <c r="B141" s="11" t="inlineStr">
        <is>
          <t>NA</t>
        </is>
      </c>
      <c r="C141" s="11" t="inlineStr">
        <is>
          <t>NA</t>
        </is>
      </c>
      <c r="D141" s="11" t="inlineStr">
        <is>
          <t>NA</t>
        </is>
      </c>
      <c r="E141" s="13" t="n">
        <v>-660</v>
      </c>
      <c r="F141" s="11" t="inlineStr">
        <is>
          <t>NA</t>
        </is>
      </c>
      <c r="G141" s="11" t="inlineStr">
        <is>
          <t>NA</t>
        </is>
      </c>
    </row>
    <row r="142">
      <c r="A142" s="11" t="inlineStr">
        <is>
          <t xml:space="preserve">        Cash from Financing</t>
        </is>
      </c>
      <c r="B142" s="13" t="n">
        <v>-205652</v>
      </c>
      <c r="C142" s="13" t="n">
        <v>-170448</v>
      </c>
      <c r="D142" s="13" t="n">
        <v>-240259</v>
      </c>
      <c r="E142" s="13" t="n">
        <v>-132599</v>
      </c>
      <c r="F142" s="13" t="n">
        <v>-236050</v>
      </c>
      <c r="G142" s="13" t="n">
        <v>-301030</v>
      </c>
    </row>
    <row r="143">
      <c r="A143" s="11" t="inlineStr">
        <is>
          <t>Other Cash Flow (€000)</t>
        </is>
      </c>
    </row>
    <row r="144">
      <c r="A144" s="11" t="inlineStr">
        <is>
          <t>Foreign Exchange Rate Adj.</t>
        </is>
      </c>
      <c r="B144" s="13" t="n">
        <v>7989</v>
      </c>
      <c r="C144" s="13" t="n">
        <v>-12244</v>
      </c>
      <c r="D144" s="13" t="n">
        <v>30294</v>
      </c>
      <c r="E144" s="13" t="n">
        <v>-6201</v>
      </c>
      <c r="F144" s="13" t="n">
        <v>7154</v>
      </c>
      <c r="G144" s="13" t="n">
        <v>42579</v>
      </c>
    </row>
    <row r="145">
      <c r="A145" s="11" t="inlineStr">
        <is>
          <t xml:space="preserve">        Net Change in Cash</t>
        </is>
      </c>
      <c r="B145" s="13" t="n">
        <v>211967</v>
      </c>
      <c r="C145" s="13" t="n">
        <v>-62646</v>
      </c>
      <c r="D145" s="13" t="n">
        <v>56279</v>
      </c>
      <c r="E145" s="13" t="n">
        <v>-72192</v>
      </c>
      <c r="F145" s="13" t="n">
        <v>217949</v>
      </c>
      <c r="G145" s="13" t="n">
        <v>289237</v>
      </c>
    </row>
    <row r="146">
      <c r="A146" s="11" t="inlineStr">
        <is>
          <t>Supplemental Items (€000)</t>
        </is>
      </c>
    </row>
    <row r="147">
      <c r="A147" s="11" t="inlineStr">
        <is>
          <t>Cash Taxes Paid</t>
        </is>
      </c>
      <c r="B147" s="13" t="n">
        <v>6186</v>
      </c>
      <c r="C147" s="13" t="n">
        <v>8055</v>
      </c>
      <c r="D147" s="13" t="n">
        <v>151623</v>
      </c>
      <c r="E147" s="13" t="n">
        <v>90481</v>
      </c>
      <c r="F147" s="13" t="n">
        <v>118766</v>
      </c>
      <c r="G147" s="13" t="n">
        <v>97563</v>
      </c>
    </row>
    <row r="148">
      <c r="A148" s="11" t="inlineStr">
        <is>
          <t>Levered Free Cash Flow</t>
        </is>
      </c>
      <c r="B148" s="13" t="n">
        <v>283212.25</v>
      </c>
      <c r="C148" s="13" t="n">
        <v>95405.75</v>
      </c>
      <c r="D148" s="13" t="n">
        <v>104634.625</v>
      </c>
      <c r="E148" s="13" t="n">
        <v>178326.5</v>
      </c>
      <c r="F148" s="13" t="n">
        <v>336946.75</v>
      </c>
      <c r="G148" s="13" t="n">
        <v>511442.125</v>
      </c>
    </row>
    <row r="149">
      <c r="A149" s="11" t="inlineStr">
        <is>
          <t>Unlevered Free Cash Flow</t>
        </is>
      </c>
      <c r="B149" s="13" t="n">
        <v>284316</v>
      </c>
      <c r="C149" s="13" t="n">
        <v>96660.75</v>
      </c>
      <c r="D149" s="13" t="n">
        <v>105892.125</v>
      </c>
      <c r="E149" s="13" t="n">
        <v>179278.375</v>
      </c>
      <c r="F149" s="13" t="n">
        <v>339412.375</v>
      </c>
      <c r="G149" s="13" t="n">
        <v>512619.625</v>
      </c>
    </row>
    <row r="150">
      <c r="A150" s="11" t="inlineStr">
        <is>
          <t>Change in Net Working Capital</t>
        </is>
      </c>
      <c r="B150" s="13" t="n">
        <v>-66618</v>
      </c>
      <c r="C150" s="13" t="n">
        <v>47854</v>
      </c>
      <c r="D150" s="13" t="n">
        <v>146324</v>
      </c>
      <c r="E150" s="13" t="n">
        <v>151278</v>
      </c>
      <c r="F150" s="13" t="n">
        <v>-35599</v>
      </c>
      <c r="G150" s="13" t="n">
        <v>-143441</v>
      </c>
    </row>
    <row r="151">
      <c r="A151" s="11" t="inlineStr">
        <is>
          <t>Net Debt Issued</t>
        </is>
      </c>
      <c r="B151" s="13" t="n">
        <v>-12048</v>
      </c>
      <c r="C151" s="13" t="n">
        <v>-7819</v>
      </c>
      <c r="D151" s="13" t="n">
        <v>-7854</v>
      </c>
      <c r="E151" s="13" t="n">
        <v>-10289</v>
      </c>
      <c r="F151" s="13" t="n">
        <v>-12602</v>
      </c>
      <c r="G151" s="13" t="n">
        <v>-14177</v>
      </c>
    </row>
    <row r="152">
      <c r="A152" s="11" t="inlineStr">
        <is>
          <t>CIQ Restatement Type Code</t>
        </is>
      </c>
      <c r="B152" s="11" t="inlineStr">
        <is>
          <t>NC</t>
        </is>
      </c>
      <c r="C152" s="11" t="inlineStr">
        <is>
          <t>NC</t>
        </is>
      </c>
      <c r="D152" s="11" t="inlineStr">
        <is>
          <t>NC</t>
        </is>
      </c>
      <c r="E152" s="11" t="inlineStr">
        <is>
          <t>NC</t>
        </is>
      </c>
      <c r="F152" s="11" t="inlineStr">
        <is>
          <t>NC</t>
        </is>
      </c>
      <c r="G152" s="11" t="inlineStr">
        <is>
          <t>O</t>
        </is>
      </c>
    </row>
    <row r="153">
      <c r="A153" s="11" t="inlineStr">
        <is>
          <t>CIQ Calculation Type Code</t>
        </is>
      </c>
      <c r="B153" s="11" t="inlineStr">
        <is>
          <t>REP</t>
        </is>
      </c>
      <c r="C153" s="11" t="inlineStr">
        <is>
          <t>REP</t>
        </is>
      </c>
      <c r="D153" s="11" t="inlineStr">
        <is>
          <t>REP</t>
        </is>
      </c>
      <c r="E153" s="11" t="inlineStr">
        <is>
          <t>REP</t>
        </is>
      </c>
      <c r="F153" s="11" t="inlineStr">
        <is>
          <t>REP</t>
        </is>
      </c>
      <c r="G153" s="11" t="inlineStr">
        <is>
          <t>REP</t>
        </is>
      </c>
    </row>
    <row r="156">
      <c r="A156" s="11" t="inlineStr">
        <is>
          <t>Recommended: S&amp;P Capital IQ - Standard</t>
        </is>
      </c>
      <c r="B156" s="11" t="inlineStr">
        <is>
          <t>2019 FY</t>
        </is>
      </c>
      <c r="C156" s="11" t="inlineStr">
        <is>
          <t>2020 FY</t>
        </is>
      </c>
      <c r="D156" s="11" t="inlineStr">
        <is>
          <t>2021 FY</t>
        </is>
      </c>
      <c r="E156" s="11" t="inlineStr">
        <is>
          <t>2022 FY</t>
        </is>
      </c>
      <c r="F156" s="11" t="inlineStr">
        <is>
          <t>2023 FY</t>
        </is>
      </c>
      <c r="G156" s="11" t="inlineStr">
        <is>
          <t>2024 FY</t>
        </is>
      </c>
    </row>
    <row r="157">
      <c r="A157" s="11" t="inlineStr">
        <is>
          <t xml:space="preserve"> </t>
        </is>
      </c>
      <c r="B157" s="11" t="inlineStr">
        <is>
          <t>Current/Restated</t>
        </is>
      </c>
      <c r="C157" s="11" t="inlineStr">
        <is>
          <t>Current/Restated</t>
        </is>
      </c>
      <c r="D157" s="11" t="inlineStr">
        <is>
          <t>Current/Restated</t>
        </is>
      </c>
      <c r="E157" s="11" t="inlineStr">
        <is>
          <t>Current/Restated</t>
        </is>
      </c>
      <c r="F157" s="11" t="inlineStr">
        <is>
          <t>Current/Restated</t>
        </is>
      </c>
      <c r="G157" s="11" t="inlineStr">
        <is>
          <t>Current/Restated</t>
        </is>
      </c>
    </row>
    <row r="158">
      <c r="A158" s="11" t="inlineStr">
        <is>
          <t>Period Ended</t>
        </is>
      </c>
      <c r="B158" s="12" t="n">
        <v>43830</v>
      </c>
      <c r="C158" s="12" t="n">
        <v>44196</v>
      </c>
      <c r="D158" s="12" t="n">
        <v>44561</v>
      </c>
      <c r="E158" s="12" t="n">
        <v>44926</v>
      </c>
      <c r="F158" s="12" t="n">
        <v>45291</v>
      </c>
      <c r="G158" s="12" t="n">
        <v>45657</v>
      </c>
    </row>
    <row r="159">
      <c r="A159" s="11" t="inlineStr">
        <is>
          <t>Financial Filing Date</t>
        </is>
      </c>
      <c r="B159" s="12" t="n">
        <v>44260</v>
      </c>
      <c r="C159" s="12" t="n">
        <v>44623</v>
      </c>
      <c r="D159" s="12" t="n">
        <v>44987</v>
      </c>
      <c r="E159" s="12" t="n">
        <v>45352</v>
      </c>
      <c r="F159" s="12" t="n">
        <v>45722</v>
      </c>
      <c r="G159" s="12" t="n">
        <v>45722</v>
      </c>
    </row>
    <row r="160">
      <c r="A160" s="11" t="inlineStr">
        <is>
          <t>Spot Exchange Rate</t>
        </is>
      </c>
      <c r="B160" s="13" t="n">
        <v>1</v>
      </c>
      <c r="C160" s="13" t="n">
        <v>1</v>
      </c>
      <c r="D160" s="13" t="n">
        <v>1</v>
      </c>
      <c r="E160" s="13" t="n">
        <v>1</v>
      </c>
      <c r="F160" s="13" t="n">
        <v>1</v>
      </c>
      <c r="G160" s="13" t="n">
        <v>1</v>
      </c>
    </row>
    <row r="161">
      <c r="A161" s="11" t="inlineStr">
        <is>
          <t>Average Exchange Rate</t>
        </is>
      </c>
      <c r="B161" s="13" t="n">
        <v>1</v>
      </c>
      <c r="C161" s="13" t="n">
        <v>1</v>
      </c>
      <c r="D161" s="13" t="n">
        <v>1</v>
      </c>
      <c r="E161" s="13" t="n">
        <v>1</v>
      </c>
      <c r="F161" s="13" t="n">
        <v>1</v>
      </c>
      <c r="G161" s="13" t="n">
        <v>1</v>
      </c>
    </row>
    <row r="162">
      <c r="A162" s="11" t="inlineStr">
        <is>
          <t>Reported Currency Code</t>
        </is>
      </c>
      <c r="B162" s="11" t="inlineStr">
        <is>
          <t>EUR</t>
        </is>
      </c>
      <c r="C162" s="11" t="inlineStr">
        <is>
          <t>EUR</t>
        </is>
      </c>
      <c r="D162" s="11" t="inlineStr">
        <is>
          <t>EUR</t>
        </is>
      </c>
      <c r="E162" s="11" t="inlineStr">
        <is>
          <t>EUR</t>
        </is>
      </c>
      <c r="F162" s="11" t="inlineStr">
        <is>
          <t>EUR</t>
        </is>
      </c>
      <c r="G162" s="11" t="inlineStr">
        <is>
          <t>EUR</t>
        </is>
      </c>
    </row>
    <row r="163">
      <c r="A163" s="11" t="inlineStr">
        <is>
          <t xml:space="preserve"> </t>
        </is>
      </c>
    </row>
    <row r="164">
      <c r="A164" s="11" t="inlineStr">
        <is>
          <t>Assets (€000)</t>
        </is>
      </c>
    </row>
    <row r="165">
      <c r="A165" s="11" t="inlineStr">
        <is>
          <t>Cash and Equivalents</t>
        </is>
      </c>
      <c r="B165" s="13" t="n">
        <v>497874</v>
      </c>
      <c r="C165" s="13" t="n">
        <v>435228</v>
      </c>
      <c r="D165" s="13" t="n">
        <v>491507</v>
      </c>
      <c r="E165" s="13" t="n">
        <v>419315</v>
      </c>
      <c r="F165" s="13" t="n">
        <v>637264</v>
      </c>
      <c r="G165" s="13" t="n">
        <v>926501</v>
      </c>
    </row>
    <row r="166">
      <c r="A166" s="11" t="inlineStr">
        <is>
          <t xml:space="preserve">        Cash &amp; Short-term Investments</t>
        </is>
      </c>
      <c r="B166" s="13" t="n">
        <v>497874</v>
      </c>
      <c r="C166" s="13" t="n">
        <v>435228</v>
      </c>
      <c r="D166" s="13" t="n">
        <v>491507</v>
      </c>
      <c r="E166" s="13" t="n">
        <v>419315</v>
      </c>
      <c r="F166" s="13" t="n">
        <v>637264</v>
      </c>
      <c r="G166" s="13" t="n">
        <v>926501</v>
      </c>
    </row>
    <row r="167">
      <c r="A167" s="11" t="inlineStr">
        <is>
          <t>Accounts Receivable</t>
        </is>
      </c>
      <c r="B167" s="13" t="n">
        <v>237214</v>
      </c>
      <c r="C167" s="13" t="n">
        <v>313874</v>
      </c>
      <c r="D167" s="13" t="n">
        <v>468639</v>
      </c>
      <c r="E167" s="13" t="n">
        <v>644805</v>
      </c>
      <c r="F167" s="13" t="n">
        <v>547119</v>
      </c>
      <c r="G167" s="13" t="n">
        <v>846703</v>
      </c>
    </row>
    <row r="168">
      <c r="A168" s="11" t="inlineStr">
        <is>
          <t>Other Receivables</t>
        </is>
      </c>
      <c r="B168" s="13" t="n">
        <v>16287</v>
      </c>
      <c r="C168" s="13" t="n">
        <v>13371</v>
      </c>
      <c r="D168" s="13" t="n">
        <v>30728</v>
      </c>
      <c r="E168" s="13" t="n">
        <v>39426</v>
      </c>
      <c r="F168" s="13" t="n">
        <v>29957</v>
      </c>
      <c r="G168" s="13" t="n">
        <v>4836</v>
      </c>
    </row>
    <row r="169">
      <c r="A169" s="11" t="inlineStr">
        <is>
          <t xml:space="preserve">        Total Receivables</t>
        </is>
      </c>
      <c r="B169" s="13" t="n">
        <v>253501</v>
      </c>
      <c r="C169" s="13" t="n">
        <v>327245</v>
      </c>
      <c r="D169" s="13" t="n">
        <v>499367</v>
      </c>
      <c r="E169" s="13" t="n">
        <v>684231</v>
      </c>
      <c r="F169" s="13" t="n">
        <v>577076</v>
      </c>
      <c r="G169" s="13" t="n">
        <v>851539</v>
      </c>
    </row>
    <row r="170">
      <c r="A170" s="11" t="inlineStr">
        <is>
          <t>Inventory</t>
        </is>
      </c>
      <c r="B170" s="13" t="n">
        <v>173189</v>
      </c>
      <c r="C170" s="13" t="n">
        <v>162199</v>
      </c>
      <c r="D170" s="13" t="n">
        <v>211841</v>
      </c>
      <c r="E170" s="13" t="n">
        <v>538425</v>
      </c>
      <c r="F170" s="13" t="n">
        <v>525690</v>
      </c>
      <c r="G170" s="13" t="n">
        <v>567007</v>
      </c>
    </row>
    <row r="171">
      <c r="A171" s="11" t="inlineStr">
        <is>
          <t>Prepaid Exp.</t>
        </is>
      </c>
      <c r="B171" s="13" t="n">
        <v>14795</v>
      </c>
      <c r="C171" s="13" t="n">
        <v>14485</v>
      </c>
      <c r="D171" s="13" t="n">
        <v>8449</v>
      </c>
      <c r="E171" s="13" t="n">
        <v>17977</v>
      </c>
      <c r="F171" s="11" t="inlineStr">
        <is>
          <t>NA</t>
        </is>
      </c>
      <c r="G171" s="11" t="inlineStr">
        <is>
          <t>NA</t>
        </is>
      </c>
    </row>
    <row r="172">
      <c r="A172" s="11" t="inlineStr">
        <is>
          <t>Other Current Assets</t>
        </is>
      </c>
      <c r="B172" s="13" t="n">
        <v>5938</v>
      </c>
      <c r="C172" s="13" t="n">
        <v>11829</v>
      </c>
      <c r="D172" s="13" t="n">
        <v>8494</v>
      </c>
      <c r="E172" s="13" t="n">
        <v>9564</v>
      </c>
      <c r="F172" s="13" t="n">
        <v>68845</v>
      </c>
      <c r="G172" s="13" t="n">
        <v>70277</v>
      </c>
    </row>
    <row r="173">
      <c r="A173" s="11" t="inlineStr">
        <is>
          <t xml:space="preserve">        Total Current Assets</t>
        </is>
      </c>
      <c r="B173" s="13" t="n">
        <v>945297</v>
      </c>
      <c r="C173" s="13" t="n">
        <v>950986</v>
      </c>
      <c r="D173" s="13" t="n">
        <v>1219658</v>
      </c>
      <c r="E173" s="13" t="n">
        <v>1669512</v>
      </c>
      <c r="F173" s="13" t="n">
        <v>1808875</v>
      </c>
      <c r="G173" s="13" t="n">
        <v>2415324</v>
      </c>
    </row>
    <row r="174">
      <c r="A174" s="11" t="inlineStr">
        <is>
          <t>Gross Property, Plant &amp; Equipment</t>
        </is>
      </c>
      <c r="B174" s="13" t="n">
        <v>412071</v>
      </c>
      <c r="C174" s="13" t="n">
        <v>452663</v>
      </c>
      <c r="D174" s="13" t="n">
        <v>532588</v>
      </c>
      <c r="E174" s="13" t="n">
        <v>640542</v>
      </c>
      <c r="F174" s="13" t="n">
        <v>750503</v>
      </c>
      <c r="G174" s="13" t="n">
        <v>920872</v>
      </c>
    </row>
    <row r="175">
      <c r="A175" s="11" t="inlineStr">
        <is>
          <t>Accumulated Depreciation</t>
        </is>
      </c>
      <c r="B175" s="13" t="n">
        <v>-219661</v>
      </c>
      <c r="C175" s="13" t="n">
        <v>-215309</v>
      </c>
      <c r="D175" s="13" t="n">
        <v>-248633</v>
      </c>
      <c r="E175" s="13" t="n">
        <v>-296826</v>
      </c>
      <c r="F175" s="13" t="n">
        <v>-330159</v>
      </c>
      <c r="G175" s="13" t="n">
        <v>-401446</v>
      </c>
    </row>
    <row r="176">
      <c r="A176" s="11" t="inlineStr">
        <is>
          <t xml:space="preserve">        Net Property, Plant &amp; Equipment</t>
        </is>
      </c>
      <c r="B176" s="13" t="n">
        <v>192410</v>
      </c>
      <c r="C176" s="13" t="n">
        <v>237354</v>
      </c>
      <c r="D176" s="13" t="n">
        <v>283955</v>
      </c>
      <c r="E176" s="13" t="n">
        <v>343716</v>
      </c>
      <c r="F176" s="13" t="n">
        <v>420344</v>
      </c>
      <c r="G176" s="13" t="n">
        <v>519426</v>
      </c>
    </row>
    <row r="177">
      <c r="A177" s="11" t="inlineStr">
        <is>
          <t>Long-term Investments</t>
        </is>
      </c>
      <c r="B177" s="13" t="n">
        <v>778268</v>
      </c>
      <c r="C177" s="13" t="n">
        <v>742714</v>
      </c>
      <c r="D177" s="13" t="n">
        <v>848812</v>
      </c>
      <c r="E177" s="13" t="n">
        <v>692155</v>
      </c>
      <c r="F177" s="13" t="n">
        <v>873244</v>
      </c>
      <c r="G177" s="13" t="n">
        <v>923446</v>
      </c>
    </row>
    <row r="178">
      <c r="A178" s="11" t="inlineStr">
        <is>
          <t>Goodwill</t>
        </is>
      </c>
      <c r="B178" s="13" t="n">
        <v>11270</v>
      </c>
      <c r="C178" s="13" t="n">
        <v>11270</v>
      </c>
      <c r="D178" s="13" t="n">
        <v>11270</v>
      </c>
      <c r="E178" s="13" t="n">
        <v>320818</v>
      </c>
      <c r="F178" s="13" t="n">
        <v>320167</v>
      </c>
      <c r="G178" s="13" t="n">
        <v>321318</v>
      </c>
    </row>
    <row r="179">
      <c r="A179" s="11" t="inlineStr">
        <is>
          <t>Other Intangibles</t>
        </is>
      </c>
      <c r="B179" s="13" t="n">
        <v>6728</v>
      </c>
      <c r="C179" s="13" t="n">
        <v>5605</v>
      </c>
      <c r="D179" s="13" t="n">
        <v>7157</v>
      </c>
      <c r="E179" s="13" t="n">
        <v>305674</v>
      </c>
      <c r="F179" s="13" t="n">
        <v>281393</v>
      </c>
      <c r="G179" s="13" t="n">
        <v>291977</v>
      </c>
    </row>
    <row r="180">
      <c r="A180" s="11" t="inlineStr">
        <is>
          <t>Deferred Tax Assets, LT</t>
        </is>
      </c>
      <c r="B180" s="13" t="n">
        <v>3064</v>
      </c>
      <c r="C180" s="13" t="n">
        <v>196</v>
      </c>
      <c r="D180" s="13" t="n">
        <v>69</v>
      </c>
      <c r="E180" s="13" t="n">
        <v>181</v>
      </c>
      <c r="F180" s="13" t="n">
        <v>179</v>
      </c>
      <c r="G180" s="13" t="n">
        <v>34651</v>
      </c>
    </row>
    <row r="181">
      <c r="A181" s="11" t="inlineStr">
        <is>
          <t>Deferred Charges, LT</t>
        </is>
      </c>
      <c r="B181" s="13" t="n">
        <v>182496</v>
      </c>
      <c r="C181" s="13" t="n">
        <v>204319</v>
      </c>
      <c r="D181" s="13" t="n">
        <v>267676</v>
      </c>
      <c r="E181" s="13" t="n">
        <v>340430</v>
      </c>
      <c r="F181" s="13" t="n">
        <v>424231</v>
      </c>
      <c r="G181" s="13" t="n">
        <v>523613</v>
      </c>
    </row>
    <row r="182">
      <c r="A182" s="11" t="inlineStr">
        <is>
          <t>Other Long-term Assets</t>
        </is>
      </c>
      <c r="B182" s="13" t="n">
        <v>55606</v>
      </c>
      <c r="C182" s="13" t="n">
        <v>77495</v>
      </c>
      <c r="D182" s="13" t="n">
        <v>72491</v>
      </c>
      <c r="E182" s="13" t="n">
        <v>78303</v>
      </c>
      <c r="F182" s="13" t="n">
        <v>98294</v>
      </c>
      <c r="G182" s="13" t="n">
        <v>132165</v>
      </c>
    </row>
    <row r="183">
      <c r="A183" s="11" t="inlineStr">
        <is>
          <t>Total Assets</t>
        </is>
      </c>
      <c r="B183" s="13" t="n">
        <v>2175139</v>
      </c>
      <c r="C183" s="13" t="n">
        <v>2229939</v>
      </c>
      <c r="D183" s="13" t="n">
        <v>2711088</v>
      </c>
      <c r="E183" s="13" t="n">
        <v>3750789</v>
      </c>
      <c r="F183" s="13" t="n">
        <v>4226727</v>
      </c>
      <c r="G183" s="13" t="n">
        <v>5161920</v>
      </c>
    </row>
    <row r="184">
      <c r="A184" s="11" t="inlineStr">
        <is>
          <t>Liabilities (€000)</t>
        </is>
      </c>
    </row>
    <row r="185">
      <c r="A185" s="11" t="inlineStr">
        <is>
          <t>Accounts Payable</t>
        </is>
      </c>
      <c r="B185" s="13" t="n">
        <v>121887</v>
      </c>
      <c r="C185" s="13" t="n">
        <v>130517</v>
      </c>
      <c r="D185" s="13" t="n">
        <v>185063</v>
      </c>
      <c r="E185" s="13" t="n">
        <v>265365</v>
      </c>
      <c r="F185" s="13" t="n">
        <v>217682</v>
      </c>
      <c r="G185" s="13" t="n">
        <v>315076</v>
      </c>
    </row>
    <row r="186">
      <c r="A186" s="11" t="inlineStr">
        <is>
          <t>Accrued Exp.</t>
        </is>
      </c>
      <c r="B186" s="13" t="n">
        <v>46683</v>
      </c>
      <c r="C186" s="13" t="n">
        <v>51865</v>
      </c>
      <c r="D186" s="13" t="n">
        <v>73827</v>
      </c>
      <c r="E186" s="13" t="n">
        <v>100717</v>
      </c>
      <c r="F186" s="13" t="n">
        <v>132813</v>
      </c>
      <c r="G186" s="13" t="n">
        <v>164691</v>
      </c>
    </row>
    <row r="187">
      <c r="A187" s="11" t="inlineStr">
        <is>
          <t>Current Portion of Leases</t>
        </is>
      </c>
      <c r="B187" s="13" t="n">
        <v>7002</v>
      </c>
      <c r="C187" s="13" t="n">
        <v>6221</v>
      </c>
      <c r="D187" s="13" t="n">
        <v>7574</v>
      </c>
      <c r="E187" s="13" t="n">
        <v>9520</v>
      </c>
      <c r="F187" s="13" t="n">
        <v>10874</v>
      </c>
      <c r="G187" s="13" t="n">
        <v>11672</v>
      </c>
    </row>
    <row r="188">
      <c r="A188" s="11" t="inlineStr">
        <is>
          <t>Curr. Income Taxes Payable</t>
        </is>
      </c>
      <c r="B188" s="13" t="n">
        <v>34599</v>
      </c>
      <c r="C188" s="13" t="n">
        <v>67857</v>
      </c>
      <c r="D188" s="13" t="n">
        <v>14519</v>
      </c>
      <c r="E188" s="13" t="n">
        <v>43785</v>
      </c>
      <c r="F188" s="13" t="n">
        <v>21925</v>
      </c>
      <c r="G188" s="13" t="n">
        <v>66243</v>
      </c>
    </row>
    <row r="189">
      <c r="A189" s="11" t="inlineStr">
        <is>
          <t>Unearned Revenue, Current</t>
        </is>
      </c>
      <c r="B189" s="13" t="n">
        <v>32146</v>
      </c>
      <c r="C189" s="13" t="n">
        <v>46999</v>
      </c>
      <c r="D189" s="13" t="n">
        <v>68723</v>
      </c>
      <c r="E189" s="13" t="n">
        <v>295180</v>
      </c>
      <c r="F189" s="13" t="n">
        <v>300241</v>
      </c>
      <c r="G189" s="13" t="n">
        <v>485732</v>
      </c>
    </row>
    <row r="190">
      <c r="A190" s="11" t="inlineStr">
        <is>
          <t>Other Current Liabilities</t>
        </is>
      </c>
      <c r="B190" s="13" t="n">
        <v>78261</v>
      </c>
      <c r="C190" s="13" t="n">
        <v>36819</v>
      </c>
      <c r="D190" s="13" t="n">
        <v>57994</v>
      </c>
      <c r="E190" s="13" t="n">
        <v>65847</v>
      </c>
      <c r="F190" s="13" t="n">
        <v>55246</v>
      </c>
      <c r="G190" s="13" t="n">
        <v>156818</v>
      </c>
    </row>
    <row r="191">
      <c r="A191" s="11" t="inlineStr">
        <is>
          <t xml:space="preserve">        Total Current Liabilities</t>
        </is>
      </c>
      <c r="B191" s="13" t="n">
        <v>320578</v>
      </c>
      <c r="C191" s="13" t="n">
        <v>340278</v>
      </c>
      <c r="D191" s="13" t="n">
        <v>407700</v>
      </c>
      <c r="E191" s="13" t="n">
        <v>780414</v>
      </c>
      <c r="F191" s="13" t="n">
        <v>738781</v>
      </c>
      <c r="G191" s="13" t="n">
        <v>1200232</v>
      </c>
    </row>
    <row r="192">
      <c r="A192" s="11" t="inlineStr">
        <is>
          <t>Long-term Leases</t>
        </is>
      </c>
      <c r="B192" s="13" t="n">
        <v>15774</v>
      </c>
      <c r="C192" s="13" t="n">
        <v>13045</v>
      </c>
      <c r="D192" s="13" t="n">
        <v>15886</v>
      </c>
      <c r="E192" s="13" t="n">
        <v>18604</v>
      </c>
      <c r="F192" s="13" t="n">
        <v>22684</v>
      </c>
      <c r="G192" s="13" t="n">
        <v>23589</v>
      </c>
    </row>
    <row r="193">
      <c r="A193" s="11" t="inlineStr">
        <is>
          <t>Def. Tax Liability, Non-Curr.</t>
        </is>
      </c>
      <c r="B193" s="13" t="n">
        <v>20136</v>
      </c>
      <c r="C193" s="13" t="n">
        <v>21892</v>
      </c>
      <c r="D193" s="13" t="n">
        <v>45748</v>
      </c>
      <c r="E193" s="13" t="n">
        <v>123803</v>
      </c>
      <c r="F193" s="13" t="n">
        <v>150147</v>
      </c>
      <c r="G193" s="13" t="n">
        <v>190944</v>
      </c>
    </row>
    <row r="194">
      <c r="A194" s="11" t="inlineStr">
        <is>
          <t>Other Non-Current Liabilities</t>
        </is>
      </c>
      <c r="B194" s="11" t="inlineStr">
        <is>
          <t>NA</t>
        </is>
      </c>
      <c r="C194" s="11" t="inlineStr">
        <is>
          <t>NA</t>
        </is>
      </c>
      <c r="D194" s="11" t="inlineStr">
        <is>
          <t>NA</t>
        </is>
      </c>
      <c r="E194" s="13" t="n">
        <v>78649</v>
      </c>
      <c r="F194" s="13" t="n">
        <v>88304</v>
      </c>
      <c r="G194" s="11" t="inlineStr">
        <is>
          <t>NA</t>
        </is>
      </c>
    </row>
    <row r="195">
      <c r="A195" s="11" t="inlineStr">
        <is>
          <t>Total Liabilities</t>
        </is>
      </c>
      <c r="B195" s="13" t="n">
        <v>356488</v>
      </c>
      <c r="C195" s="13" t="n">
        <v>375215</v>
      </c>
      <c r="D195" s="13" t="n">
        <v>469334</v>
      </c>
      <c r="E195" s="13" t="n">
        <v>1001470</v>
      </c>
      <c r="F195" s="13" t="n">
        <v>999916</v>
      </c>
      <c r="G195" s="13" t="n">
        <v>1414765</v>
      </c>
    </row>
    <row r="196">
      <c r="A196" s="11" t="inlineStr">
        <is>
          <t>Equity (€000)</t>
        </is>
      </c>
    </row>
    <row r="197">
      <c r="A197" s="11" t="inlineStr">
        <is>
          <t>Common Stock</t>
        </is>
      </c>
      <c r="B197" s="13" t="n">
        <v>2052</v>
      </c>
      <c r="C197" s="13" t="n">
        <v>1992</v>
      </c>
      <c r="D197" s="13" t="n">
        <v>1972</v>
      </c>
      <c r="E197" s="13" t="n">
        <v>1974</v>
      </c>
      <c r="F197" s="13" t="n">
        <v>1977</v>
      </c>
      <c r="G197" s="13" t="n">
        <v>1973</v>
      </c>
    </row>
    <row r="198">
      <c r="A198" s="11" t="inlineStr">
        <is>
          <t>Additional Paid In Capital</t>
        </is>
      </c>
      <c r="B198" s="13" t="n">
        <v>43676</v>
      </c>
      <c r="C198" s="13" t="n">
        <v>34502</v>
      </c>
      <c r="D198" s="13" t="n">
        <v>25281</v>
      </c>
      <c r="E198" s="13" t="n">
        <v>47960</v>
      </c>
      <c r="F198" s="13" t="n">
        <v>71323</v>
      </c>
      <c r="G198" s="13" t="n">
        <v>9325</v>
      </c>
    </row>
    <row r="199">
      <c r="A199" s="11" t="inlineStr">
        <is>
          <t>Retained Earnings</t>
        </is>
      </c>
      <c r="B199" s="13" t="n">
        <v>1815690</v>
      </c>
      <c r="C199" s="13" t="n">
        <v>1897007</v>
      </c>
      <c r="D199" s="13" t="n">
        <v>2240426</v>
      </c>
      <c r="E199" s="13" t="n">
        <v>2507949</v>
      </c>
      <c r="F199" s="13" t="n">
        <v>3139245</v>
      </c>
      <c r="G199" s="13" t="n">
        <v>3692992</v>
      </c>
    </row>
    <row r="200">
      <c r="A200" s="11" t="inlineStr">
        <is>
          <t>Treasury Stock</t>
        </is>
      </c>
      <c r="B200" s="13" t="n">
        <v>-169707</v>
      </c>
      <c r="C200" s="13" t="n">
        <v>-104962</v>
      </c>
      <c r="D200" s="13" t="n">
        <v>-155397</v>
      </c>
      <c r="E200" s="13" t="n">
        <v>-3446</v>
      </c>
      <c r="F200" s="13" t="n">
        <v>-89569</v>
      </c>
      <c r="G200" s="13" t="n">
        <v>-130376</v>
      </c>
    </row>
    <row r="201">
      <c r="A201" s="11" t="inlineStr">
        <is>
          <t>Comprehensive Inc. and Other</t>
        </is>
      </c>
      <c r="B201" s="13" t="n">
        <v>126940</v>
      </c>
      <c r="C201" s="13" t="n">
        <v>26185</v>
      </c>
      <c r="D201" s="13" t="n">
        <v>129472</v>
      </c>
      <c r="E201" s="13" t="n">
        <v>194882</v>
      </c>
      <c r="F201" s="13" t="n">
        <v>103835</v>
      </c>
      <c r="G201" s="13" t="n">
        <v>173241</v>
      </c>
    </row>
    <row r="202">
      <c r="A202" s="11" t="inlineStr">
        <is>
          <t xml:space="preserve">        Total Common Equity</t>
        </is>
      </c>
      <c r="B202" s="13" t="n">
        <v>1818651</v>
      </c>
      <c r="C202" s="13" t="n">
        <v>1854724</v>
      </c>
      <c r="D202" s="13" t="n">
        <v>2241754</v>
      </c>
      <c r="E202" s="13" t="n">
        <v>2749319</v>
      </c>
      <c r="F202" s="13" t="n">
        <v>3226811</v>
      </c>
      <c r="G202" s="13" t="n">
        <v>3747155</v>
      </c>
    </row>
    <row r="203">
      <c r="A203" s="11" t="inlineStr">
        <is>
          <t>Total Equity</t>
        </is>
      </c>
      <c r="B203" s="13" t="n">
        <v>1818651</v>
      </c>
      <c r="C203" s="13" t="n">
        <v>1854724</v>
      </c>
      <c r="D203" s="13" t="n">
        <v>2241754</v>
      </c>
      <c r="E203" s="13" t="n">
        <v>2749319</v>
      </c>
      <c r="F203" s="13" t="n">
        <v>3226811</v>
      </c>
      <c r="G203" s="13" t="n">
        <v>3747155</v>
      </c>
    </row>
    <row r="204">
      <c r="A204" s="11" t="inlineStr">
        <is>
          <t>Total Liabilities And Equity</t>
        </is>
      </c>
      <c r="B204" s="13" t="n">
        <v>2175139</v>
      </c>
      <c r="C204" s="13" t="n">
        <v>2229939</v>
      </c>
      <c r="D204" s="13" t="n">
        <v>2711088</v>
      </c>
      <c r="E204" s="13" t="n">
        <v>3750789</v>
      </c>
      <c r="F204" s="13" t="n">
        <v>4226727</v>
      </c>
      <c r="G204" s="13" t="n">
        <v>5161920</v>
      </c>
    </row>
    <row r="205">
      <c r="A205" s="11" t="inlineStr">
        <is>
          <t>Supplemental Items (€)</t>
        </is>
      </c>
    </row>
    <row r="206">
      <c r="A206" s="11" t="inlineStr">
        <is>
          <t>ECS Total Shares Outstanding on Filing Date (actual)</t>
        </is>
      </c>
      <c r="B206" s="13" t="n">
        <v>48843631</v>
      </c>
      <c r="C206" s="13" t="n">
        <v>48630793</v>
      </c>
      <c r="D206" s="13" t="n">
        <v>48568677</v>
      </c>
      <c r="E206" s="13" t="n">
        <v>49326319</v>
      </c>
      <c r="F206" s="13" t="n">
        <v>49201746</v>
      </c>
      <c r="G206" s="13" t="n">
        <v>49097817</v>
      </c>
    </row>
    <row r="207">
      <c r="A207" s="11" t="inlineStr">
        <is>
          <t>ECS Total Common Shares Outstanding (actual)</t>
        </is>
      </c>
      <c r="B207" s="13" t="n">
        <v>48866220</v>
      </c>
      <c r="C207" s="13" t="n">
        <v>48714682</v>
      </c>
      <c r="D207" s="13" t="n">
        <v>48568677</v>
      </c>
      <c r="E207" s="13" t="n">
        <v>49326319</v>
      </c>
      <c r="F207" s="13" t="n">
        <v>49201746</v>
      </c>
      <c r="G207" s="13" t="n">
        <v>49097817</v>
      </c>
    </row>
    <row r="208">
      <c r="A208" s="11" t="inlineStr">
        <is>
          <t>Book Value per Share</t>
        </is>
      </c>
      <c r="B208" s="13" t="n">
        <v>37.217</v>
      </c>
      <c r="C208" s="13" t="n">
        <v>38.073</v>
      </c>
      <c r="D208" s="13" t="n">
        <v>46.156</v>
      </c>
      <c r="E208" s="13" t="n">
        <v>55.737</v>
      </c>
      <c r="F208" s="13" t="n">
        <v>65.583</v>
      </c>
      <c r="G208" s="13" t="n">
        <v>76.31999999999999</v>
      </c>
    </row>
    <row r="209">
      <c r="A209" s="11" t="inlineStr">
        <is>
          <t>Tangible Book Value</t>
        </is>
      </c>
      <c r="B209" s="13" t="n">
        <v>1800653</v>
      </c>
      <c r="C209" s="13" t="n">
        <v>1837849</v>
      </c>
      <c r="D209" s="13" t="n">
        <v>2223327</v>
      </c>
      <c r="E209" s="13" t="n">
        <v>2122827</v>
      </c>
      <c r="F209" s="13" t="n">
        <v>2625251</v>
      </c>
      <c r="G209" s="13" t="n">
        <v>3133860</v>
      </c>
    </row>
    <row r="210">
      <c r="A210" s="11" t="inlineStr">
        <is>
          <t>Tangible Book Value per Share</t>
        </is>
      </c>
      <c r="B210" s="13" t="n">
        <v>36.849</v>
      </c>
      <c r="C210" s="13" t="n">
        <v>37.727</v>
      </c>
      <c r="D210" s="13" t="n">
        <v>45.777</v>
      </c>
      <c r="E210" s="13" t="n">
        <v>43.036</v>
      </c>
      <c r="F210" s="13" t="n">
        <v>53.357</v>
      </c>
      <c r="G210" s="13" t="n">
        <v>63.829</v>
      </c>
    </row>
    <row r="211">
      <c r="A211" s="11" t="inlineStr">
        <is>
          <t>Total Debt</t>
        </is>
      </c>
      <c r="B211" s="13" t="n">
        <v>22776</v>
      </c>
      <c r="C211" s="13" t="n">
        <v>19266</v>
      </c>
      <c r="D211" s="13" t="n">
        <v>23460</v>
      </c>
      <c r="E211" s="13" t="n">
        <v>28124</v>
      </c>
      <c r="F211" s="13" t="n">
        <v>33558</v>
      </c>
      <c r="G211" s="13" t="n">
        <v>35261</v>
      </c>
    </row>
    <row r="212">
      <c r="A212" s="11" t="inlineStr">
        <is>
          <t>Net Debt</t>
        </is>
      </c>
      <c r="B212" s="13" t="n">
        <v>-475098</v>
      </c>
      <c r="C212" s="13" t="n">
        <v>-415962</v>
      </c>
      <c r="D212" s="13" t="n">
        <v>-468047</v>
      </c>
      <c r="E212" s="13" t="n">
        <v>-391191</v>
      </c>
      <c r="F212" s="13" t="n">
        <v>-603706</v>
      </c>
      <c r="G212" s="13" t="n">
        <v>-891240</v>
      </c>
    </row>
    <row r="213">
      <c r="A213" s="11" t="inlineStr">
        <is>
          <t>Debt Equiv. of Unfunded Proj. Benefit Obligation</t>
        </is>
      </c>
      <c r="B213" s="13" t="n">
        <v>-579</v>
      </c>
      <c r="C213" s="13" t="n">
        <v>-1431</v>
      </c>
      <c r="D213" s="13" t="n">
        <v>-1982</v>
      </c>
      <c r="E213" s="13" t="n">
        <v>-2556</v>
      </c>
      <c r="F213" s="13" t="n">
        <v>-2919</v>
      </c>
      <c r="G213" s="13" t="n">
        <v>-3816</v>
      </c>
    </row>
    <row r="214">
      <c r="A214" s="11" t="inlineStr">
        <is>
          <t>Debt Equivalent Oper. Leases</t>
        </is>
      </c>
      <c r="B214" s="13" t="n">
        <v>2760</v>
      </c>
      <c r="C214" s="13" t="n">
        <v>2160</v>
      </c>
      <c r="D214" s="13" t="n">
        <v>512</v>
      </c>
      <c r="E214" s="13" t="n">
        <v>2008</v>
      </c>
      <c r="F214" s="13" t="n">
        <v>4000</v>
      </c>
      <c r="G214" s="13" t="n">
        <v>5072</v>
      </c>
    </row>
    <row r="215">
      <c r="A215" s="11" t="inlineStr">
        <is>
          <t>Equity Method Investments</t>
        </is>
      </c>
      <c r="B215" s="13" t="n">
        <v>778268</v>
      </c>
      <c r="C215" s="13" t="n">
        <v>742714</v>
      </c>
      <c r="D215" s="13" t="n">
        <v>848812</v>
      </c>
      <c r="E215" s="13" t="n">
        <v>686341</v>
      </c>
      <c r="F215" s="13" t="n">
        <v>861937</v>
      </c>
      <c r="G215" s="13" t="n">
        <v>903625</v>
      </c>
    </row>
    <row r="216">
      <c r="A216" s="11" t="inlineStr">
        <is>
          <t>Raw Materials Inventory</t>
        </is>
      </c>
      <c r="B216" s="13" t="n">
        <v>111609</v>
      </c>
      <c r="C216" s="13" t="n">
        <v>118849</v>
      </c>
      <c r="D216" s="13" t="n">
        <v>175317</v>
      </c>
      <c r="E216" s="13" t="n">
        <v>356353</v>
      </c>
      <c r="F216" s="13" t="n">
        <v>409478</v>
      </c>
      <c r="G216" s="13" t="n">
        <v>425996</v>
      </c>
    </row>
    <row r="217">
      <c r="A217" s="11" t="inlineStr">
        <is>
          <t>Work in Progress Inventory</t>
        </is>
      </c>
      <c r="B217" s="13" t="n">
        <v>53673</v>
      </c>
      <c r="C217" s="13" t="n">
        <v>39925</v>
      </c>
      <c r="D217" s="13" t="n">
        <v>31631</v>
      </c>
      <c r="E217" s="13" t="n">
        <v>113631</v>
      </c>
      <c r="F217" s="13" t="n">
        <v>91633</v>
      </c>
      <c r="G217" s="13" t="n">
        <v>131340</v>
      </c>
    </row>
    <row r="218">
      <c r="A218" s="11" t="inlineStr">
        <is>
          <t>Finished Goods Inventory</t>
        </is>
      </c>
      <c r="B218" s="13" t="n">
        <v>20434</v>
      </c>
      <c r="C218" s="13" t="n">
        <v>17902</v>
      </c>
      <c r="D218" s="13" t="n">
        <v>18497</v>
      </c>
      <c r="E218" s="13" t="n">
        <v>84827</v>
      </c>
      <c r="F218" s="13" t="n">
        <v>65363</v>
      </c>
      <c r="G218" s="13" t="n">
        <v>96773</v>
      </c>
    </row>
    <row r="219">
      <c r="A219" s="11" t="inlineStr">
        <is>
          <t>Land</t>
        </is>
      </c>
      <c r="B219" s="11" t="inlineStr">
        <is>
          <t>NA</t>
        </is>
      </c>
      <c r="C219" s="13" t="n">
        <v>134678</v>
      </c>
      <c r="D219" s="13" t="n">
        <v>136833</v>
      </c>
      <c r="E219" s="13" t="n">
        <v>171450</v>
      </c>
      <c r="F219" s="13" t="n">
        <v>190306</v>
      </c>
      <c r="G219" s="13" t="n">
        <v>199981</v>
      </c>
    </row>
    <row r="220">
      <c r="A220" s="11" t="inlineStr">
        <is>
          <t>Buildings</t>
        </is>
      </c>
      <c r="B220" s="13" t="n">
        <v>87349</v>
      </c>
      <c r="C220" s="11" t="inlineStr">
        <is>
          <t>NA</t>
        </is>
      </c>
      <c r="D220" s="11" t="inlineStr">
        <is>
          <t>NA</t>
        </is>
      </c>
      <c r="E220" s="11" t="inlineStr">
        <is>
          <t>NA</t>
        </is>
      </c>
      <c r="F220" s="11" t="inlineStr">
        <is>
          <t>NA</t>
        </is>
      </c>
      <c r="G220" s="11" t="inlineStr">
        <is>
          <t>NA</t>
        </is>
      </c>
    </row>
    <row r="221">
      <c r="A221" s="11" t="inlineStr">
        <is>
          <t>Machinery</t>
        </is>
      </c>
      <c r="B221" s="13" t="n">
        <v>265801</v>
      </c>
      <c r="C221" s="13" t="n">
        <v>268726</v>
      </c>
      <c r="D221" s="13" t="n">
        <v>329247</v>
      </c>
      <c r="E221" s="13" t="n">
        <v>394333</v>
      </c>
      <c r="F221" s="13" t="n">
        <v>474842</v>
      </c>
      <c r="G221" s="13" t="n">
        <v>537771</v>
      </c>
    </row>
    <row r="222">
      <c r="A222" s="11" t="inlineStr">
        <is>
          <t>Construction in Progress</t>
        </is>
      </c>
      <c r="B222" s="13" t="n">
        <v>31374</v>
      </c>
      <c r="C222" s="13" t="n">
        <v>25872</v>
      </c>
      <c r="D222" s="13" t="n">
        <v>39570</v>
      </c>
      <c r="E222" s="13" t="n">
        <v>43096</v>
      </c>
      <c r="F222" s="13" t="n">
        <v>49960</v>
      </c>
      <c r="G222" s="13" t="n">
        <v>146595</v>
      </c>
    </row>
    <row r="223">
      <c r="A223" s="11" t="inlineStr">
        <is>
          <t>Full Time Employees (actual)</t>
        </is>
      </c>
      <c r="B223" s="13" t="n">
        <v>2337</v>
      </c>
      <c r="C223" s="13" t="n">
        <v>2583</v>
      </c>
      <c r="D223" s="13" t="n">
        <v>3312</v>
      </c>
      <c r="E223" s="13" t="n">
        <v>4258</v>
      </c>
      <c r="F223" s="13" t="n">
        <v>4542</v>
      </c>
      <c r="G223" s="13" t="n">
        <v>4558</v>
      </c>
    </row>
    <row r="224">
      <c r="A224" s="11" t="inlineStr">
        <is>
          <t>Accumulated Allowance for Doubtful Accounts</t>
        </is>
      </c>
      <c r="B224" s="13" t="n">
        <v>278</v>
      </c>
      <c r="C224" s="13" t="n">
        <v>361</v>
      </c>
      <c r="D224" s="13" t="n">
        <v>444</v>
      </c>
      <c r="E224" s="13" t="n">
        <v>642</v>
      </c>
      <c r="F224" s="13" t="n">
        <v>1454</v>
      </c>
      <c r="G224" s="13" t="n">
        <v>957</v>
      </c>
    </row>
    <row r="225">
      <c r="A225" s="11" t="inlineStr">
        <is>
          <t>Order Backlog</t>
        </is>
      </c>
      <c r="B225" s="13" t="n">
        <v>351200</v>
      </c>
      <c r="C225" s="13" t="n">
        <v>323600</v>
      </c>
      <c r="D225" s="13" t="n">
        <v>811300</v>
      </c>
      <c r="E225" s="13" t="n">
        <v>1669200</v>
      </c>
      <c r="F225" s="13" t="n">
        <v>1433500</v>
      </c>
      <c r="G225" s="13" t="n">
        <v>1565700</v>
      </c>
    </row>
    <row r="226">
      <c r="A226" s="11" t="inlineStr">
        <is>
          <t>CIQ Restatement Type Code</t>
        </is>
      </c>
      <c r="B226" s="11" t="inlineStr">
        <is>
          <t>NC</t>
        </is>
      </c>
      <c r="C226" s="11" t="inlineStr">
        <is>
          <t>NC</t>
        </is>
      </c>
      <c r="D226" s="11" t="inlineStr">
        <is>
          <t>NC</t>
        </is>
      </c>
      <c r="E226" s="11" t="inlineStr">
        <is>
          <t>RC</t>
        </is>
      </c>
      <c r="F226" s="11" t="inlineStr">
        <is>
          <t>NC</t>
        </is>
      </c>
      <c r="G226" s="11" t="inlineStr">
        <is>
          <t>O</t>
        </is>
      </c>
    </row>
    <row r="227">
      <c r="A227" s="11" t="inlineStr">
        <is>
          <t>CIQ Calculation Type Code</t>
        </is>
      </c>
      <c r="B227" s="11" t="inlineStr">
        <is>
          <t>REP</t>
        </is>
      </c>
      <c r="C227" s="11" t="inlineStr">
        <is>
          <t>REP</t>
        </is>
      </c>
      <c r="D227" s="11" t="inlineStr">
        <is>
          <t>REP</t>
        </is>
      </c>
      <c r="E227" s="11" t="inlineStr">
        <is>
          <t>REP</t>
        </is>
      </c>
      <c r="F227" s="11" t="inlineStr">
        <is>
          <t>REP</t>
        </is>
      </c>
      <c r="G227" s="11" t="inlineStr">
        <is>
          <t>REP</t>
        </is>
      </c>
    </row>
    <row r="228">
      <c r="A228" s="11" t="inlineStr">
        <is>
          <t>Loss Carry Forward Related Items (€000)</t>
        </is>
      </c>
    </row>
    <row r="229">
      <c r="A229" s="11" t="inlineStr">
        <is>
          <t>Tax Benefit Carryforward, After Five Years</t>
        </is>
      </c>
      <c r="B229" s="13" t="n">
        <v>15221</v>
      </c>
      <c r="C229" s="13" t="n">
        <v>13644</v>
      </c>
      <c r="D229" s="13" t="n">
        <v>18442</v>
      </c>
      <c r="E229" s="13" t="n">
        <v>21622199</v>
      </c>
      <c r="F229" s="13" t="n">
        <v>30381971</v>
      </c>
      <c r="G229" s="13" t="n">
        <v>31571</v>
      </c>
    </row>
    <row r="230">
      <c r="A230" s="11" t="inlineStr">
        <is>
          <t>Total Tax Benefit Carryforward</t>
        </is>
      </c>
      <c r="B230" s="13" t="n">
        <v>15221</v>
      </c>
      <c r="C230" s="13" t="n">
        <v>13644</v>
      </c>
      <c r="D230" s="13" t="n">
        <v>18442</v>
      </c>
      <c r="E230" s="13" t="n">
        <v>21622199</v>
      </c>
      <c r="F230" s="13" t="n">
        <v>30381971</v>
      </c>
      <c r="G230" s="13" t="n">
        <v>31571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A2" s="11" t="inlineStr">
        <is>
          <t>ASM International NV | Income Statement (As Reported)</t>
        </is>
      </c>
    </row>
    <row r="3">
      <c r="A3" s="11" t="inlineStr">
        <is>
          <t>ENXTAM: ASM (MI KEY: 4231951; SPCIQ KEY: 322899)</t>
        </is>
      </c>
    </row>
    <row r="5">
      <c r="A5" s="11" t="inlineStr">
        <is>
          <t>Source: Recommended</t>
        </is>
      </c>
    </row>
    <row r="6">
      <c r="A6" s="11" t="inlineStr">
        <is>
          <t>Period Category: Fiscal</t>
        </is>
      </c>
    </row>
    <row r="7">
      <c r="A7" s="11" t="inlineStr">
        <is>
          <t>Period Type: Years</t>
        </is>
      </c>
    </row>
    <row r="8">
      <c r="A8" s="11" t="inlineStr">
        <is>
          <t>Sort Order: Latest on Right</t>
        </is>
      </c>
    </row>
    <row r="9">
      <c r="A9" s="11" t="inlineStr">
        <is>
          <t>Currency: Euro</t>
        </is>
      </c>
    </row>
    <row r="12">
      <c r="A12" s="11" t="inlineStr">
        <is>
          <t>Recommended: S&amp;P Capital IQ - Standard</t>
        </is>
      </c>
      <c r="B12" s="11" t="inlineStr">
        <is>
          <t>2019 FY</t>
        </is>
      </c>
      <c r="C12" s="11" t="inlineStr">
        <is>
          <t>2020 FY</t>
        </is>
      </c>
      <c r="D12" s="11" t="inlineStr">
        <is>
          <t>2021 FY</t>
        </is>
      </c>
      <c r="E12" s="11" t="inlineStr">
        <is>
          <t>2022 FY</t>
        </is>
      </c>
      <c r="F12" s="11" t="inlineStr">
        <is>
          <t>2023 FY</t>
        </is>
      </c>
      <c r="G12" s="11" t="inlineStr">
        <is>
          <t>2024 FY</t>
        </is>
      </c>
    </row>
    <row r="13">
      <c r="A13" s="11" t="inlineStr">
        <is>
          <t>Period Ended</t>
        </is>
      </c>
      <c r="B13" s="12" t="n">
        <v>43830</v>
      </c>
      <c r="C13" s="12" t="n">
        <v>44196</v>
      </c>
      <c r="D13" s="12" t="n">
        <v>44561</v>
      </c>
      <c r="E13" s="12" t="n">
        <v>44926</v>
      </c>
      <c r="F13" s="12" t="n">
        <v>45291</v>
      </c>
      <c r="G13" s="12" t="n">
        <v>45657</v>
      </c>
    </row>
    <row r="14">
      <c r="A14" s="11" t="inlineStr">
        <is>
          <t>Currency</t>
        </is>
      </c>
      <c r="B14" s="11" t="inlineStr">
        <is>
          <t>EUR</t>
        </is>
      </c>
      <c r="C14" s="11" t="inlineStr">
        <is>
          <t>EUR</t>
        </is>
      </c>
      <c r="D14" s="11" t="inlineStr">
        <is>
          <t>EUR</t>
        </is>
      </c>
      <c r="E14" s="11" t="inlineStr">
        <is>
          <t>EUR</t>
        </is>
      </c>
      <c r="F14" s="11" t="inlineStr">
        <is>
          <t>EUR</t>
        </is>
      </c>
      <c r="G14" s="11" t="inlineStr">
        <is>
          <t>EUR</t>
        </is>
      </c>
    </row>
    <row r="15">
      <c r="A15" s="11" t="inlineStr">
        <is>
          <t>Units</t>
        </is>
      </c>
      <c r="B15" s="11" t="inlineStr">
        <is>
          <t>Thousands</t>
        </is>
      </c>
      <c r="C15" s="11" t="inlineStr">
        <is>
          <t>Thousands</t>
        </is>
      </c>
      <c r="D15" s="11" t="inlineStr">
        <is>
          <t>Thousands</t>
        </is>
      </c>
      <c r="E15" s="11" t="inlineStr">
        <is>
          <t>Thousands</t>
        </is>
      </c>
      <c r="F15" s="11" t="inlineStr">
        <is>
          <t>Thousands</t>
        </is>
      </c>
      <c r="G15" s="11" t="inlineStr">
        <is>
          <t>Thousands</t>
        </is>
      </c>
    </row>
    <row r="16">
      <c r="A16" s="11" t="inlineStr">
        <is>
          <t>Revenues</t>
        </is>
      </c>
    </row>
    <row r="17">
      <c r="A17" s="11" t="inlineStr">
        <is>
          <t>Revenues</t>
        </is>
      </c>
      <c r="B17" s="13" t="n">
        <v>1283860</v>
      </c>
      <c r="C17" s="13" t="n">
        <v>1328122</v>
      </c>
      <c r="D17" s="13" t="n">
        <v>1729911</v>
      </c>
      <c r="E17" s="13" t="n">
        <v>2410927</v>
      </c>
      <c r="F17" s="13" t="n">
        <v>2634331</v>
      </c>
      <c r="G17" s="13" t="n">
        <v>2932724</v>
      </c>
    </row>
    <row r="18">
      <c r="A18" s="11" t="inlineStr">
        <is>
          <t>Expenses</t>
        </is>
      </c>
    </row>
    <row r="19">
      <c r="A19" s="11" t="inlineStr">
        <is>
          <t>Cost of Sales</t>
        </is>
      </c>
      <c r="B19" s="13" t="n">
        <v>-645396</v>
      </c>
      <c r="C19" s="13" t="n">
        <v>-704553</v>
      </c>
      <c r="D19" s="13" t="n">
        <v>-901780</v>
      </c>
      <c r="E19" s="13" t="n">
        <v>-1268046</v>
      </c>
      <c r="F19" s="13" t="n">
        <v>-1362635</v>
      </c>
      <c r="G19" s="13" t="n">
        <v>-1451351</v>
      </c>
    </row>
    <row r="20">
      <c r="A20" s="11" t="inlineStr">
        <is>
          <t>Selling, General and Administrative</t>
        </is>
      </c>
      <c r="B20" s="13" t="n">
        <v>-148929</v>
      </c>
      <c r="C20" s="13" t="n">
        <v>-157424</v>
      </c>
      <c r="D20" s="13" t="n">
        <v>-189547</v>
      </c>
      <c r="E20" s="13" t="n">
        <v>-276620</v>
      </c>
      <c r="F20" s="13" t="n">
        <v>-308727</v>
      </c>
      <c r="G20" s="13" t="n">
        <v>-316811</v>
      </c>
    </row>
    <row r="21">
      <c r="A21" s="11" t="inlineStr">
        <is>
          <t>Research and Development</t>
        </is>
      </c>
      <c r="B21" s="13" t="n">
        <v>-110846</v>
      </c>
      <c r="C21" s="13" t="n">
        <v>-139002</v>
      </c>
      <c r="D21" s="13" t="n">
        <v>-151197</v>
      </c>
      <c r="E21" s="13" t="n">
        <v>-233866</v>
      </c>
      <c r="F21" s="13" t="n">
        <v>-309297</v>
      </c>
      <c r="G21" s="13" t="n">
        <v>-369818</v>
      </c>
    </row>
    <row r="22">
      <c r="A22" s="11" t="inlineStr">
        <is>
          <t>Other Income</t>
        </is>
      </c>
      <c r="B22" s="11" t="inlineStr">
        <is>
          <t>NA</t>
        </is>
      </c>
      <c r="C22" s="11" t="inlineStr">
        <is>
          <t>NA</t>
        </is>
      </c>
      <c r="D22" s="13" t="n">
        <v>4071</v>
      </c>
      <c r="E22" s="13" t="n">
        <v>40</v>
      </c>
      <c r="F22" s="13" t="n">
        <v>69</v>
      </c>
      <c r="G22" s="13" t="n">
        <v>7391</v>
      </c>
    </row>
    <row r="23">
      <c r="A23" s="11" t="inlineStr">
        <is>
          <t>Gain/loss from Sale of Investments</t>
        </is>
      </c>
      <c r="B23" s="11" t="inlineStr">
        <is>
          <t>NA</t>
        </is>
      </c>
      <c r="C23" s="11" t="inlineStr">
        <is>
          <t>NA</t>
        </is>
      </c>
      <c r="D23" s="11" t="inlineStr">
        <is>
          <t>NA</t>
        </is>
      </c>
      <c r="E23" s="13" t="n">
        <v>-215389</v>
      </c>
      <c r="F23" s="13" t="n">
        <v>215389</v>
      </c>
      <c r="G23" s="11" t="inlineStr">
        <is>
          <t>NA</t>
        </is>
      </c>
    </row>
    <row r="24">
      <c r="A24" s="11" t="inlineStr">
        <is>
          <t>Currency Translation Gain(Loss)</t>
        </is>
      </c>
      <c r="B24" s="13" t="n">
        <v>-146</v>
      </c>
      <c r="C24" s="13" t="n">
        <v>-23157</v>
      </c>
      <c r="D24" s="13" t="n">
        <v>33473</v>
      </c>
      <c r="E24" s="13" t="n">
        <v>25011</v>
      </c>
      <c r="F24" s="13" t="n">
        <v>-21375</v>
      </c>
      <c r="G24" s="13" t="n">
        <v>45048</v>
      </c>
    </row>
    <row r="25">
      <c r="A25" s="11" t="inlineStr">
        <is>
          <t>Finance Income</t>
        </is>
      </c>
      <c r="B25" s="13" t="n">
        <v>1639</v>
      </c>
      <c r="C25" s="13" t="n">
        <v>141</v>
      </c>
      <c r="D25" s="13" t="n">
        <v>23</v>
      </c>
      <c r="E25" s="13" t="n">
        <v>2246</v>
      </c>
      <c r="F25" s="13" t="n">
        <v>14826</v>
      </c>
      <c r="G25" s="13" t="n">
        <v>21658</v>
      </c>
    </row>
    <row r="26">
      <c r="A26" s="11" t="inlineStr">
        <is>
          <t>Finance Expenses</t>
        </is>
      </c>
      <c r="B26" s="13" t="n">
        <v>-1766</v>
      </c>
      <c r="C26" s="13" t="n">
        <v>-2008</v>
      </c>
      <c r="D26" s="13" t="n">
        <v>-2012</v>
      </c>
      <c r="E26" s="13" t="n">
        <v>-4098</v>
      </c>
      <c r="F26" s="13" t="n">
        <v>-13600</v>
      </c>
      <c r="G26" s="13" t="n">
        <v>-10582</v>
      </c>
    </row>
    <row r="27">
      <c r="A27" s="11" t="inlineStr">
        <is>
          <t>Share in Income of Investments and Associates</t>
        </is>
      </c>
      <c r="B27" s="13" t="n">
        <v>4247</v>
      </c>
      <c r="C27" s="13" t="n">
        <v>31950</v>
      </c>
      <c r="D27" s="13" t="n">
        <v>74382</v>
      </c>
      <c r="E27" s="13" t="n">
        <v>64771</v>
      </c>
      <c r="F27" s="13" t="n">
        <v>17540</v>
      </c>
      <c r="G27" s="13" t="n">
        <v>9643</v>
      </c>
    </row>
    <row r="28">
      <c r="A28" s="11" t="inlineStr">
        <is>
          <t>Earnings before Taxes</t>
        </is>
      </c>
      <c r="B28" s="13" t="n">
        <v>382663</v>
      </c>
      <c r="C28" s="13" t="n">
        <v>334069</v>
      </c>
      <c r="D28" s="13" t="n">
        <v>597324</v>
      </c>
      <c r="E28" s="13" t="n">
        <v>504976</v>
      </c>
      <c r="F28" s="13" t="n">
        <v>866521</v>
      </c>
      <c r="G28" s="13" t="n">
        <v>867902</v>
      </c>
    </row>
    <row r="29">
      <c r="A29" s="11" t="inlineStr">
        <is>
          <t>Taxes and Other Expenses</t>
        </is>
      </c>
    </row>
    <row r="30">
      <c r="A30" s="11" t="inlineStr">
        <is>
          <t>Provision for Income Tax</t>
        </is>
      </c>
      <c r="B30" s="13" t="n">
        <v>-53650</v>
      </c>
      <c r="C30" s="13" t="n">
        <v>-48673</v>
      </c>
      <c r="D30" s="13" t="n">
        <v>-102615</v>
      </c>
      <c r="E30" s="13" t="n">
        <v>-115863</v>
      </c>
      <c r="F30" s="13" t="n">
        <v>-114448</v>
      </c>
      <c r="G30" s="13" t="n">
        <v>-182168</v>
      </c>
    </row>
    <row r="31">
      <c r="A31" s="11" t="inlineStr">
        <is>
          <t>Net Income (Loss)</t>
        </is>
      </c>
      <c r="B31" s="13" t="n">
        <v>329013</v>
      </c>
      <c r="C31" s="13" t="n">
        <v>285396</v>
      </c>
      <c r="D31" s="13" t="n">
        <v>494709</v>
      </c>
      <c r="E31" s="13" t="n">
        <v>389113</v>
      </c>
      <c r="F31" s="13" t="n">
        <v>752073</v>
      </c>
      <c r="G31" s="13" t="n">
        <v>685734</v>
      </c>
    </row>
    <row r="32">
      <c r="A32" s="11" t="inlineStr">
        <is>
          <t>Supplementary Info</t>
        </is>
      </c>
    </row>
    <row r="33">
      <c r="A33" s="11" t="inlineStr">
        <is>
          <t>Gross Profit/loss</t>
        </is>
      </c>
      <c r="B33" s="13" t="n">
        <v>638464</v>
      </c>
      <c r="C33" s="13" t="n">
        <v>623569</v>
      </c>
      <c r="D33" s="13" t="n">
        <v>828131</v>
      </c>
      <c r="E33" s="13" t="n">
        <v>1142881</v>
      </c>
      <c r="F33" s="13" t="n">
        <v>1271696</v>
      </c>
      <c r="G33" s="13" t="n">
        <v>1481373</v>
      </c>
    </row>
    <row r="34">
      <c r="A34" s="11" t="inlineStr">
        <is>
          <t>Operating Income (Loss)</t>
        </is>
      </c>
      <c r="B34" s="13" t="n">
        <v>378689</v>
      </c>
      <c r="C34" s="13" t="n">
        <v>327143</v>
      </c>
      <c r="D34" s="13" t="n">
        <v>491458</v>
      </c>
      <c r="E34" s="13" t="n">
        <v>632435</v>
      </c>
      <c r="F34" s="13" t="n">
        <v>653741</v>
      </c>
      <c r="G34" s="13" t="n">
        <v>802135</v>
      </c>
    </row>
    <row r="35">
      <c r="A35" s="11" t="inlineStr">
        <is>
          <t>Basic EPS - Continuing Operations</t>
        </is>
      </c>
      <c r="B35" s="13" t="n">
        <v>6.66</v>
      </c>
      <c r="C35" s="13" t="n">
        <v>5.84</v>
      </c>
      <c r="D35" s="13" t="n">
        <v>10.17</v>
      </c>
      <c r="E35" s="13" t="n">
        <v>7.97</v>
      </c>
      <c r="F35" s="13" t="n">
        <v>15.26</v>
      </c>
      <c r="G35" s="13" t="n">
        <v>13.95</v>
      </c>
    </row>
    <row r="36">
      <c r="A36" s="11" t="inlineStr">
        <is>
          <t>Diluted EPS - Continuing Operations</t>
        </is>
      </c>
      <c r="B36" s="13" t="n">
        <v>6.58</v>
      </c>
      <c r="C36" s="13" t="n">
        <v>5.78</v>
      </c>
      <c r="D36" s="13" t="n">
        <v>10.11</v>
      </c>
      <c r="E36" s="13" t="n">
        <v>7.93</v>
      </c>
      <c r="F36" s="13" t="n">
        <v>15.18</v>
      </c>
      <c r="G36" s="13" t="n">
        <v>13.89</v>
      </c>
    </row>
    <row r="39">
      <c r="A39" s="11" t="inlineStr">
        <is>
          <t>Recommended: S&amp;P Capital IQ - Standard</t>
        </is>
      </c>
      <c r="B39" s="11" t="inlineStr">
        <is>
          <t>2019 FY</t>
        </is>
      </c>
      <c r="C39" s="11" t="inlineStr">
        <is>
          <t>2020 FY</t>
        </is>
      </c>
      <c r="D39" s="11" t="inlineStr">
        <is>
          <t>2021 FY</t>
        </is>
      </c>
      <c r="E39" s="11" t="inlineStr">
        <is>
          <t>2022 FY</t>
        </is>
      </c>
      <c r="F39" s="11" t="inlineStr">
        <is>
          <t>2023 FY</t>
        </is>
      </c>
      <c r="G39" s="11" t="inlineStr">
        <is>
          <t>2024 FY</t>
        </is>
      </c>
    </row>
    <row r="40">
      <c r="A40" s="11" t="inlineStr">
        <is>
          <t>Period Ended</t>
        </is>
      </c>
      <c r="B40" s="12" t="n">
        <v>43830</v>
      </c>
      <c r="C40" s="12" t="n">
        <v>44196</v>
      </c>
      <c r="D40" s="12" t="n">
        <v>44561</v>
      </c>
      <c r="E40" s="12" t="n">
        <v>44926</v>
      </c>
      <c r="F40" s="12" t="n">
        <v>45291</v>
      </c>
      <c r="G40" s="12" t="n">
        <v>45657</v>
      </c>
    </row>
    <row r="41">
      <c r="A41" s="11" t="inlineStr">
        <is>
          <t>Currency</t>
        </is>
      </c>
      <c r="B41" s="11" t="inlineStr">
        <is>
          <t>EUR</t>
        </is>
      </c>
      <c r="C41" s="11" t="inlineStr">
        <is>
          <t>EUR</t>
        </is>
      </c>
      <c r="D41" s="11" t="inlineStr">
        <is>
          <t>EUR</t>
        </is>
      </c>
      <c r="E41" s="11" t="inlineStr">
        <is>
          <t>EUR</t>
        </is>
      </c>
      <c r="F41" s="11" t="inlineStr">
        <is>
          <t>EUR</t>
        </is>
      </c>
      <c r="G41" s="11" t="inlineStr">
        <is>
          <t>EUR</t>
        </is>
      </c>
    </row>
    <row r="42">
      <c r="A42" s="11" t="inlineStr">
        <is>
          <t>Units</t>
        </is>
      </c>
      <c r="B42" s="11" t="inlineStr">
        <is>
          <t>Thousands</t>
        </is>
      </c>
      <c r="C42" s="11" t="inlineStr">
        <is>
          <t>Thousands</t>
        </is>
      </c>
      <c r="D42" s="11" t="inlineStr">
        <is>
          <t>Thousands</t>
        </is>
      </c>
      <c r="E42" s="11" t="inlineStr">
        <is>
          <t>Thousands</t>
        </is>
      </c>
      <c r="F42" s="11" t="inlineStr">
        <is>
          <t>Thousands</t>
        </is>
      </c>
      <c r="G42" s="11" t="inlineStr">
        <is>
          <t>Thousands</t>
        </is>
      </c>
    </row>
    <row r="43">
      <c r="A43" s="11" t="inlineStr">
        <is>
          <t>Operating Activities</t>
        </is>
      </c>
    </row>
    <row r="44">
      <c r="A44" s="11" t="inlineStr">
        <is>
          <t>Net Income</t>
        </is>
      </c>
      <c r="B44" s="13" t="n">
        <v>329013</v>
      </c>
      <c r="C44" s="13" t="n">
        <v>285396</v>
      </c>
      <c r="D44" s="13" t="n">
        <v>494709</v>
      </c>
      <c r="E44" s="13" t="n">
        <v>389113</v>
      </c>
      <c r="F44" s="13" t="n">
        <v>752073</v>
      </c>
      <c r="G44" s="13" t="n">
        <v>685734</v>
      </c>
    </row>
    <row r="45">
      <c r="A45" s="11" t="inlineStr">
        <is>
          <t>Depreciation, amortization and Impairment</t>
        </is>
      </c>
      <c r="B45" s="13" t="n">
        <v>78321</v>
      </c>
      <c r="C45" s="13" t="n">
        <v>89029</v>
      </c>
      <c r="D45" s="13" t="n">
        <v>95580</v>
      </c>
      <c r="E45" s="13" t="n">
        <v>122434</v>
      </c>
      <c r="F45" s="13" t="n">
        <v>180896</v>
      </c>
      <c r="G45" s="13" t="n">
        <v>195800</v>
      </c>
    </row>
    <row r="46">
      <c r="A46" s="11" t="inlineStr">
        <is>
          <t>Net Gain/loss on Sale of Property, Plant &amp; Equipment</t>
        </is>
      </c>
      <c r="B46" s="11" t="inlineStr">
        <is>
          <t>NA</t>
        </is>
      </c>
      <c r="C46" s="11" t="inlineStr">
        <is>
          <t>NA</t>
        </is>
      </c>
      <c r="D46" s="13" t="n">
        <v>-4071</v>
      </c>
      <c r="E46" s="13" t="n">
        <v>-40</v>
      </c>
      <c r="F46" s="13" t="n">
        <v>185</v>
      </c>
      <c r="G46" s="13" t="n">
        <v>-7036</v>
      </c>
    </row>
    <row r="47">
      <c r="A47" s="11" t="inlineStr">
        <is>
          <t>Gain/loss from Sale of Investments</t>
        </is>
      </c>
      <c r="B47" s="11" t="inlineStr">
        <is>
          <t>NA</t>
        </is>
      </c>
      <c r="C47" s="11" t="inlineStr">
        <is>
          <t>NA</t>
        </is>
      </c>
      <c r="D47" s="11" t="inlineStr">
        <is>
          <t>NA</t>
        </is>
      </c>
      <c r="E47" s="13" t="n">
        <v>215389</v>
      </c>
      <c r="F47" s="11" t="inlineStr">
        <is>
          <t>NA</t>
        </is>
      </c>
      <c r="G47" s="11" t="inlineStr">
        <is>
          <t>NA</t>
        </is>
      </c>
    </row>
    <row r="48">
      <c r="A48" s="11" t="inlineStr">
        <is>
          <t>Impairment (reversal of impairment) of investments in associates, net</t>
        </is>
      </c>
      <c r="B48" s="11" t="inlineStr">
        <is>
          <t>NA</t>
        </is>
      </c>
      <c r="C48" s="11" t="inlineStr">
        <is>
          <t>NA</t>
        </is>
      </c>
      <c r="D48" s="11" t="inlineStr">
        <is>
          <t>NA</t>
        </is>
      </c>
      <c r="E48" s="11" t="inlineStr">
        <is>
          <t>NA</t>
        </is>
      </c>
      <c r="F48" s="13" t="n">
        <v>-215389</v>
      </c>
      <c r="G48" s="11" t="inlineStr">
        <is>
          <t>NA</t>
        </is>
      </c>
    </row>
    <row r="49">
      <c r="A49" s="11" t="inlineStr">
        <is>
          <t>Changes in Evaluation Tools At Customers</t>
        </is>
      </c>
      <c r="B49" s="11" t="inlineStr">
        <is>
          <t>NA</t>
        </is>
      </c>
      <c r="C49" s="13" t="n">
        <v>-39710</v>
      </c>
      <c r="D49" s="13" t="n">
        <v>-7980</v>
      </c>
      <c r="E49" s="13" t="n">
        <v>-20516</v>
      </c>
      <c r="F49" s="13" t="n">
        <v>-32218</v>
      </c>
      <c r="G49" s="13" t="n">
        <v>-47080</v>
      </c>
    </row>
    <row r="50">
      <c r="A50" s="11" t="inlineStr">
        <is>
          <t>Share Based Compensation</t>
        </is>
      </c>
      <c r="B50" s="13" t="n">
        <v>10538</v>
      </c>
      <c r="C50" s="13" t="n">
        <v>12792</v>
      </c>
      <c r="D50" s="13" t="n">
        <v>17242</v>
      </c>
      <c r="E50" s="13" t="n">
        <v>29877</v>
      </c>
      <c r="F50" s="13" t="n">
        <v>37308</v>
      </c>
      <c r="G50" s="13" t="n">
        <v>41576</v>
      </c>
    </row>
    <row r="51">
      <c r="A51" s="11" t="inlineStr">
        <is>
          <t>Income Tax</t>
        </is>
      </c>
      <c r="B51" s="13" t="n">
        <v>53650</v>
      </c>
      <c r="C51" s="13" t="n">
        <v>48673</v>
      </c>
      <c r="D51" s="13" t="n">
        <v>102615</v>
      </c>
      <c r="E51" s="13" t="n">
        <v>115863</v>
      </c>
      <c r="F51" s="13" t="n">
        <v>114448</v>
      </c>
      <c r="G51" s="13" t="n">
        <v>182168</v>
      </c>
    </row>
    <row r="52">
      <c r="A52" s="11" t="inlineStr">
        <is>
          <t>Income tax paid</t>
        </is>
      </c>
      <c r="B52" s="13" t="n">
        <v>-6186</v>
      </c>
      <c r="C52" s="13" t="n">
        <v>-8055</v>
      </c>
      <c r="D52" s="13" t="n">
        <v>-151623</v>
      </c>
      <c r="E52" s="13" t="n">
        <v>-90481</v>
      </c>
      <c r="F52" s="13" t="n">
        <v>-118766</v>
      </c>
      <c r="G52" s="13" t="n">
        <v>-97563</v>
      </c>
    </row>
    <row r="53">
      <c r="A53" s="11" t="inlineStr">
        <is>
          <t>Other Assets</t>
        </is>
      </c>
      <c r="B53" s="13" t="n">
        <v>-24280</v>
      </c>
      <c r="C53" s="11" t="inlineStr">
        <is>
          <t>NA</t>
        </is>
      </c>
      <c r="D53" s="11" t="inlineStr">
        <is>
          <t>NA</t>
        </is>
      </c>
      <c r="E53" s="11" t="inlineStr">
        <is>
          <t>NA</t>
        </is>
      </c>
      <c r="F53" s="11" t="inlineStr">
        <is>
          <t>NA</t>
        </is>
      </c>
      <c r="G53" s="11" t="inlineStr">
        <is>
          <t>NA</t>
        </is>
      </c>
    </row>
    <row r="54">
      <c r="A54" s="11" t="inlineStr">
        <is>
          <t>Non Cash Interest</t>
        </is>
      </c>
      <c r="B54" s="13" t="n">
        <v>593</v>
      </c>
      <c r="C54" s="11" t="inlineStr">
        <is>
          <t>NA</t>
        </is>
      </c>
      <c r="D54" s="11" t="inlineStr">
        <is>
          <t>NA</t>
        </is>
      </c>
      <c r="E54" s="11" t="inlineStr">
        <is>
          <t>NA</t>
        </is>
      </c>
      <c r="F54" s="11" t="inlineStr">
        <is>
          <t>NA</t>
        </is>
      </c>
      <c r="G54" s="11" t="inlineStr">
        <is>
          <t>NA</t>
        </is>
      </c>
    </row>
    <row r="55">
      <c r="A55" s="11" t="inlineStr">
        <is>
          <t>Net Finance Income/(costs)</t>
        </is>
      </c>
      <c r="B55" s="11" t="inlineStr">
        <is>
          <t>NA</t>
        </is>
      </c>
      <c r="C55" s="13" t="n">
        <v>11975</v>
      </c>
      <c r="D55" s="13" t="n">
        <v>-23510</v>
      </c>
      <c r="E55" s="13" t="n">
        <v>3886</v>
      </c>
      <c r="F55" s="13" t="n">
        <v>-9466</v>
      </c>
      <c r="G55" s="13" t="n">
        <v>-24759</v>
      </c>
    </row>
    <row r="56">
      <c r="A56" s="11" t="inlineStr">
        <is>
          <t>Non Cash Costs</t>
        </is>
      </c>
      <c r="B56" s="13" t="n">
        <v>4884</v>
      </c>
      <c r="C56" s="11" t="inlineStr">
        <is>
          <t>NA</t>
        </is>
      </c>
      <c r="D56" s="11" t="inlineStr">
        <is>
          <t>NA</t>
        </is>
      </c>
      <c r="E56" s="11" t="inlineStr">
        <is>
          <t>NA</t>
        </is>
      </c>
      <c r="F56" s="11" t="inlineStr">
        <is>
          <t>NA</t>
        </is>
      </c>
      <c r="G56" s="11" t="inlineStr">
        <is>
          <t>NA</t>
        </is>
      </c>
    </row>
    <row r="57">
      <c r="A57" s="11" t="inlineStr">
        <is>
          <t>Share in Income of Investments in Associates</t>
        </is>
      </c>
      <c r="B57" s="13" t="n">
        <v>-4247</v>
      </c>
      <c r="C57" s="13" t="n">
        <v>-31950</v>
      </c>
      <c r="D57" s="13" t="n">
        <v>-74382</v>
      </c>
      <c r="E57" s="13" t="n">
        <v>-64771</v>
      </c>
      <c r="F57" s="13" t="n">
        <v>-17539</v>
      </c>
      <c r="G57" s="13" t="n">
        <v>-9643</v>
      </c>
    </row>
    <row r="58">
      <c r="A58" s="11" t="inlineStr">
        <is>
          <t>Evaluation Tools</t>
        </is>
      </c>
      <c r="B58" s="13" t="n">
        <v>-13670</v>
      </c>
      <c r="C58" s="11" t="inlineStr">
        <is>
          <t>NA</t>
        </is>
      </c>
      <c r="D58" s="11" t="inlineStr">
        <is>
          <t>NA</t>
        </is>
      </c>
      <c r="E58" s="11" t="inlineStr">
        <is>
          <t>NA</t>
        </is>
      </c>
      <c r="F58" s="11" t="inlineStr">
        <is>
          <t>NA</t>
        </is>
      </c>
      <c r="G58" s="11" t="inlineStr">
        <is>
          <t>NA</t>
        </is>
      </c>
    </row>
    <row r="59">
      <c r="A59" s="11" t="inlineStr">
        <is>
          <t>Changes in Employee Benefits Pension Plans</t>
        </is>
      </c>
      <c r="B59" s="11" t="inlineStr">
        <is>
          <t>NA</t>
        </is>
      </c>
      <c r="C59" s="13" t="n">
        <v>-407</v>
      </c>
      <c r="D59" s="13" t="n">
        <v>-339</v>
      </c>
      <c r="E59" s="13" t="n">
        <v>198</v>
      </c>
      <c r="F59" s="13" t="n">
        <v>98</v>
      </c>
      <c r="G59" s="13" t="n">
        <v>-11</v>
      </c>
    </row>
    <row r="60">
      <c r="A60" s="11" t="inlineStr">
        <is>
          <t>Accounts Receivable</t>
        </is>
      </c>
      <c r="B60" s="13" t="n">
        <v>-23937</v>
      </c>
      <c r="C60" s="13" t="n">
        <v>-93000</v>
      </c>
      <c r="D60" s="13" t="n">
        <v>-154030</v>
      </c>
      <c r="E60" s="13" t="n">
        <v>-125068</v>
      </c>
      <c r="F60" s="13" t="n">
        <v>67660</v>
      </c>
      <c r="G60" s="13" t="n">
        <v>-294635</v>
      </c>
    </row>
    <row r="61">
      <c r="A61" s="11" t="inlineStr">
        <is>
          <t>Contract Assets and Liabilities</t>
        </is>
      </c>
      <c r="B61" s="11" t="inlineStr">
        <is>
          <t>NA</t>
        </is>
      </c>
      <c r="C61" s="11" t="inlineStr">
        <is>
          <t>NA</t>
        </is>
      </c>
      <c r="D61" s="11" t="inlineStr">
        <is>
          <t>NA</t>
        </is>
      </c>
      <c r="E61" s="13" t="n">
        <v>131178</v>
      </c>
      <c r="F61" s="13" t="n">
        <v>21485</v>
      </c>
      <c r="G61" s="13" t="n">
        <v>184598</v>
      </c>
    </row>
    <row r="62">
      <c r="A62" s="11" t="inlineStr">
        <is>
          <t>Inventories</t>
        </is>
      </c>
      <c r="B62" s="13" t="n">
        <v>3058</v>
      </c>
      <c r="C62" s="13" t="n">
        <v>498</v>
      </c>
      <c r="D62" s="13" t="n">
        <v>-39148</v>
      </c>
      <c r="E62" s="13" t="n">
        <v>-276914</v>
      </c>
      <c r="F62" s="13" t="n">
        <v>-3537</v>
      </c>
      <c r="G62" s="13" t="n">
        <v>-31961</v>
      </c>
    </row>
    <row r="63">
      <c r="A63" s="11" t="inlineStr">
        <is>
          <t>Accounts Payable, Accrued Expenses and Other Payables</t>
        </is>
      </c>
      <c r="B63" s="13" t="n">
        <v>81134</v>
      </c>
      <c r="C63" s="13" t="n">
        <v>-12696</v>
      </c>
      <c r="D63" s="13" t="n">
        <v>103087</v>
      </c>
      <c r="E63" s="13" t="n">
        <v>120324</v>
      </c>
      <c r="F63" s="13" t="n">
        <v>-9314</v>
      </c>
      <c r="G63" s="13" t="n">
        <v>112055</v>
      </c>
    </row>
    <row r="64">
      <c r="A64" s="11" t="inlineStr">
        <is>
          <t>Other Current Assets</t>
        </is>
      </c>
      <c r="B64" s="11" t="inlineStr">
        <is>
          <t>NA</t>
        </is>
      </c>
      <c r="C64" s="13" t="n">
        <v>-2006</v>
      </c>
      <c r="D64" s="13" t="n">
        <v>15350</v>
      </c>
      <c r="E64" s="13" t="n">
        <v>-14081</v>
      </c>
      <c r="F64" s="13" t="n">
        <v>-21817</v>
      </c>
      <c r="G64" s="13" t="n">
        <v>-1522</v>
      </c>
    </row>
    <row r="65">
      <c r="A65" s="11" t="inlineStr">
        <is>
          <t>Provision for Warranty</t>
        </is>
      </c>
      <c r="B65" s="11" t="inlineStr">
        <is>
          <t>NA</t>
        </is>
      </c>
      <c r="C65" s="13" t="n">
        <v>3814</v>
      </c>
      <c r="D65" s="13" t="n">
        <v>7140</v>
      </c>
      <c r="E65" s="13" t="n">
        <v>5097</v>
      </c>
      <c r="F65" s="13" t="n">
        <v>-10220</v>
      </c>
      <c r="G65" s="13" t="n">
        <v>9933</v>
      </c>
    </row>
    <row r="66">
      <c r="A66" s="11" t="inlineStr">
        <is>
          <t>Cash Flow from Operating Activities</t>
        </is>
      </c>
      <c r="B66" s="13" t="n">
        <v>488871</v>
      </c>
      <c r="C66" s="13" t="n">
        <v>264353</v>
      </c>
      <c r="D66" s="13" t="n">
        <v>380640</v>
      </c>
      <c r="E66" s="13" t="n">
        <v>541488</v>
      </c>
      <c r="F66" s="13" t="n">
        <v>735887</v>
      </c>
      <c r="G66" s="13" t="n">
        <v>897654</v>
      </c>
    </row>
    <row r="67">
      <c r="A67" s="11" t="inlineStr">
        <is>
          <t>Investing Activities</t>
        </is>
      </c>
    </row>
    <row r="68">
      <c r="A68" s="11" t="inlineStr">
        <is>
          <t>Capital Expenditures-property, Plant &amp; Equipment</t>
        </is>
      </c>
      <c r="B68" s="13" t="n">
        <v>-48707</v>
      </c>
      <c r="C68" s="13" t="n">
        <v>-95441</v>
      </c>
      <c r="D68" s="13" t="n">
        <v>-72199</v>
      </c>
      <c r="E68" s="13" t="n">
        <v>-101184</v>
      </c>
      <c r="F68" s="13" t="n">
        <v>-154103</v>
      </c>
      <c r="G68" s="13" t="n">
        <v>-167895</v>
      </c>
    </row>
    <row r="69">
      <c r="A69" s="11" t="inlineStr">
        <is>
          <t>Proceeds From Sale of Property, Plant &amp; Equipment</t>
        </is>
      </c>
      <c r="B69" s="13" t="n">
        <v>28</v>
      </c>
      <c r="C69" s="13" t="n">
        <v>2348</v>
      </c>
      <c r="D69" s="13" t="n">
        <v>6159</v>
      </c>
      <c r="E69" s="13" t="n">
        <v>940</v>
      </c>
      <c r="F69" s="13" t="n">
        <v>3558</v>
      </c>
      <c r="G69" s="13" t="n">
        <v>8817</v>
      </c>
    </row>
    <row r="70">
      <c r="A70" s="11" t="inlineStr">
        <is>
          <t>Investment in Subsidiary</t>
        </is>
      </c>
      <c r="B70" s="11" t="inlineStr">
        <is>
          <t>NA</t>
        </is>
      </c>
      <c r="C70" s="11" t="inlineStr">
        <is>
          <t>NA</t>
        </is>
      </c>
      <c r="D70" s="11" t="inlineStr">
        <is>
          <t>NA</t>
        </is>
      </c>
      <c r="E70" s="13" t="n">
        <v>-314295</v>
      </c>
      <c r="F70" s="11" t="inlineStr">
        <is>
          <t>NA</t>
        </is>
      </c>
      <c r="G70" s="11" t="inlineStr">
        <is>
          <t>NA</t>
        </is>
      </c>
    </row>
    <row r="71">
      <c r="A71" s="11" t="inlineStr">
        <is>
          <t>Net Purchase of Intangible Assets</t>
        </is>
      </c>
      <c r="B71" s="13" t="n">
        <v>-2320</v>
      </c>
      <c r="C71" s="13" t="n">
        <v>-3230</v>
      </c>
      <c r="D71" s="13" t="n">
        <v>-2680</v>
      </c>
      <c r="E71" s="13" t="n">
        <v>-4662</v>
      </c>
      <c r="F71" s="13" t="n">
        <v>-16389</v>
      </c>
      <c r="G71" s="13" t="n">
        <v>-30492</v>
      </c>
    </row>
    <row r="72">
      <c r="A72" s="11" t="inlineStr">
        <is>
          <t>Capitalized Development Expenditure</t>
        </is>
      </c>
      <c r="B72" s="13" t="n">
        <v>-60202</v>
      </c>
      <c r="C72" s="13" t="n">
        <v>-64126</v>
      </c>
      <c r="D72" s="13" t="n">
        <v>-81973</v>
      </c>
      <c r="E72" s="13" t="n">
        <v>-102627</v>
      </c>
      <c r="F72" s="13" t="n">
        <v>-147220</v>
      </c>
      <c r="G72" s="13" t="n">
        <v>-166343</v>
      </c>
    </row>
    <row r="73">
      <c r="A73" s="11" t="inlineStr">
        <is>
          <t>Dividends Received from Associate</t>
        </is>
      </c>
      <c r="B73" s="13" t="n">
        <v>31960</v>
      </c>
      <c r="C73" s="13" t="n">
        <v>16142</v>
      </c>
      <c r="D73" s="13" t="n">
        <v>36297</v>
      </c>
      <c r="E73" s="13" t="n">
        <v>48919</v>
      </c>
      <c r="F73" s="13" t="n">
        <v>30753</v>
      </c>
      <c r="G73" s="13" t="n">
        <v>13668</v>
      </c>
    </row>
    <row r="74">
      <c r="A74" s="11" t="inlineStr">
        <is>
          <t>Other Investments</t>
        </is>
      </c>
      <c r="B74" s="11" t="inlineStr">
        <is>
          <t>NA</t>
        </is>
      </c>
      <c r="C74" s="11" t="inlineStr">
        <is>
          <t>NA</t>
        </is>
      </c>
      <c r="D74" s="11" t="inlineStr">
        <is>
          <t>NA</t>
        </is>
      </c>
      <c r="E74" s="13" t="n">
        <v>-1971</v>
      </c>
      <c r="F74" s="13" t="n">
        <v>-5641</v>
      </c>
      <c r="G74" s="13" t="n">
        <v>-7721</v>
      </c>
    </row>
    <row r="75">
      <c r="A75" s="11" t="inlineStr">
        <is>
          <t>Cash Flow from Investing Activities</t>
        </is>
      </c>
      <c r="B75" s="13" t="n">
        <v>-79241</v>
      </c>
      <c r="C75" s="13" t="n">
        <v>-144307</v>
      </c>
      <c r="D75" s="13" t="n">
        <v>-114396</v>
      </c>
      <c r="E75" s="13" t="n">
        <v>-474880</v>
      </c>
      <c r="F75" s="13" t="n">
        <v>-289042</v>
      </c>
      <c r="G75" s="13" t="n">
        <v>-349966</v>
      </c>
    </row>
    <row r="76">
      <c r="A76" s="11" t="inlineStr">
        <is>
          <t>Financing Activities</t>
        </is>
      </c>
    </row>
    <row r="77">
      <c r="A77" s="11" t="inlineStr">
        <is>
          <t>Payment of Lease Liabilities</t>
        </is>
      </c>
      <c r="B77" s="13" t="n">
        <v>-12048</v>
      </c>
      <c r="C77" s="13" t="n">
        <v>-7819</v>
      </c>
      <c r="D77" s="13" t="n">
        <v>-7854</v>
      </c>
      <c r="E77" s="13" t="n">
        <v>-10289</v>
      </c>
      <c r="F77" s="13" t="n">
        <v>-12602</v>
      </c>
      <c r="G77" s="13" t="n">
        <v>-14177</v>
      </c>
    </row>
    <row r="78">
      <c r="A78" s="11" t="inlineStr">
        <is>
          <t>Proceeds from Issuance of Treasury Shares</t>
        </is>
      </c>
      <c r="B78" s="13" t="n">
        <v>6767</v>
      </c>
      <c r="C78" s="13" t="n">
        <v>2774</v>
      </c>
      <c r="D78" s="13" t="n">
        <v>4630</v>
      </c>
      <c r="E78" s="11" t="inlineStr">
        <is>
          <t>NA</t>
        </is>
      </c>
      <c r="F78" s="13" t="n">
        <v>863</v>
      </c>
      <c r="G78" s="11" t="inlineStr">
        <is>
          <t>NA</t>
        </is>
      </c>
    </row>
    <row r="79">
      <c r="A79" s="11" t="inlineStr">
        <is>
          <t>Purchase of Treasury Shares</t>
        </is>
      </c>
      <c r="B79" s="13" t="n">
        <v>-99929</v>
      </c>
      <c r="C79" s="13" t="n">
        <v>-66715</v>
      </c>
      <c r="D79" s="13" t="n">
        <v>-140142</v>
      </c>
      <c r="E79" s="11" t="inlineStr">
        <is>
          <t>NA</t>
        </is>
      </c>
      <c r="F79" s="13" t="n">
        <v>-100928</v>
      </c>
      <c r="G79" s="13" t="n">
        <v>-151366</v>
      </c>
    </row>
    <row r="80">
      <c r="A80" s="11" t="inlineStr">
        <is>
          <t>Capital Repayment</t>
        </is>
      </c>
      <c r="B80" s="13" t="n">
        <v>-1144</v>
      </c>
      <c r="C80" s="11" t="inlineStr">
        <is>
          <t>NA</t>
        </is>
      </c>
      <c r="D80" s="11" t="inlineStr">
        <is>
          <t>NA</t>
        </is>
      </c>
      <c r="E80" s="11" t="inlineStr">
        <is>
          <t>NA</t>
        </is>
      </c>
      <c r="F80" s="11" t="inlineStr">
        <is>
          <t>NA</t>
        </is>
      </c>
      <c r="G80" s="11" t="inlineStr">
        <is>
          <t>NA</t>
        </is>
      </c>
    </row>
    <row r="81">
      <c r="A81" s="11" t="inlineStr">
        <is>
          <t>Dividends to Common Shareholders</t>
        </is>
      </c>
      <c r="B81" s="13" t="n">
        <v>-99298</v>
      </c>
      <c r="C81" s="13" t="n">
        <v>-98688</v>
      </c>
      <c r="D81" s="13" t="n">
        <v>-96893</v>
      </c>
      <c r="E81" s="13" t="n">
        <v>-121650</v>
      </c>
      <c r="F81" s="13" t="n">
        <v>-123383</v>
      </c>
      <c r="G81" s="13" t="n">
        <v>-135487</v>
      </c>
    </row>
    <row r="82">
      <c r="A82" s="11" t="inlineStr">
        <is>
          <t>Credit Facility Renewal Fee Paid</t>
        </is>
      </c>
      <c r="B82" s="11" t="inlineStr">
        <is>
          <t>NA</t>
        </is>
      </c>
      <c r="C82" s="11" t="inlineStr">
        <is>
          <t>NA</t>
        </is>
      </c>
      <c r="D82" s="11" t="inlineStr">
        <is>
          <t>NA</t>
        </is>
      </c>
      <c r="E82" s="13" t="n">
        <v>-660</v>
      </c>
      <c r="F82" s="11" t="inlineStr">
        <is>
          <t>NA</t>
        </is>
      </c>
      <c r="G82" s="11" t="inlineStr">
        <is>
          <t>NA</t>
        </is>
      </c>
    </row>
    <row r="83">
      <c r="A83" s="11" t="inlineStr">
        <is>
          <t>Cash Flow from Financing Activities</t>
        </is>
      </c>
      <c r="B83" s="13" t="n">
        <v>-205652</v>
      </c>
      <c r="C83" s="13" t="n">
        <v>-170448</v>
      </c>
      <c r="D83" s="13" t="n">
        <v>-240259</v>
      </c>
      <c r="E83" s="13" t="n">
        <v>-132599</v>
      </c>
      <c r="F83" s="13" t="n">
        <v>-236050</v>
      </c>
      <c r="G83" s="13" t="n">
        <v>-301030</v>
      </c>
    </row>
    <row r="84">
      <c r="A84" s="11" t="inlineStr">
        <is>
          <t>Other Adjustments</t>
        </is>
      </c>
    </row>
    <row r="85">
      <c r="A85" s="11" t="inlineStr">
        <is>
          <t>Foreign Exchange Rate Effect on Cash and Cash Equivalents</t>
        </is>
      </c>
      <c r="B85" s="13" t="n">
        <v>7989</v>
      </c>
      <c r="C85" s="13" t="n">
        <v>-12244</v>
      </c>
      <c r="D85" s="13" t="n">
        <v>30294</v>
      </c>
      <c r="E85" s="13" t="n">
        <v>-6201</v>
      </c>
      <c r="F85" s="13" t="n">
        <v>7154</v>
      </c>
      <c r="G85" s="13" t="n">
        <v>42579</v>
      </c>
    </row>
    <row r="86">
      <c r="A86" s="11" t="inlineStr">
        <is>
          <t>Cash Flow Net Changes in Cash</t>
        </is>
      </c>
      <c r="B86" s="13" t="n">
        <v>211967</v>
      </c>
      <c r="C86" s="13" t="n">
        <v>-62646</v>
      </c>
      <c r="D86" s="13" t="n">
        <v>56279</v>
      </c>
      <c r="E86" s="13" t="n">
        <v>-72192</v>
      </c>
      <c r="F86" s="13" t="n">
        <v>217949</v>
      </c>
      <c r="G86" s="13" t="n">
        <v>289237</v>
      </c>
    </row>
    <row r="89">
      <c r="A89" s="11" t="inlineStr">
        <is>
          <t>Recommended: S&amp;P Capital IQ - Standard</t>
        </is>
      </c>
      <c r="B89" s="11" t="inlineStr">
        <is>
          <t>2019 FY</t>
        </is>
      </c>
      <c r="C89" s="11" t="inlineStr">
        <is>
          <t>2020 FY</t>
        </is>
      </c>
      <c r="D89" s="11" t="inlineStr">
        <is>
          <t>2021 FY</t>
        </is>
      </c>
      <c r="E89" s="11" t="inlineStr">
        <is>
          <t>2022 FY</t>
        </is>
      </c>
      <c r="F89" s="11" t="inlineStr">
        <is>
          <t>2023 FY</t>
        </is>
      </c>
      <c r="G89" s="11" t="inlineStr">
        <is>
          <t>2024 FY</t>
        </is>
      </c>
    </row>
    <row r="90">
      <c r="A90" s="11" t="inlineStr">
        <is>
          <t>Period Ended</t>
        </is>
      </c>
      <c r="B90" s="12" t="n">
        <v>43830</v>
      </c>
      <c r="C90" s="12" t="n">
        <v>44196</v>
      </c>
      <c r="D90" s="12" t="n">
        <v>44561</v>
      </c>
      <c r="E90" s="12" t="n">
        <v>44926</v>
      </c>
      <c r="F90" s="12" t="n">
        <v>45291</v>
      </c>
      <c r="G90" s="12" t="n">
        <v>45657</v>
      </c>
    </row>
    <row r="91">
      <c r="A91" s="11" t="inlineStr">
        <is>
          <t>Currency</t>
        </is>
      </c>
      <c r="B91" s="11" t="inlineStr">
        <is>
          <t>EUR</t>
        </is>
      </c>
      <c r="C91" s="11" t="inlineStr">
        <is>
          <t>EUR</t>
        </is>
      </c>
      <c r="D91" s="11" t="inlineStr">
        <is>
          <t>EUR</t>
        </is>
      </c>
      <c r="E91" s="11" t="inlineStr">
        <is>
          <t>EUR</t>
        </is>
      </c>
      <c r="F91" s="11" t="inlineStr">
        <is>
          <t>EUR</t>
        </is>
      </c>
      <c r="G91" s="11" t="inlineStr">
        <is>
          <t>EUR</t>
        </is>
      </c>
    </row>
    <row r="92">
      <c r="A92" s="11" t="inlineStr">
        <is>
          <t>Units</t>
        </is>
      </c>
      <c r="B92" s="11" t="inlineStr">
        <is>
          <t>Thousands</t>
        </is>
      </c>
      <c r="C92" s="11" t="inlineStr">
        <is>
          <t>Thousands</t>
        </is>
      </c>
      <c r="D92" s="11" t="inlineStr">
        <is>
          <t>Thousands</t>
        </is>
      </c>
      <c r="E92" s="11" t="inlineStr">
        <is>
          <t>Thousands</t>
        </is>
      </c>
      <c r="F92" s="11" t="inlineStr">
        <is>
          <t>Thousands</t>
        </is>
      </c>
      <c r="G92" s="11" t="inlineStr">
        <is>
          <t>Thousands</t>
        </is>
      </c>
    </row>
    <row r="93">
      <c r="A93" s="11" t="inlineStr">
        <is>
          <t>Current Assets</t>
        </is>
      </c>
    </row>
    <row r="94">
      <c r="A94" s="11" t="inlineStr">
        <is>
          <t>Cash and Cash Equivalents</t>
        </is>
      </c>
      <c r="B94" s="13" t="n">
        <v>497874</v>
      </c>
      <c r="C94" s="13" t="n">
        <v>435228</v>
      </c>
      <c r="D94" s="13" t="n">
        <v>491507</v>
      </c>
      <c r="E94" s="13" t="n">
        <v>419315</v>
      </c>
      <c r="F94" s="13" t="n">
        <v>637264</v>
      </c>
      <c r="G94" s="13" t="n">
        <v>926501</v>
      </c>
    </row>
    <row r="95">
      <c r="A95" s="11" t="inlineStr">
        <is>
          <t>Accounts Receivables</t>
        </is>
      </c>
      <c r="B95" s="13" t="n">
        <v>199535</v>
      </c>
      <c r="C95" s="13" t="n">
        <v>280061</v>
      </c>
      <c r="D95" s="13" t="n">
        <v>446724</v>
      </c>
      <c r="E95" s="13" t="n">
        <v>580823</v>
      </c>
      <c r="F95" s="13" t="n">
        <v>487727</v>
      </c>
      <c r="G95" s="13" t="n">
        <v>788958</v>
      </c>
    </row>
    <row r="96">
      <c r="A96" s="11" t="inlineStr">
        <is>
          <t>Contract Asset</t>
        </is>
      </c>
      <c r="B96" s="11" t="inlineStr">
        <is>
          <t>NA</t>
        </is>
      </c>
      <c r="C96" s="11" t="inlineStr">
        <is>
          <t>NA</t>
        </is>
      </c>
      <c r="D96" s="11" t="inlineStr">
        <is>
          <t>NA</t>
        </is>
      </c>
      <c r="E96" s="13" t="n">
        <v>63982</v>
      </c>
      <c r="F96" s="13" t="n">
        <v>59392</v>
      </c>
      <c r="G96" s="13" t="n">
        <v>57745</v>
      </c>
    </row>
    <row r="97">
      <c r="A97" s="11" t="inlineStr">
        <is>
          <t>Incomes Taxes Receivable</t>
        </is>
      </c>
      <c r="B97" s="13" t="n">
        <v>1220</v>
      </c>
      <c r="C97" s="13" t="n">
        <v>553</v>
      </c>
      <c r="D97" s="13" t="n">
        <v>18614</v>
      </c>
      <c r="E97" s="13" t="n">
        <v>18778</v>
      </c>
      <c r="F97" s="13" t="n">
        <v>29957</v>
      </c>
      <c r="G97" s="13" t="n">
        <v>4836</v>
      </c>
    </row>
    <row r="98">
      <c r="A98" s="11" t="inlineStr">
        <is>
          <t>Inventories</t>
        </is>
      </c>
      <c r="B98" s="13" t="n">
        <v>173189</v>
      </c>
      <c r="C98" s="13" t="n">
        <v>162199</v>
      </c>
      <c r="D98" s="13" t="n">
        <v>211841</v>
      </c>
      <c r="E98" s="13" t="n">
        <v>538425</v>
      </c>
      <c r="F98" s="13" t="n">
        <v>525690</v>
      </c>
      <c r="G98" s="13" t="n">
        <v>567007</v>
      </c>
    </row>
    <row r="99">
      <c r="A99" s="11" t="inlineStr">
        <is>
          <t>Other Current Assets</t>
        </is>
      </c>
      <c r="B99" s="13" t="n">
        <v>73479</v>
      </c>
      <c r="C99" s="13" t="n">
        <v>72945</v>
      </c>
      <c r="D99" s="13" t="n">
        <v>50972</v>
      </c>
      <c r="E99" s="13" t="n">
        <v>48189</v>
      </c>
      <c r="F99" s="13" t="n">
        <v>68845</v>
      </c>
      <c r="G99" s="13" t="n">
        <v>70277</v>
      </c>
    </row>
    <row r="100">
      <c r="A100" s="11" t="inlineStr">
        <is>
          <t>Total Current Assets</t>
        </is>
      </c>
      <c r="B100" s="13" t="n">
        <v>945297</v>
      </c>
      <c r="C100" s="13" t="n">
        <v>950986</v>
      </c>
      <c r="D100" s="13" t="n">
        <v>1219658</v>
      </c>
      <c r="E100" s="13" t="n">
        <v>1669512</v>
      </c>
      <c r="F100" s="13" t="n">
        <v>1808875</v>
      </c>
      <c r="G100" s="13" t="n">
        <v>2415324</v>
      </c>
    </row>
    <row r="101">
      <c r="A101" s="11" t="inlineStr">
        <is>
          <t>Noncurrent Assets</t>
        </is>
      </c>
    </row>
    <row r="102">
      <c r="A102" s="11" t="inlineStr">
        <is>
          <t>Right of Use Assets</t>
        </is>
      </c>
      <c r="B102" s="13" t="n">
        <v>27547</v>
      </c>
      <c r="C102" s="13" t="n">
        <v>23387</v>
      </c>
      <c r="D102" s="13" t="n">
        <v>26938</v>
      </c>
      <c r="E102" s="13" t="n">
        <v>31663</v>
      </c>
      <c r="F102" s="13" t="n">
        <v>35395</v>
      </c>
      <c r="G102" s="13" t="n">
        <v>36525</v>
      </c>
    </row>
    <row r="103">
      <c r="A103" s="11" t="inlineStr">
        <is>
          <t>Property, Plant and Equipment</t>
        </is>
      </c>
      <c r="B103" s="13" t="n">
        <v>164863</v>
      </c>
      <c r="C103" s="13" t="n">
        <v>213967</v>
      </c>
      <c r="D103" s="13" t="n">
        <v>257017</v>
      </c>
      <c r="E103" s="13" t="n">
        <v>312053</v>
      </c>
      <c r="F103" s="13" t="n">
        <v>384949</v>
      </c>
      <c r="G103" s="13" t="n">
        <v>482901</v>
      </c>
    </row>
    <row r="104">
      <c r="A104" s="11" t="inlineStr">
        <is>
          <t>Investment in Associates</t>
        </is>
      </c>
      <c r="B104" s="13" t="n">
        <v>778268</v>
      </c>
      <c r="C104" s="13" t="n">
        <v>742714</v>
      </c>
      <c r="D104" s="13" t="n">
        <v>848812</v>
      </c>
      <c r="E104" s="13" t="n">
        <v>686341</v>
      </c>
      <c r="F104" s="13" t="n">
        <v>861937</v>
      </c>
      <c r="G104" s="13" t="n">
        <v>903625</v>
      </c>
    </row>
    <row r="105">
      <c r="A105" s="11" t="inlineStr">
        <is>
          <t>Other Investments</t>
        </is>
      </c>
      <c r="B105" s="11" t="inlineStr">
        <is>
          <t>NA</t>
        </is>
      </c>
      <c r="C105" s="11" t="inlineStr">
        <is>
          <t>NA</t>
        </is>
      </c>
      <c r="D105" s="11" t="inlineStr">
        <is>
          <t>NA</t>
        </is>
      </c>
      <c r="E105" s="13" t="n">
        <v>5814</v>
      </c>
      <c r="F105" s="13" t="n">
        <v>11307</v>
      </c>
      <c r="G105" s="13" t="n">
        <v>19821</v>
      </c>
    </row>
    <row r="106">
      <c r="A106" s="11" t="inlineStr">
        <is>
          <t>Deferred Tax Assets</t>
        </is>
      </c>
      <c r="B106" s="13" t="n">
        <v>3064</v>
      </c>
      <c r="C106" s="13" t="n">
        <v>196</v>
      </c>
      <c r="D106" s="13" t="n">
        <v>69</v>
      </c>
      <c r="E106" s="13" t="n">
        <v>181</v>
      </c>
      <c r="F106" s="13" t="n">
        <v>179</v>
      </c>
      <c r="G106" s="13" t="n">
        <v>34651</v>
      </c>
    </row>
    <row r="107">
      <c r="A107" s="11" t="inlineStr">
        <is>
          <t>Goodwill</t>
        </is>
      </c>
      <c r="B107" s="13" t="n">
        <v>11270</v>
      </c>
      <c r="C107" s="13" t="n">
        <v>11270</v>
      </c>
      <c r="D107" s="13" t="n">
        <v>11270</v>
      </c>
      <c r="E107" s="13" t="n">
        <v>320818</v>
      </c>
      <c r="F107" s="13" t="n">
        <v>320167</v>
      </c>
      <c r="G107" s="13" t="n">
        <v>321318</v>
      </c>
    </row>
    <row r="108">
      <c r="A108" s="11" t="inlineStr">
        <is>
          <t>Other Intangible Assets</t>
        </is>
      </c>
      <c r="B108" s="13" t="n">
        <v>189224</v>
      </c>
      <c r="C108" s="13" t="n">
        <v>209924</v>
      </c>
      <c r="D108" s="13" t="n">
        <v>274833</v>
      </c>
      <c r="E108" s="13" t="n">
        <v>646104</v>
      </c>
      <c r="F108" s="13" t="n">
        <v>705624</v>
      </c>
      <c r="G108" s="13" t="n">
        <v>815590</v>
      </c>
    </row>
    <row r="109">
      <c r="A109" s="11" t="inlineStr">
        <is>
          <t>Other Assets</t>
        </is>
      </c>
      <c r="B109" s="13" t="n">
        <v>7780</v>
      </c>
      <c r="C109" s="13" t="n">
        <v>6590</v>
      </c>
      <c r="D109" s="13" t="n">
        <v>6792</v>
      </c>
      <c r="E109" s="13" t="n">
        <v>7071</v>
      </c>
      <c r="F109" s="13" t="n">
        <v>15778</v>
      </c>
      <c r="G109" s="13" t="n">
        <v>18810</v>
      </c>
    </row>
    <row r="110">
      <c r="A110" s="11" t="inlineStr">
        <is>
          <t>Employee Benefits and Pension Assets</t>
        </is>
      </c>
      <c r="B110" s="13" t="n">
        <v>579</v>
      </c>
      <c r="C110" s="13" t="n">
        <v>1431</v>
      </c>
      <c r="D110" s="13" t="n">
        <v>1982</v>
      </c>
      <c r="E110" s="13" t="n">
        <v>2556</v>
      </c>
      <c r="F110" s="13" t="n">
        <v>2919</v>
      </c>
      <c r="G110" s="13" t="n">
        <v>3816</v>
      </c>
    </row>
    <row r="111">
      <c r="A111" s="11" t="inlineStr">
        <is>
          <t>Evaluation Tools At Customers</t>
        </is>
      </c>
      <c r="B111" s="13" t="n">
        <v>47247</v>
      </c>
      <c r="C111" s="13" t="n">
        <v>69474</v>
      </c>
      <c r="D111" s="13" t="n">
        <v>63717</v>
      </c>
      <c r="E111" s="13" t="n">
        <v>68676</v>
      </c>
      <c r="F111" s="13" t="n">
        <v>79597</v>
      </c>
      <c r="G111" s="13" t="n">
        <v>109539</v>
      </c>
    </row>
    <row r="112">
      <c r="A112" s="11" t="inlineStr">
        <is>
          <t>Total Assets</t>
        </is>
      </c>
      <c r="B112" s="13" t="n">
        <v>2175139</v>
      </c>
      <c r="C112" s="13" t="n">
        <v>2229939</v>
      </c>
      <c r="D112" s="13" t="n">
        <v>2711088</v>
      </c>
      <c r="E112" s="13" t="n">
        <v>3750789</v>
      </c>
      <c r="F112" s="13" t="n">
        <v>4226727</v>
      </c>
      <c r="G112" s="13" t="n">
        <v>5161920</v>
      </c>
    </row>
    <row r="113">
      <c r="A113" s="11" t="inlineStr">
        <is>
          <t>Current Liabilities</t>
        </is>
      </c>
    </row>
    <row r="114">
      <c r="A114" s="11" t="inlineStr">
        <is>
          <t>Accounts Payable</t>
        </is>
      </c>
      <c r="B114" s="13" t="n">
        <v>119712</v>
      </c>
      <c r="C114" s="13" t="n">
        <v>124507</v>
      </c>
      <c r="D114" s="13" t="n">
        <v>175436</v>
      </c>
      <c r="E114" s="13" t="n">
        <v>243499</v>
      </c>
      <c r="F114" s="13" t="n">
        <v>177686</v>
      </c>
      <c r="G114" s="13" t="n">
        <v>282554</v>
      </c>
    </row>
    <row r="115">
      <c r="A115" s="11" t="inlineStr">
        <is>
          <t>Accrued Expenses and Other Liabilities</t>
        </is>
      </c>
      <c r="B115" s="13" t="n">
        <v>149843</v>
      </c>
      <c r="C115" s="13" t="n">
        <v>128927</v>
      </c>
      <c r="D115" s="13" t="n">
        <v>190564</v>
      </c>
      <c r="E115" s="13" t="n">
        <v>163731</v>
      </c>
      <c r="F115" s="13" t="n">
        <v>216213</v>
      </c>
      <c r="G115" s="13" t="n">
        <v>235300</v>
      </c>
    </row>
    <row r="116">
      <c r="A116" s="11" t="inlineStr">
        <is>
          <t>Income Taxes Payable</t>
        </is>
      </c>
      <c r="B116" s="13" t="n">
        <v>34599</v>
      </c>
      <c r="C116" s="13" t="n">
        <v>67857</v>
      </c>
      <c r="D116" s="13" t="n">
        <v>14519</v>
      </c>
      <c r="E116" s="13" t="n">
        <v>43785</v>
      </c>
      <c r="F116" s="13" t="n">
        <v>21925</v>
      </c>
      <c r="G116" s="13" t="n">
        <v>66243</v>
      </c>
    </row>
    <row r="117">
      <c r="A117" s="11" t="inlineStr">
        <is>
          <t>Contract Liabilities</t>
        </is>
      </c>
      <c r="B117" s="11" t="inlineStr">
        <is>
          <t>NA</t>
        </is>
      </c>
      <c r="C117" s="11" t="inlineStr">
        <is>
          <t>NA</t>
        </is>
      </c>
      <c r="D117" s="11" t="inlineStr">
        <is>
          <t>NA</t>
        </is>
      </c>
      <c r="E117" s="13" t="n">
        <v>295180</v>
      </c>
      <c r="F117" s="13" t="n">
        <v>300241</v>
      </c>
      <c r="G117" s="13" t="n">
        <v>485732</v>
      </c>
    </row>
    <row r="118">
      <c r="A118" s="11" t="inlineStr">
        <is>
          <t>Provision for Warranty</t>
        </is>
      </c>
      <c r="B118" s="13" t="n">
        <v>16424</v>
      </c>
      <c r="C118" s="13" t="n">
        <v>18987</v>
      </c>
      <c r="D118" s="13" t="n">
        <v>27181</v>
      </c>
      <c r="E118" s="13" t="n">
        <v>34219</v>
      </c>
      <c r="F118" s="13" t="n">
        <v>22716</v>
      </c>
      <c r="G118" s="13" t="n">
        <v>33401</v>
      </c>
    </row>
    <row r="119">
      <c r="A119" s="11" t="inlineStr">
        <is>
          <t>Contingent Consideration Payable</t>
        </is>
      </c>
      <c r="B119" s="11" t="inlineStr">
        <is>
          <t>NA</t>
        </is>
      </c>
      <c r="C119" s="11" t="inlineStr">
        <is>
          <t>NA</t>
        </is>
      </c>
      <c r="D119" s="11" t="inlineStr">
        <is>
          <t>NA</t>
        </is>
      </c>
      <c r="E119" s="11" t="inlineStr">
        <is>
          <t>NA</t>
        </is>
      </c>
      <c r="F119" s="11" t="inlineStr">
        <is>
          <t>NA</t>
        </is>
      </c>
      <c r="G119" s="13" t="n">
        <v>97002</v>
      </c>
    </row>
    <row r="120">
      <c r="A120" s="11" t="inlineStr">
        <is>
          <t>Total Current Liabilities</t>
        </is>
      </c>
      <c r="B120" s="13" t="n">
        <v>320578</v>
      </c>
      <c r="C120" s="13" t="n">
        <v>340278</v>
      </c>
      <c r="D120" s="13" t="n">
        <v>407700</v>
      </c>
      <c r="E120" s="13" t="n">
        <v>780414</v>
      </c>
      <c r="F120" s="13" t="n">
        <v>738781</v>
      </c>
      <c r="G120" s="13" t="n">
        <v>1200232</v>
      </c>
    </row>
    <row r="121">
      <c r="A121" s="11" t="inlineStr">
        <is>
          <t>Noncurrent Liabilities</t>
        </is>
      </c>
    </row>
    <row r="122">
      <c r="A122" s="11" t="inlineStr">
        <is>
          <t>Lease Liabilities</t>
        </is>
      </c>
      <c r="B122" s="13" t="n">
        <v>15774</v>
      </c>
      <c r="C122" s="13" t="n">
        <v>13045</v>
      </c>
      <c r="D122" s="13" t="n">
        <v>15886</v>
      </c>
      <c r="E122" s="13" t="n">
        <v>18604</v>
      </c>
      <c r="F122" s="13" t="n">
        <v>22684</v>
      </c>
      <c r="G122" s="13" t="n">
        <v>23589</v>
      </c>
    </row>
    <row r="123">
      <c r="A123" s="11" t="inlineStr">
        <is>
          <t>Deferred Income Taxes</t>
        </is>
      </c>
      <c r="B123" s="13" t="n">
        <v>20136</v>
      </c>
      <c r="C123" s="13" t="n">
        <v>21892</v>
      </c>
      <c r="D123" s="13" t="n">
        <v>45748</v>
      </c>
      <c r="E123" s="13" t="n">
        <v>123803</v>
      </c>
      <c r="F123" s="13" t="n">
        <v>150147</v>
      </c>
      <c r="G123" s="13" t="n">
        <v>190944</v>
      </c>
    </row>
    <row r="124">
      <c r="A124" s="11" t="inlineStr">
        <is>
          <t>Contingent Consideration Payable</t>
        </is>
      </c>
      <c r="B124" s="11" t="inlineStr">
        <is>
          <t>NA</t>
        </is>
      </c>
      <c r="C124" s="11" t="inlineStr">
        <is>
          <t>NA</t>
        </is>
      </c>
      <c r="D124" s="11" t="inlineStr">
        <is>
          <t>NA</t>
        </is>
      </c>
      <c r="E124" s="13" t="n">
        <v>78649</v>
      </c>
      <c r="F124" s="13" t="n">
        <v>88304</v>
      </c>
      <c r="G124" s="11" t="inlineStr">
        <is>
          <t>NA</t>
        </is>
      </c>
    </row>
    <row r="125">
      <c r="A125" s="11" t="inlineStr">
        <is>
          <t>Shareholders' Equity</t>
        </is>
      </c>
    </row>
    <row r="126">
      <c r="A126" s="11" t="inlineStr">
        <is>
          <t>Common Stock - Par Value</t>
        </is>
      </c>
      <c r="B126" s="13" t="n">
        <v>1818651</v>
      </c>
      <c r="C126" s="13" t="n">
        <v>1854724</v>
      </c>
      <c r="D126" s="13" t="n">
        <v>2241754</v>
      </c>
      <c r="E126" s="13" t="n">
        <v>2749319</v>
      </c>
      <c r="F126" s="13" t="n">
        <v>3226811</v>
      </c>
      <c r="G126" s="13" t="n">
        <v>3747155</v>
      </c>
    </row>
    <row r="127">
      <c r="A127" s="11" t="inlineStr">
        <is>
          <t>Total Shareholders Equity</t>
        </is>
      </c>
      <c r="B127" s="13" t="n">
        <v>1818651</v>
      </c>
      <c r="C127" s="13" t="n">
        <v>1854724</v>
      </c>
      <c r="D127" s="13" t="n">
        <v>2241754</v>
      </c>
      <c r="E127" s="13" t="n">
        <v>2749319</v>
      </c>
      <c r="F127" s="13" t="n">
        <v>3226811</v>
      </c>
      <c r="G127" s="13" t="n">
        <v>3747155</v>
      </c>
    </row>
    <row r="128">
      <c r="A128" s="11" t="inlineStr">
        <is>
          <t>Total Liabilities &amp; Shareholders Equity</t>
        </is>
      </c>
      <c r="B128" s="13" t="n">
        <v>2175139</v>
      </c>
      <c r="C128" s="13" t="n">
        <v>2229939</v>
      </c>
      <c r="D128" s="13" t="n">
        <v>2711088</v>
      </c>
      <c r="E128" s="13" t="n">
        <v>3750789</v>
      </c>
      <c r="F128" s="13" t="n">
        <v>4226727</v>
      </c>
      <c r="G128" s="13" t="n">
        <v>5161920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2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A2" s="11" t="inlineStr">
        <is>
          <t>AIXTRON SE | Income Statement</t>
        </is>
      </c>
    </row>
    <row r="3">
      <c r="A3" s="11" t="inlineStr">
        <is>
          <t>XTRA:AIXA (MI KEY: 4434404; SPCIQ KEY: 138633)</t>
        </is>
      </c>
    </row>
    <row r="5">
      <c r="A5" s="11" t="inlineStr">
        <is>
          <t>Source: Recommended</t>
        </is>
      </c>
    </row>
    <row r="6">
      <c r="A6" s="11" t="inlineStr">
        <is>
          <t>Period Category: Fiscal</t>
        </is>
      </c>
    </row>
    <row r="7">
      <c r="A7" s="11" t="inlineStr">
        <is>
          <t>Period Type: Years</t>
        </is>
      </c>
    </row>
    <row r="8">
      <c r="A8" s="11" t="inlineStr">
        <is>
          <t>Reporting Basis: Current/Restated</t>
        </is>
      </c>
    </row>
    <row r="9">
      <c r="A9" s="11" t="inlineStr">
        <is>
          <t>Sort Order: Latest on Right</t>
        </is>
      </c>
    </row>
    <row r="10">
      <c r="A10" s="11" t="inlineStr">
        <is>
          <t>Currency: Euro (EUR)</t>
        </is>
      </c>
    </row>
    <row r="11">
      <c r="A11" s="11" t="inlineStr">
        <is>
          <t>Magnitude: Thousands (K)</t>
        </is>
      </c>
    </row>
    <row r="13">
      <c r="A13" s="11" t="inlineStr">
        <is>
          <t>Recommended: S&amp;P Capital IQ - Standard</t>
        </is>
      </c>
      <c r="B13" s="11" t="inlineStr">
        <is>
          <t>2019 FY</t>
        </is>
      </c>
      <c r="C13" s="11" t="inlineStr">
        <is>
          <t>2020 FY</t>
        </is>
      </c>
      <c r="D13" s="11" t="inlineStr">
        <is>
          <t>2021 FY</t>
        </is>
      </c>
      <c r="E13" s="11" t="inlineStr">
        <is>
          <t>2022 FY</t>
        </is>
      </c>
      <c r="F13" s="11" t="inlineStr">
        <is>
          <t>2023 FY</t>
        </is>
      </c>
      <c r="G13" s="11" t="inlineStr">
        <is>
          <t>2024 FY</t>
        </is>
      </c>
    </row>
    <row r="14">
      <c r="A14" s="11" t="inlineStr">
        <is>
          <t xml:space="preserve"> </t>
        </is>
      </c>
      <c r="B14" s="11" t="inlineStr">
        <is>
          <t>Current/Restated</t>
        </is>
      </c>
      <c r="C14" s="11" t="inlineStr">
        <is>
          <t>Current/Restated</t>
        </is>
      </c>
      <c r="D14" s="11" t="inlineStr">
        <is>
          <t>Current/Restated</t>
        </is>
      </c>
      <c r="E14" s="11" t="inlineStr">
        <is>
          <t>Current/Restated</t>
        </is>
      </c>
      <c r="F14" s="11" t="inlineStr">
        <is>
          <t>Current/Restated</t>
        </is>
      </c>
      <c r="G14" s="11" t="inlineStr">
        <is>
          <t>Current/Restated</t>
        </is>
      </c>
    </row>
    <row r="15">
      <c r="A15" s="11" t="inlineStr">
        <is>
          <t>Period Ended</t>
        </is>
      </c>
      <c r="B15" s="12" t="n">
        <v>43830</v>
      </c>
      <c r="C15" s="12" t="n">
        <v>44196</v>
      </c>
      <c r="D15" s="12" t="n">
        <v>44561</v>
      </c>
      <c r="E15" s="12" t="n">
        <v>44926</v>
      </c>
      <c r="F15" s="12" t="n">
        <v>45291</v>
      </c>
      <c r="G15" s="12" t="n">
        <v>45657</v>
      </c>
    </row>
    <row r="16">
      <c r="A16" s="11" t="inlineStr">
        <is>
          <t>Financial Filing Date</t>
        </is>
      </c>
      <c r="B16" s="12" t="n">
        <v>44252</v>
      </c>
      <c r="C16" s="12" t="n">
        <v>44616</v>
      </c>
      <c r="D16" s="12" t="n">
        <v>44985</v>
      </c>
      <c r="E16" s="12" t="n">
        <v>45351</v>
      </c>
      <c r="F16" s="12" t="n">
        <v>45715</v>
      </c>
      <c r="G16" s="12" t="n">
        <v>45715</v>
      </c>
    </row>
    <row r="17">
      <c r="A17" s="11" t="inlineStr">
        <is>
          <t>Spot Exchange Rate</t>
        </is>
      </c>
      <c r="B17" s="13" t="n">
        <v>1</v>
      </c>
      <c r="C17" s="13" t="n">
        <v>1</v>
      </c>
      <c r="D17" s="13" t="n">
        <v>1</v>
      </c>
      <c r="E17" s="13" t="n">
        <v>1</v>
      </c>
      <c r="F17" s="13" t="n">
        <v>1</v>
      </c>
      <c r="G17" s="13" t="n">
        <v>1</v>
      </c>
    </row>
    <row r="18">
      <c r="A18" s="11" t="inlineStr">
        <is>
          <t>Average Exchange Rate</t>
        </is>
      </c>
      <c r="B18" s="13" t="n">
        <v>1</v>
      </c>
      <c r="C18" s="13" t="n">
        <v>1</v>
      </c>
      <c r="D18" s="13" t="n">
        <v>1</v>
      </c>
      <c r="E18" s="13" t="n">
        <v>1</v>
      </c>
      <c r="F18" s="13" t="n">
        <v>1</v>
      </c>
      <c r="G18" s="13" t="n">
        <v>1</v>
      </c>
    </row>
    <row r="19">
      <c r="A19" s="11" t="inlineStr">
        <is>
          <t xml:space="preserve"> </t>
        </is>
      </c>
    </row>
    <row r="20">
      <c r="A20" s="11" t="inlineStr">
        <is>
          <t>(€000)</t>
        </is>
      </c>
    </row>
    <row r="21">
      <c r="A21" s="11" t="inlineStr">
        <is>
          <t>Revenue</t>
        </is>
      </c>
      <c r="B21" s="13" t="n">
        <v>259627</v>
      </c>
      <c r="C21" s="13" t="n">
        <v>269247</v>
      </c>
      <c r="D21" s="13" t="n">
        <v>428954</v>
      </c>
      <c r="E21" s="13" t="n">
        <v>463167</v>
      </c>
      <c r="F21" s="13" t="n">
        <v>629879</v>
      </c>
      <c r="G21" s="13" t="n">
        <v>633159</v>
      </c>
    </row>
    <row r="22">
      <c r="A22" s="11" t="inlineStr">
        <is>
          <t xml:space="preserve">        Total Revenue</t>
        </is>
      </c>
      <c r="B22" s="13" t="n">
        <v>259627</v>
      </c>
      <c r="C22" s="13" t="n">
        <v>269247</v>
      </c>
      <c r="D22" s="13" t="n">
        <v>428954</v>
      </c>
      <c r="E22" s="13" t="n">
        <v>463167</v>
      </c>
      <c r="F22" s="13" t="n">
        <v>629879</v>
      </c>
      <c r="G22" s="13" t="n">
        <v>633159</v>
      </c>
    </row>
    <row r="23">
      <c r="A23" s="11" t="inlineStr">
        <is>
          <t>Cost Of Goods Sold</t>
        </is>
      </c>
      <c r="B23" s="13" t="n">
        <v>150882</v>
      </c>
      <c r="C23" s="13" t="n">
        <v>160960</v>
      </c>
      <c r="D23" s="13" t="n">
        <v>247433</v>
      </c>
      <c r="E23" s="13" t="n">
        <v>267896</v>
      </c>
      <c r="F23" s="13" t="n">
        <v>350847</v>
      </c>
      <c r="G23" s="13" t="n">
        <v>370688</v>
      </c>
    </row>
    <row r="24">
      <c r="A24" s="11" t="inlineStr">
        <is>
          <t xml:space="preserve">        Gross Profit</t>
        </is>
      </c>
      <c r="B24" s="13" t="n">
        <v>108745</v>
      </c>
      <c r="C24" s="13" t="n">
        <v>108287</v>
      </c>
      <c r="D24" s="13" t="n">
        <v>181521</v>
      </c>
      <c r="E24" s="13" t="n">
        <v>195271</v>
      </c>
      <c r="F24" s="13" t="n">
        <v>279032</v>
      </c>
      <c r="G24" s="13" t="n">
        <v>262471</v>
      </c>
    </row>
    <row r="25">
      <c r="A25" s="11" t="inlineStr">
        <is>
          <t xml:space="preserve"> </t>
        </is>
      </c>
    </row>
    <row r="26">
      <c r="A26" s="11" t="inlineStr">
        <is>
          <t>Selling General &amp; Admin Exp.</t>
        </is>
      </c>
      <c r="B26" s="13" t="n">
        <v>26400</v>
      </c>
      <c r="C26" s="13" t="n">
        <v>27673</v>
      </c>
      <c r="D26" s="13" t="n">
        <v>34683</v>
      </c>
      <c r="E26" s="13" t="n">
        <v>40439</v>
      </c>
      <c r="F26" s="13" t="n">
        <v>46654</v>
      </c>
      <c r="G26" s="13" t="n">
        <v>46052</v>
      </c>
    </row>
    <row r="27">
      <c r="A27" s="11" t="inlineStr">
        <is>
          <t>R &amp; D Exp.</t>
        </is>
      </c>
      <c r="B27" s="13" t="n">
        <v>54955</v>
      </c>
      <c r="C27" s="13" t="n">
        <v>58379</v>
      </c>
      <c r="D27" s="13" t="n">
        <v>53211</v>
      </c>
      <c r="E27" s="13" t="n">
        <v>57726</v>
      </c>
      <c r="F27" s="13" t="n">
        <v>87681</v>
      </c>
      <c r="G27" s="13" t="n">
        <v>91365</v>
      </c>
    </row>
    <row r="28">
      <c r="A28" s="11" t="inlineStr">
        <is>
          <t>Other Operating Expense</t>
        </is>
      </c>
      <c r="B28" s="13" t="n">
        <v>-8951</v>
      </c>
      <c r="C28" s="13" t="n">
        <v>-10013</v>
      </c>
      <c r="D28" s="13" t="n">
        <v>-9316</v>
      </c>
      <c r="E28" s="13" t="n">
        <v>-5857</v>
      </c>
      <c r="F28" s="13" t="n">
        <v>-6686</v>
      </c>
      <c r="G28" s="13" t="n">
        <v>-6616</v>
      </c>
    </row>
    <row r="29">
      <c r="A29" s="11" t="inlineStr">
        <is>
          <t xml:space="preserve">        Other Operating Exp., Total</t>
        </is>
      </c>
      <c r="B29" s="13" t="n">
        <v>72404</v>
      </c>
      <c r="C29" s="13" t="n">
        <v>76039</v>
      </c>
      <c r="D29" s="13" t="n">
        <v>78578</v>
      </c>
      <c r="E29" s="13" t="n">
        <v>92308</v>
      </c>
      <c r="F29" s="13" t="n">
        <v>127649</v>
      </c>
      <c r="G29" s="13" t="n">
        <v>130801</v>
      </c>
    </row>
    <row r="30">
      <c r="A30" s="11" t="inlineStr">
        <is>
          <t xml:space="preserve">        Operating Income</t>
        </is>
      </c>
      <c r="B30" s="13" t="n">
        <v>36341</v>
      </c>
      <c r="C30" s="13" t="n">
        <v>32248</v>
      </c>
      <c r="D30" s="13" t="n">
        <v>102943</v>
      </c>
      <c r="E30" s="13" t="n">
        <v>102963</v>
      </c>
      <c r="F30" s="13" t="n">
        <v>151383</v>
      </c>
      <c r="G30" s="13" t="n">
        <v>131670</v>
      </c>
    </row>
    <row r="31">
      <c r="A31" s="11" t="inlineStr">
        <is>
          <t xml:space="preserve"> </t>
        </is>
      </c>
    </row>
    <row r="32">
      <c r="A32" s="11" t="inlineStr">
        <is>
          <t>Interest Expense</t>
        </is>
      </c>
      <c r="B32" s="13" t="n">
        <v>-143</v>
      </c>
      <c r="C32" s="13" t="n">
        <v>-104</v>
      </c>
      <c r="D32" s="13" t="n">
        <v>-279</v>
      </c>
      <c r="E32" s="13" t="n">
        <v>-356</v>
      </c>
      <c r="F32" s="13" t="n">
        <v>-205</v>
      </c>
      <c r="G32" s="13" t="n">
        <v>-429</v>
      </c>
    </row>
    <row r="33">
      <c r="A33" s="11" t="inlineStr">
        <is>
          <t>Interest and Invest. Income</t>
        </is>
      </c>
      <c r="B33" s="13" t="n">
        <v>865</v>
      </c>
      <c r="C33" s="13" t="n">
        <v>348</v>
      </c>
      <c r="D33" s="13" t="n">
        <v>232</v>
      </c>
      <c r="E33" s="13" t="n">
        <v>803</v>
      </c>
      <c r="F33" s="13" t="n">
        <v>1119</v>
      </c>
      <c r="G33" s="13" t="n">
        <v>1389</v>
      </c>
    </row>
    <row r="34">
      <c r="A34" s="11" t="inlineStr">
        <is>
          <t xml:space="preserve">        Net Interest Exp.</t>
        </is>
      </c>
      <c r="B34" s="13" t="n">
        <v>722</v>
      </c>
      <c r="C34" s="13" t="n">
        <v>244</v>
      </c>
      <c r="D34" s="13" t="n">
        <v>-47</v>
      </c>
      <c r="E34" s="13" t="n">
        <v>447</v>
      </c>
      <c r="F34" s="13" t="n">
        <v>914</v>
      </c>
      <c r="G34" s="13" t="n">
        <v>960</v>
      </c>
    </row>
    <row r="35">
      <c r="A35" s="11" t="inlineStr">
        <is>
          <t>Currency Exchange Gains</t>
        </is>
      </c>
      <c r="B35" s="13" t="n">
        <v>1264</v>
      </c>
      <c r="C35" s="13" t="n">
        <v>-795</v>
      </c>
      <c r="D35" s="13" t="n">
        <v>1160</v>
      </c>
      <c r="E35" s="13" t="n">
        <v>2794</v>
      </c>
      <c r="F35" s="13" t="n">
        <v>759</v>
      </c>
      <c r="G35" s="13" t="n">
        <v>-1340</v>
      </c>
    </row>
    <row r="36">
      <c r="A36" s="11" t="inlineStr">
        <is>
          <t xml:space="preserve">        EBT Excl Unusual Items</t>
        </is>
      </c>
      <c r="B36" s="13" t="n">
        <v>38327</v>
      </c>
      <c r="C36" s="13" t="n">
        <v>31697</v>
      </c>
      <c r="D36" s="13" t="n">
        <v>104056</v>
      </c>
      <c r="E36" s="13" t="n">
        <v>106204</v>
      </c>
      <c r="F36" s="13" t="n">
        <v>153056</v>
      </c>
      <c r="G36" s="13" t="n">
        <v>131290</v>
      </c>
    </row>
    <row r="37">
      <c r="A37" s="11" t="inlineStr">
        <is>
          <t>Restructuring Charges</t>
        </is>
      </c>
      <c r="B37" s="11" t="inlineStr">
        <is>
          <t>NA</t>
        </is>
      </c>
      <c r="C37" s="11" t="inlineStr">
        <is>
          <t>NA</t>
        </is>
      </c>
      <c r="D37" s="13" t="n">
        <v>-3888</v>
      </c>
      <c r="E37" s="11" t="inlineStr">
        <is>
          <t>NA</t>
        </is>
      </c>
      <c r="F37" s="11" t="inlineStr">
        <is>
          <t>NA</t>
        </is>
      </c>
      <c r="G37" s="11" t="inlineStr">
        <is>
          <t>NA</t>
        </is>
      </c>
    </row>
    <row r="38">
      <c r="A38" s="11" t="inlineStr">
        <is>
          <t>Gain (Loss) On Sale Of Invest.</t>
        </is>
      </c>
      <c r="B38" s="11" t="inlineStr">
        <is>
          <t>NA</t>
        </is>
      </c>
      <c r="C38" s="13" t="n">
        <v>-16</v>
      </c>
      <c r="D38" s="13" t="n">
        <v>-708</v>
      </c>
      <c r="E38" s="13" t="n">
        <v>-1047</v>
      </c>
      <c r="F38" s="13" t="n">
        <v>4846</v>
      </c>
      <c r="G38" s="13" t="n">
        <v>1042</v>
      </c>
    </row>
    <row r="39">
      <c r="A39" s="11" t="inlineStr">
        <is>
          <t>Gain (Loss) On Sale Of Assets</t>
        </is>
      </c>
      <c r="B39" s="13" t="n">
        <v>-35</v>
      </c>
      <c r="C39" s="13" t="n">
        <v>-51</v>
      </c>
      <c r="D39" s="13" t="n">
        <v>-83</v>
      </c>
      <c r="E39" s="13" t="n">
        <v>-14</v>
      </c>
      <c r="F39" s="13" t="n">
        <v>-221</v>
      </c>
      <c r="G39" s="13" t="n">
        <v>-139</v>
      </c>
    </row>
    <row r="40">
      <c r="A40" s="11" t="inlineStr">
        <is>
          <t>Asset Writedown</t>
        </is>
      </c>
      <c r="B40" s="11" t="inlineStr">
        <is>
          <t>NA</t>
        </is>
      </c>
      <c r="C40" s="13" t="n">
        <v>2909</v>
      </c>
      <c r="D40" s="13" t="n">
        <v>-456</v>
      </c>
      <c r="E40" s="11" t="inlineStr">
        <is>
          <t>NA</t>
        </is>
      </c>
      <c r="F40" s="11" t="inlineStr">
        <is>
          <t>NA</t>
        </is>
      </c>
      <c r="G40" s="11" t="inlineStr">
        <is>
          <t>NA</t>
        </is>
      </c>
    </row>
    <row r="41">
      <c r="A41" s="11" t="inlineStr">
        <is>
          <t>Insurance Settlements</t>
        </is>
      </c>
      <c r="B41" s="13" t="n">
        <v>1427</v>
      </c>
      <c r="C41" s="13" t="n">
        <v>535</v>
      </c>
      <c r="D41" s="13" t="n">
        <v>10</v>
      </c>
      <c r="E41" s="11" t="inlineStr">
        <is>
          <t>NA</t>
        </is>
      </c>
      <c r="F41" s="11" t="inlineStr">
        <is>
          <t>NA</t>
        </is>
      </c>
      <c r="G41" s="11" t="inlineStr">
        <is>
          <t>NA</t>
        </is>
      </c>
    </row>
    <row r="42">
      <c r="A42" s="11" t="inlineStr">
        <is>
          <t xml:space="preserve">        EBT Incl. Unusual Items</t>
        </is>
      </c>
      <c r="B42" s="13" t="n">
        <v>39719</v>
      </c>
      <c r="C42" s="13" t="n">
        <v>35074</v>
      </c>
      <c r="D42" s="13" t="n">
        <v>98931</v>
      </c>
      <c r="E42" s="13" t="n">
        <v>105143</v>
      </c>
      <c r="F42" s="13" t="n">
        <v>157681</v>
      </c>
      <c r="G42" s="13" t="n">
        <v>132193</v>
      </c>
    </row>
    <row r="43">
      <c r="A43" s="11" t="inlineStr">
        <is>
          <t xml:space="preserve"> </t>
        </is>
      </c>
    </row>
    <row r="44">
      <c r="A44" s="11" t="inlineStr">
        <is>
          <t>Income Tax Expense</t>
        </is>
      </c>
      <c r="B44" s="13" t="n">
        <v>7241</v>
      </c>
      <c r="C44" s="13" t="n">
        <v>604</v>
      </c>
      <c r="D44" s="13" t="n">
        <v>4092</v>
      </c>
      <c r="E44" s="13" t="n">
        <v>4671</v>
      </c>
      <c r="F44" s="13" t="n">
        <v>12492</v>
      </c>
      <c r="G44" s="13" t="n">
        <v>25945</v>
      </c>
    </row>
    <row r="45">
      <c r="A45" s="11" t="inlineStr">
        <is>
          <t xml:space="preserve">        Earnings from Cont. Ops.</t>
        </is>
      </c>
      <c r="B45" s="13" t="n">
        <v>32478</v>
      </c>
      <c r="C45" s="13" t="n">
        <v>34470</v>
      </c>
      <c r="D45" s="13" t="n">
        <v>94839</v>
      </c>
      <c r="E45" s="13" t="n">
        <v>100472</v>
      </c>
      <c r="F45" s="13" t="n">
        <v>145189</v>
      </c>
      <c r="G45" s="13" t="n">
        <v>106248</v>
      </c>
    </row>
    <row r="46">
      <c r="A46" s="11" t="inlineStr">
        <is>
          <t xml:space="preserve">        Net Income to Company</t>
        </is>
      </c>
      <c r="B46" s="13" t="n">
        <v>32478</v>
      </c>
      <c r="C46" s="13" t="n">
        <v>34470</v>
      </c>
      <c r="D46" s="13" t="n">
        <v>94839</v>
      </c>
      <c r="E46" s="13" t="n">
        <v>100472</v>
      </c>
      <c r="F46" s="13" t="n">
        <v>145189</v>
      </c>
      <c r="G46" s="13" t="n">
        <v>106248</v>
      </c>
    </row>
    <row r="47">
      <c r="A47" s="11" t="inlineStr">
        <is>
          <t>Minority Int. in Earnings</t>
        </is>
      </c>
      <c r="B47" s="13" t="n">
        <v>355</v>
      </c>
      <c r="C47" s="13" t="n">
        <v>409</v>
      </c>
      <c r="D47" s="13" t="n">
        <v>821</v>
      </c>
      <c r="E47" s="13" t="n">
        <v>-35</v>
      </c>
      <c r="F47" s="13" t="n">
        <v>-4</v>
      </c>
      <c r="G47" s="13" t="n">
        <v>35</v>
      </c>
    </row>
    <row r="48">
      <c r="A48" s="11" t="inlineStr">
        <is>
          <t xml:space="preserve">        Net Income</t>
        </is>
      </c>
      <c r="B48" s="13" t="n">
        <v>32833</v>
      </c>
      <c r="C48" s="13" t="n">
        <v>34879</v>
      </c>
      <c r="D48" s="13" t="n">
        <v>95660</v>
      </c>
      <c r="E48" s="13" t="n">
        <v>100437</v>
      </c>
      <c r="F48" s="13" t="n">
        <v>145185</v>
      </c>
      <c r="G48" s="13" t="n">
        <v>106283</v>
      </c>
    </row>
    <row r="49">
      <c r="A49" s="11" t="inlineStr">
        <is>
          <t xml:space="preserve">        NI to Common Incl Extra Items</t>
        </is>
      </c>
      <c r="B49" s="13" t="n">
        <v>32833</v>
      </c>
      <c r="C49" s="13" t="n">
        <v>34879</v>
      </c>
      <c r="D49" s="13" t="n">
        <v>95660</v>
      </c>
      <c r="E49" s="13" t="n">
        <v>100437</v>
      </c>
      <c r="F49" s="13" t="n">
        <v>145185</v>
      </c>
      <c r="G49" s="13" t="n">
        <v>106283</v>
      </c>
    </row>
    <row r="50">
      <c r="A50" s="11" t="inlineStr">
        <is>
          <t xml:space="preserve">        NI to Common Excl. Extra Items</t>
        </is>
      </c>
      <c r="B50" s="13" t="n">
        <v>32833</v>
      </c>
      <c r="C50" s="13" t="n">
        <v>34879</v>
      </c>
      <c r="D50" s="13" t="n">
        <v>95660</v>
      </c>
      <c r="E50" s="13" t="n">
        <v>100437</v>
      </c>
      <c r="F50" s="13" t="n">
        <v>145185</v>
      </c>
      <c r="G50" s="13" t="n">
        <v>106283</v>
      </c>
    </row>
    <row r="51">
      <c r="A51" s="11" t="inlineStr">
        <is>
          <t>Per Share Items (€)</t>
        </is>
      </c>
    </row>
    <row r="52">
      <c r="A52" s="11" t="inlineStr">
        <is>
          <t>Basic EPS</t>
        </is>
      </c>
      <c r="B52" s="13" t="n">
        <v>0.294</v>
      </c>
      <c r="C52" s="13" t="n">
        <v>0.312</v>
      </c>
      <c r="D52" s="13" t="n">
        <v>0.854</v>
      </c>
      <c r="E52" s="13" t="n">
        <v>0.894</v>
      </c>
      <c r="F52" s="13" t="n">
        <v>1.291</v>
      </c>
      <c r="G52" s="13" t="n">
        <v>0.944</v>
      </c>
    </row>
    <row r="53">
      <c r="A53" s="11" t="inlineStr">
        <is>
          <t>Basic EPS Excl. Extra Items</t>
        </is>
      </c>
      <c r="B53" s="13" t="n">
        <v>0.294</v>
      </c>
      <c r="C53" s="13" t="n">
        <v>0.312</v>
      </c>
      <c r="D53" s="13" t="n">
        <v>0.854</v>
      </c>
      <c r="E53" s="13" t="n">
        <v>0.894</v>
      </c>
      <c r="F53" s="13" t="n">
        <v>1.291</v>
      </c>
      <c r="G53" s="13" t="n">
        <v>0.944</v>
      </c>
    </row>
    <row r="54">
      <c r="A54" s="11" t="inlineStr">
        <is>
          <t>Weighted Avg. Basic Shares Out. (actual)</t>
        </is>
      </c>
      <c r="B54" s="13" t="n">
        <v>111840015</v>
      </c>
      <c r="C54" s="13" t="n">
        <v>111840146</v>
      </c>
      <c r="D54" s="13" t="n">
        <v>112056282</v>
      </c>
      <c r="E54" s="13" t="n">
        <v>112297083</v>
      </c>
      <c r="F54" s="13" t="n">
        <v>112465961</v>
      </c>
      <c r="G54" s="13" t="n">
        <v>112621622</v>
      </c>
    </row>
    <row r="55">
      <c r="A55" s="11" t="inlineStr">
        <is>
          <t>Diluted EPS Incl. Extra Items</t>
        </is>
      </c>
      <c r="B55" s="13" t="n">
        <v>0.29</v>
      </c>
      <c r="C55" s="13" t="n">
        <v>0.31</v>
      </c>
      <c r="D55" s="13" t="n">
        <v>0.85</v>
      </c>
      <c r="E55" s="13" t="n">
        <v>0.89</v>
      </c>
      <c r="F55" s="13" t="n">
        <v>1.29</v>
      </c>
      <c r="G55" s="13" t="n">
        <v>0.9399999999999999</v>
      </c>
    </row>
    <row r="56">
      <c r="A56" s="11" t="inlineStr">
        <is>
          <t>Diluted EPS Excl. Extra Items</t>
        </is>
      </c>
      <c r="B56" s="13" t="n">
        <v>0.29</v>
      </c>
      <c r="C56" s="13" t="n">
        <v>0.31</v>
      </c>
      <c r="D56" s="13" t="n">
        <v>0.85</v>
      </c>
      <c r="E56" s="13" t="n">
        <v>0.89</v>
      </c>
      <c r="F56" s="13" t="n">
        <v>1.29</v>
      </c>
      <c r="G56" s="13" t="n">
        <v>0.9399999999999999</v>
      </c>
    </row>
    <row r="57">
      <c r="A57" s="11" t="inlineStr">
        <is>
          <t>Weighted Avg. Diluted Shares Out. (actual)</t>
        </is>
      </c>
      <c r="B57" s="13" t="n">
        <v>111840015</v>
      </c>
      <c r="C57" s="13" t="n">
        <v>111887161</v>
      </c>
      <c r="D57" s="13" t="n">
        <v>112104323</v>
      </c>
      <c r="E57" s="13" t="n">
        <v>112354397</v>
      </c>
      <c r="F57" s="13" t="n">
        <v>112497842</v>
      </c>
      <c r="G57" s="13" t="n">
        <v>112621622</v>
      </c>
    </row>
    <row r="58">
      <c r="A58" s="11" t="inlineStr">
        <is>
          <t>Normalized Basic EPS</t>
        </is>
      </c>
      <c r="B58" s="13" t="n">
        <v>0.217</v>
      </c>
      <c r="C58" s="13" t="n">
        <v>0.181</v>
      </c>
      <c r="D58" s="13" t="n">
        <v>0.588</v>
      </c>
      <c r="E58" s="13" t="n">
        <v>0.591</v>
      </c>
      <c r="F58" s="13" t="n">
        <v>0.851</v>
      </c>
      <c r="G58" s="13" t="n">
        <v>0.729</v>
      </c>
    </row>
    <row r="59">
      <c r="A59" s="11" t="inlineStr">
        <is>
          <t>Normalized Diluted EPS</t>
        </is>
      </c>
      <c r="B59" s="13" t="n">
        <v>0.217</v>
      </c>
      <c r="C59" s="13" t="n">
        <v>0.181</v>
      </c>
      <c r="D59" s="13" t="n">
        <v>0.587</v>
      </c>
      <c r="E59" s="13" t="n">
        <v>0.59</v>
      </c>
      <c r="F59" s="13" t="n">
        <v>0.85</v>
      </c>
      <c r="G59" s="13" t="n">
        <v>0.729</v>
      </c>
    </row>
    <row r="60">
      <c r="A60" s="11" t="inlineStr">
        <is>
          <t>Dividends per Share</t>
        </is>
      </c>
      <c r="B60" s="11" t="inlineStr">
        <is>
          <t>NA</t>
        </is>
      </c>
      <c r="C60" s="13" t="n">
        <v>0.11</v>
      </c>
      <c r="D60" s="13" t="n">
        <v>0.3</v>
      </c>
      <c r="E60" s="13" t="n">
        <v>0.31</v>
      </c>
      <c r="F60" s="13" t="n">
        <v>0.4</v>
      </c>
      <c r="G60" s="13" t="n">
        <v>0.15</v>
      </c>
    </row>
    <row r="61">
      <c r="A61" s="11" t="inlineStr">
        <is>
          <t>Payout Ratio (%)</t>
        </is>
      </c>
      <c r="B61" s="11" t="inlineStr">
        <is>
          <t>NA</t>
        </is>
      </c>
      <c r="C61" s="11" t="inlineStr">
        <is>
          <t>NA</t>
        </is>
      </c>
      <c r="D61" s="13" t="n">
        <v>12.861</v>
      </c>
      <c r="E61" s="13" t="n">
        <v>33.516</v>
      </c>
      <c r="F61" s="13" t="n">
        <v>23.996</v>
      </c>
      <c r="G61" s="13" t="n">
        <v>42.371</v>
      </c>
    </row>
    <row r="62">
      <c r="A62" s="11" t="inlineStr">
        <is>
          <t>Shares per Depositary Receipt (actual)</t>
        </is>
      </c>
      <c r="B62" s="13" t="n">
        <v>2</v>
      </c>
      <c r="C62" s="13" t="n">
        <v>2</v>
      </c>
      <c r="D62" s="13" t="n">
        <v>2</v>
      </c>
      <c r="E62" s="13" t="n">
        <v>2</v>
      </c>
      <c r="F62" s="13" t="n">
        <v>2</v>
      </c>
      <c r="G62" s="13" t="n">
        <v>2</v>
      </c>
    </row>
    <row r="63">
      <c r="A63" s="11" t="inlineStr">
        <is>
          <t>Supplemental Items (€000)</t>
        </is>
      </c>
    </row>
    <row r="64">
      <c r="A64" s="11" t="inlineStr">
        <is>
          <t>EBITDA</t>
        </is>
      </c>
      <c r="B64" s="13" t="n">
        <v>45297</v>
      </c>
      <c r="C64" s="13" t="n">
        <v>41024</v>
      </c>
      <c r="D64" s="13" t="n">
        <v>110862</v>
      </c>
      <c r="E64" s="13" t="n">
        <v>110363</v>
      </c>
      <c r="F64" s="13" t="n">
        <v>161057</v>
      </c>
      <c r="G64" s="13" t="n">
        <v>143830</v>
      </c>
    </row>
    <row r="65">
      <c r="A65" s="11" t="inlineStr">
        <is>
          <t>EBITA</t>
        </is>
      </c>
      <c r="B65" s="13" t="n">
        <v>37363</v>
      </c>
      <c r="C65" s="13" t="n">
        <v>33179</v>
      </c>
      <c r="D65" s="13" t="n">
        <v>104118</v>
      </c>
      <c r="E65" s="13" t="n">
        <v>104156</v>
      </c>
      <c r="F65" s="13" t="n">
        <v>152691</v>
      </c>
      <c r="G65" s="13" t="n">
        <v>133282</v>
      </c>
    </row>
    <row r="66">
      <c r="A66" s="11" t="inlineStr">
        <is>
          <t>EBIT</t>
        </is>
      </c>
      <c r="B66" s="13" t="n">
        <v>36341</v>
      </c>
      <c r="C66" s="13" t="n">
        <v>32248</v>
      </c>
      <c r="D66" s="13" t="n">
        <v>102943</v>
      </c>
      <c r="E66" s="13" t="n">
        <v>102963</v>
      </c>
      <c r="F66" s="13" t="n">
        <v>151383</v>
      </c>
      <c r="G66" s="13" t="n">
        <v>131670</v>
      </c>
    </row>
    <row r="67">
      <c r="A67" s="11" t="inlineStr">
        <is>
          <t>EBITDAR</t>
        </is>
      </c>
      <c r="B67" s="13" t="n">
        <v>45947</v>
      </c>
      <c r="C67" s="13" t="n">
        <v>41273</v>
      </c>
      <c r="D67" s="13" t="n">
        <v>111130</v>
      </c>
      <c r="E67" s="13" t="n">
        <v>110802</v>
      </c>
      <c r="F67" s="13" t="n">
        <v>161394</v>
      </c>
      <c r="G67" s="13" t="n">
        <v>144122</v>
      </c>
    </row>
    <row r="68">
      <c r="A68" s="11" t="inlineStr">
        <is>
          <t>Effective Tax Rate (%)</t>
        </is>
      </c>
      <c r="B68" s="13" t="n">
        <v>18.231</v>
      </c>
      <c r="C68" s="13" t="n">
        <v>1.722</v>
      </c>
      <c r="D68" s="13" t="n">
        <v>4.136</v>
      </c>
      <c r="E68" s="13" t="n">
        <v>4.443</v>
      </c>
      <c r="F68" s="13" t="n">
        <v>7.922</v>
      </c>
      <c r="G68" s="13" t="n">
        <v>19.627</v>
      </c>
    </row>
    <row r="69">
      <c r="A69" s="11" t="inlineStr">
        <is>
          <t>Total Current Taxes</t>
        </is>
      </c>
      <c r="B69" s="13" t="n">
        <v>5584</v>
      </c>
      <c r="C69" s="13" t="n">
        <v>3914</v>
      </c>
      <c r="D69" s="13" t="n">
        <v>13635</v>
      </c>
      <c r="E69" s="13" t="n">
        <v>13878</v>
      </c>
      <c r="F69" s="13" t="n">
        <v>19710</v>
      </c>
      <c r="G69" s="13" t="n">
        <v>18496</v>
      </c>
    </row>
    <row r="70">
      <c r="A70" s="11" t="inlineStr">
        <is>
          <t>Total Deferred Taxes</t>
        </is>
      </c>
      <c r="B70" s="13" t="n">
        <v>1657</v>
      </c>
      <c r="C70" s="13" t="n">
        <v>-3310</v>
      </c>
      <c r="D70" s="13" t="n">
        <v>-9543</v>
      </c>
      <c r="E70" s="13" t="n">
        <v>-9207</v>
      </c>
      <c r="F70" s="13" t="n">
        <v>-7218</v>
      </c>
      <c r="G70" s="13" t="n">
        <v>7449</v>
      </c>
    </row>
    <row r="71">
      <c r="A71" s="11" t="inlineStr">
        <is>
          <t>Normalized Net Income</t>
        </is>
      </c>
      <c r="B71" s="13" t="n">
        <v>24309.375</v>
      </c>
      <c r="C71" s="13" t="n">
        <v>20219.625</v>
      </c>
      <c r="D71" s="13" t="n">
        <v>65856</v>
      </c>
      <c r="E71" s="13" t="n">
        <v>66342.5</v>
      </c>
      <c r="F71" s="13" t="n">
        <v>95656</v>
      </c>
      <c r="G71" s="13" t="n">
        <v>82091.25</v>
      </c>
    </row>
    <row r="72">
      <c r="A72" s="11" t="inlineStr">
        <is>
          <t>Interest on Long-term Debt</t>
        </is>
      </c>
      <c r="B72" s="13" t="n">
        <v>87</v>
      </c>
      <c r="C72" s="13" t="n">
        <v>69</v>
      </c>
      <c r="D72" s="13" t="n">
        <v>107</v>
      </c>
      <c r="E72" s="13" t="n">
        <v>139</v>
      </c>
      <c r="F72" s="13" t="n">
        <v>187</v>
      </c>
      <c r="G72" s="13" t="n">
        <v>165</v>
      </c>
    </row>
    <row r="73">
      <c r="A73" s="11" t="inlineStr">
        <is>
          <t>Supplemental Operating Expense Items (€000)</t>
        </is>
      </c>
    </row>
    <row r="74">
      <c r="A74" s="11" t="inlineStr">
        <is>
          <t>Selling and Marketing Expense</t>
        </is>
      </c>
      <c r="B74" s="13" t="n">
        <v>9945</v>
      </c>
      <c r="C74" s="13" t="n">
        <v>9723</v>
      </c>
      <c r="D74" s="13" t="n">
        <v>10005</v>
      </c>
      <c r="E74" s="13" t="n">
        <v>11223</v>
      </c>
      <c r="F74" s="13" t="n">
        <v>14082</v>
      </c>
      <c r="G74" s="13" t="n">
        <v>14182</v>
      </c>
    </row>
    <row r="75">
      <c r="A75" s="11" t="inlineStr">
        <is>
          <t>General and Administrative Expense</t>
        </is>
      </c>
      <c r="B75" s="13" t="n">
        <v>16455</v>
      </c>
      <c r="C75" s="13" t="n">
        <v>17950</v>
      </c>
      <c r="D75" s="13" t="n">
        <v>24678</v>
      </c>
      <c r="E75" s="13" t="n">
        <v>29216</v>
      </c>
      <c r="F75" s="13" t="n">
        <v>32572</v>
      </c>
      <c r="G75" s="13" t="n">
        <v>31870</v>
      </c>
    </row>
    <row r="76">
      <c r="A76" s="11" t="inlineStr">
        <is>
          <t>R&amp;D Expense</t>
        </is>
      </c>
      <c r="B76" s="13" t="n">
        <v>54955</v>
      </c>
      <c r="C76" s="13" t="n">
        <v>58379</v>
      </c>
      <c r="D76" s="13" t="n">
        <v>56809</v>
      </c>
      <c r="E76" s="13" t="n">
        <v>57726</v>
      </c>
      <c r="F76" s="13" t="n">
        <v>87681</v>
      </c>
      <c r="G76" s="13" t="n">
        <v>91365</v>
      </c>
    </row>
    <row r="77">
      <c r="A77" s="11" t="inlineStr">
        <is>
          <t>Net Rental Expense, Total</t>
        </is>
      </c>
      <c r="B77" s="13" t="n">
        <v>650</v>
      </c>
      <c r="C77" s="13" t="n">
        <v>249</v>
      </c>
      <c r="D77" s="13" t="n">
        <v>268</v>
      </c>
      <c r="E77" s="13" t="n">
        <v>439</v>
      </c>
      <c r="F77" s="13" t="n">
        <v>337</v>
      </c>
      <c r="G77" s="13" t="n">
        <v>292</v>
      </c>
    </row>
    <row r="78">
      <c r="A78" s="11" t="inlineStr">
        <is>
          <t>Imputed Oper. Lease Interest Exp.</t>
        </is>
      </c>
      <c r="B78" s="11" t="inlineStr">
        <is>
          <t>NA</t>
        </is>
      </c>
      <c r="C78" s="13" t="n">
        <v>61.264</v>
      </c>
      <c r="D78" s="13" t="n">
        <v>156.876</v>
      </c>
      <c r="E78" s="13" t="n">
        <v>202.667</v>
      </c>
      <c r="F78" s="13" t="n">
        <v>80.80500000000001</v>
      </c>
      <c r="G78" s="13" t="n">
        <v>181.432</v>
      </c>
    </row>
    <row r="79">
      <c r="A79" s="11" t="inlineStr">
        <is>
          <t>Imputed Oper. Lease Depreciation</t>
        </is>
      </c>
      <c r="B79" s="11" t="inlineStr">
        <is>
          <t>NA</t>
        </is>
      </c>
      <c r="C79" s="13" t="n">
        <v>187.736</v>
      </c>
      <c r="D79" s="13" t="n">
        <v>111.124</v>
      </c>
      <c r="E79" s="13" t="n">
        <v>236.333</v>
      </c>
      <c r="F79" s="13" t="n">
        <v>256.195</v>
      </c>
      <c r="G79" s="13" t="n">
        <v>110.568</v>
      </c>
    </row>
    <row r="80">
      <c r="A80" s="11" t="inlineStr">
        <is>
          <t>Stock-Based Comp., Unallocated</t>
        </is>
      </c>
      <c r="B80" s="13" t="n">
        <v>889</v>
      </c>
      <c r="C80" s="13" t="n">
        <v>1129</v>
      </c>
      <c r="D80" s="13" t="n">
        <v>3860</v>
      </c>
      <c r="E80" s="13" t="n">
        <v>4441</v>
      </c>
      <c r="F80" s="13" t="n">
        <v>4762</v>
      </c>
      <c r="G80" s="13" t="n">
        <v>4528</v>
      </c>
    </row>
    <row r="81">
      <c r="A81" s="11" t="inlineStr">
        <is>
          <t xml:space="preserve">        Stock-Based Comp., Total</t>
        </is>
      </c>
      <c r="B81" s="13" t="n">
        <v>889</v>
      </c>
      <c r="C81" s="13" t="n">
        <v>1129</v>
      </c>
      <c r="D81" s="13" t="n">
        <v>3860</v>
      </c>
      <c r="E81" s="13" t="n">
        <v>4441</v>
      </c>
      <c r="F81" s="13" t="n">
        <v>4762</v>
      </c>
      <c r="G81" s="13" t="n">
        <v>4528</v>
      </c>
    </row>
    <row r="82">
      <c r="A82" s="11" t="inlineStr">
        <is>
          <t>CIQ Restatement Type Code</t>
        </is>
      </c>
      <c r="B82" s="11" t="inlineStr">
        <is>
          <t>NC</t>
        </is>
      </c>
      <c r="C82" s="11" t="inlineStr">
        <is>
          <t>NC</t>
        </is>
      </c>
      <c r="D82" s="11" t="inlineStr">
        <is>
          <t>NC</t>
        </is>
      </c>
      <c r="E82" s="11" t="inlineStr">
        <is>
          <t>RC</t>
        </is>
      </c>
      <c r="F82" s="11" t="inlineStr">
        <is>
          <t>NC</t>
        </is>
      </c>
      <c r="G82" s="11" t="inlineStr">
        <is>
          <t>O</t>
        </is>
      </c>
    </row>
    <row r="83">
      <c r="A83" s="11" t="inlineStr">
        <is>
          <t>CIQ Calculation Type Code</t>
        </is>
      </c>
      <c r="B83" s="11" t="inlineStr">
        <is>
          <t>REP</t>
        </is>
      </c>
      <c r="C83" s="11" t="inlineStr">
        <is>
          <t>REP</t>
        </is>
      </c>
      <c r="D83" s="11" t="inlineStr">
        <is>
          <t>REP</t>
        </is>
      </c>
      <c r="E83" s="11" t="inlineStr">
        <is>
          <t>REP</t>
        </is>
      </c>
      <c r="F83" s="11" t="inlineStr">
        <is>
          <t>REP</t>
        </is>
      </c>
      <c r="G83" s="11" t="inlineStr">
        <is>
          <t>REP</t>
        </is>
      </c>
    </row>
    <row r="84">
      <c r="A84" s="11" t="inlineStr">
        <is>
          <t>Options Outstanding</t>
        </is>
      </c>
    </row>
    <row r="85">
      <c r="A85" s="11" t="inlineStr">
        <is>
          <t>Options Out. at the Begin of Period, Common Stock</t>
        </is>
      </c>
      <c r="B85" s="13" t="n">
        <v>1338000</v>
      </c>
      <c r="C85" s="13" t="n">
        <v>995450</v>
      </c>
      <c r="D85" s="13" t="n">
        <v>601600</v>
      </c>
      <c r="E85" s="13" t="n">
        <v>182500</v>
      </c>
      <c r="F85" s="13" t="n">
        <v>112100</v>
      </c>
      <c r="G85" s="13" t="n">
        <v>48300</v>
      </c>
    </row>
    <row r="86">
      <c r="A86" s="11" t="inlineStr">
        <is>
          <t>Options Exercised During the Period, Common Stock</t>
        </is>
      </c>
      <c r="B86" s="11" t="inlineStr">
        <is>
          <t>NA</t>
        </is>
      </c>
      <c r="C86" s="11" t="inlineStr">
        <is>
          <t>NA</t>
        </is>
      </c>
      <c r="D86" s="13" t="n">
        <v>364700</v>
      </c>
      <c r="E86" s="13" t="n">
        <v>56400</v>
      </c>
      <c r="F86" s="13" t="n">
        <v>62600</v>
      </c>
      <c r="G86" s="13" t="n">
        <v>45100</v>
      </c>
    </row>
    <row r="87">
      <c r="A87" s="11" t="inlineStr">
        <is>
          <t>Options Cancelled During the Period, Common Stock</t>
        </is>
      </c>
      <c r="B87" s="13" t="n">
        <v>342550</v>
      </c>
      <c r="C87" s="13" t="n">
        <v>393850</v>
      </c>
      <c r="D87" s="13" t="n">
        <v>54400</v>
      </c>
      <c r="E87" s="13" t="n">
        <v>14000</v>
      </c>
      <c r="F87" s="13" t="n">
        <v>1200</v>
      </c>
      <c r="G87" s="13" t="n">
        <v>3200</v>
      </c>
    </row>
    <row r="88">
      <c r="A88" s="11" t="inlineStr">
        <is>
          <t>Options Out. at the End of Period, Common Stock</t>
        </is>
      </c>
      <c r="B88" s="13" t="n">
        <v>995450</v>
      </c>
      <c r="C88" s="13" t="n">
        <v>601600</v>
      </c>
      <c r="D88" s="13" t="n">
        <v>182500</v>
      </c>
      <c r="E88" s="13" t="n">
        <v>112100</v>
      </c>
      <c r="F88" s="13" t="n">
        <v>48300</v>
      </c>
      <c r="G88" s="11" t="inlineStr">
        <is>
          <t>NA</t>
        </is>
      </c>
    </row>
    <row r="89">
      <c r="A89" s="11" t="inlineStr">
        <is>
          <t>Options Wtd Avg Strike Price of Outstd, Comm Stock (€)</t>
        </is>
      </c>
      <c r="B89" s="13" t="n">
        <v>17.84</v>
      </c>
      <c r="C89" s="13" t="n">
        <v>13.15</v>
      </c>
      <c r="D89" s="13" t="n">
        <v>13.16</v>
      </c>
      <c r="E89" s="13" t="n">
        <v>13.14</v>
      </c>
      <c r="F89" s="13" t="n">
        <v>13.14</v>
      </c>
      <c r="G89" s="13" t="n">
        <v>13.14</v>
      </c>
    </row>
    <row r="90">
      <c r="A90" s="11" t="inlineStr">
        <is>
          <t>Options Outstanding - All Classes</t>
        </is>
      </c>
    </row>
    <row r="91">
      <c r="A91" s="11" t="inlineStr">
        <is>
          <t>Options Out. at the Beginning of the Period, Total</t>
        </is>
      </c>
      <c r="B91" s="13" t="n">
        <v>1338000</v>
      </c>
      <c r="C91" s="13" t="n">
        <v>995450</v>
      </c>
      <c r="D91" s="13" t="n">
        <v>601600</v>
      </c>
      <c r="E91" s="13" t="n">
        <v>182500</v>
      </c>
      <c r="F91" s="13" t="n">
        <v>112100</v>
      </c>
      <c r="G91" s="13" t="n">
        <v>48300</v>
      </c>
    </row>
    <row r="92">
      <c r="A92" s="11" t="inlineStr">
        <is>
          <t>Options Exercised During the Period, Total</t>
        </is>
      </c>
      <c r="B92" s="11" t="inlineStr">
        <is>
          <t>NA</t>
        </is>
      </c>
      <c r="C92" s="11" t="inlineStr">
        <is>
          <t>NA</t>
        </is>
      </c>
      <c r="D92" s="13" t="n">
        <v>364700</v>
      </c>
      <c r="E92" s="13" t="n">
        <v>56400</v>
      </c>
      <c r="F92" s="13" t="n">
        <v>62600</v>
      </c>
      <c r="G92" s="13" t="n">
        <v>45100</v>
      </c>
    </row>
    <row r="93">
      <c r="A93" s="11" t="inlineStr">
        <is>
          <t>Options Cancelled During the Period, Total</t>
        </is>
      </c>
      <c r="B93" s="13" t="n">
        <v>342550</v>
      </c>
      <c r="C93" s="13" t="n">
        <v>393850</v>
      </c>
      <c r="D93" s="13" t="n">
        <v>54400</v>
      </c>
      <c r="E93" s="13" t="n">
        <v>14000</v>
      </c>
      <c r="F93" s="13" t="n">
        <v>1200</v>
      </c>
      <c r="G93" s="13" t="n">
        <v>3200</v>
      </c>
    </row>
    <row r="94">
      <c r="A94" s="11" t="inlineStr">
        <is>
          <t>Options Out. at the End of the Period, Total</t>
        </is>
      </c>
      <c r="B94" s="13" t="n">
        <v>995450</v>
      </c>
      <c r="C94" s="13" t="n">
        <v>601600</v>
      </c>
      <c r="D94" s="13" t="n">
        <v>182500</v>
      </c>
      <c r="E94" s="13" t="n">
        <v>112100</v>
      </c>
      <c r="F94" s="13" t="n">
        <v>48300</v>
      </c>
      <c r="G94" s="11" t="inlineStr">
        <is>
          <t>NA</t>
        </is>
      </c>
    </row>
    <row r="95">
      <c r="A95" s="11" t="inlineStr">
        <is>
          <t>Stock Based Compensation (€000)</t>
        </is>
      </c>
    </row>
    <row r="96">
      <c r="A96" s="11" t="inlineStr">
        <is>
          <t>Stock Options Comp. Exp., Before Tax</t>
        </is>
      </c>
      <c r="B96" s="13" t="n">
        <v>889</v>
      </c>
      <c r="C96" s="13" t="n">
        <v>1129</v>
      </c>
      <c r="D96" s="13" t="n">
        <v>3860</v>
      </c>
      <c r="E96" s="13" t="n">
        <v>4441</v>
      </c>
      <c r="F96" s="13" t="n">
        <v>4762</v>
      </c>
      <c r="G96" s="13" t="n">
        <v>4528</v>
      </c>
    </row>
    <row r="97">
      <c r="A97" s="11" t="inlineStr">
        <is>
          <t>Stock Based Comp. Exp., Before Tax</t>
        </is>
      </c>
      <c r="B97" s="13" t="n">
        <v>889</v>
      </c>
      <c r="C97" s="13" t="n">
        <v>1129</v>
      </c>
      <c r="D97" s="13" t="n">
        <v>3860</v>
      </c>
      <c r="E97" s="13" t="n">
        <v>4441</v>
      </c>
      <c r="F97" s="13" t="n">
        <v>4762</v>
      </c>
      <c r="G97" s="13" t="n">
        <v>4528</v>
      </c>
    </row>
    <row r="100">
      <c r="A100" s="11" t="inlineStr">
        <is>
          <t>Recommended: S&amp;P Capital IQ - Standard</t>
        </is>
      </c>
      <c r="B100" s="11" t="inlineStr">
        <is>
          <t>2019 FY</t>
        </is>
      </c>
      <c r="C100" s="11" t="inlineStr">
        <is>
          <t>2020 FY</t>
        </is>
      </c>
      <c r="D100" s="11" t="inlineStr">
        <is>
          <t>2021 FY</t>
        </is>
      </c>
      <c r="E100" s="11" t="inlineStr">
        <is>
          <t>2022 FY</t>
        </is>
      </c>
      <c r="F100" s="11" t="inlineStr">
        <is>
          <t>2023 FY</t>
        </is>
      </c>
      <c r="G100" s="11" t="inlineStr">
        <is>
          <t>2024 FY</t>
        </is>
      </c>
    </row>
    <row r="101">
      <c r="A101" s="11" t="inlineStr">
        <is>
          <t xml:space="preserve"> </t>
        </is>
      </c>
      <c r="B101" s="11" t="inlineStr">
        <is>
          <t>Current/Restated</t>
        </is>
      </c>
      <c r="C101" s="11" t="inlineStr">
        <is>
          <t>Current/Restated</t>
        </is>
      </c>
      <c r="D101" s="11" t="inlineStr">
        <is>
          <t>Current/Restated</t>
        </is>
      </c>
      <c r="E101" s="11" t="inlineStr">
        <is>
          <t>Current/Restated</t>
        </is>
      </c>
      <c r="F101" s="11" t="inlineStr">
        <is>
          <t>Current/Restated</t>
        </is>
      </c>
      <c r="G101" s="11" t="inlineStr">
        <is>
          <t>Current/Restated</t>
        </is>
      </c>
    </row>
    <row r="102">
      <c r="A102" s="11" t="inlineStr">
        <is>
          <t>Period Ended</t>
        </is>
      </c>
      <c r="B102" s="12" t="n">
        <v>43830</v>
      </c>
      <c r="C102" s="12" t="n">
        <v>44196</v>
      </c>
      <c r="D102" s="12" t="n">
        <v>44561</v>
      </c>
      <c r="E102" s="12" t="n">
        <v>44926</v>
      </c>
      <c r="F102" s="12" t="n">
        <v>45291</v>
      </c>
      <c r="G102" s="12" t="n">
        <v>45657</v>
      </c>
    </row>
    <row r="103">
      <c r="A103" s="11" t="inlineStr">
        <is>
          <t>Financial Filing Date</t>
        </is>
      </c>
      <c r="B103" s="12" t="n">
        <v>44252</v>
      </c>
      <c r="C103" s="12" t="n">
        <v>44616</v>
      </c>
      <c r="D103" s="12" t="n">
        <v>44985</v>
      </c>
      <c r="E103" s="12" t="n">
        <v>45351</v>
      </c>
      <c r="F103" s="12" t="n">
        <v>45715</v>
      </c>
      <c r="G103" s="12" t="n">
        <v>45715</v>
      </c>
    </row>
    <row r="104">
      <c r="A104" s="11" t="inlineStr">
        <is>
          <t>Spot Exchange Rate</t>
        </is>
      </c>
      <c r="B104" s="13" t="n">
        <v>1</v>
      </c>
      <c r="C104" s="13" t="n">
        <v>1</v>
      </c>
      <c r="D104" s="13" t="n">
        <v>1</v>
      </c>
      <c r="E104" s="13" t="n">
        <v>1</v>
      </c>
      <c r="F104" s="13" t="n">
        <v>1</v>
      </c>
      <c r="G104" s="13" t="n">
        <v>1</v>
      </c>
    </row>
    <row r="105">
      <c r="A105" s="11" t="inlineStr">
        <is>
          <t>Average Exchange Rate</t>
        </is>
      </c>
      <c r="B105" s="13" t="n">
        <v>1</v>
      </c>
      <c r="C105" s="13" t="n">
        <v>1</v>
      </c>
      <c r="D105" s="13" t="n">
        <v>1</v>
      </c>
      <c r="E105" s="13" t="n">
        <v>1</v>
      </c>
      <c r="F105" s="13" t="n">
        <v>1</v>
      </c>
      <c r="G105" s="13" t="n">
        <v>1</v>
      </c>
    </row>
    <row r="106">
      <c r="A106" s="11" t="inlineStr">
        <is>
          <t xml:space="preserve"> </t>
        </is>
      </c>
    </row>
    <row r="107">
      <c r="A107" s="11" t="inlineStr">
        <is>
          <t>Operating Activities (€000)</t>
        </is>
      </c>
    </row>
    <row r="108">
      <c r="A108" s="11" t="inlineStr">
        <is>
          <t>Net Income - CF</t>
        </is>
      </c>
      <c r="B108" s="13" t="n">
        <v>32833</v>
      </c>
      <c r="C108" s="13" t="n">
        <v>34879</v>
      </c>
      <c r="D108" s="13" t="n">
        <v>95660</v>
      </c>
      <c r="E108" s="13" t="n">
        <v>100437</v>
      </c>
      <c r="F108" s="13" t="n">
        <v>145185</v>
      </c>
      <c r="G108" s="13" t="n">
        <v>106283</v>
      </c>
    </row>
    <row r="109">
      <c r="A109" s="11" t="inlineStr">
        <is>
          <t>Depreciation &amp; Amort.</t>
        </is>
      </c>
      <c r="B109" s="13" t="n">
        <v>9119</v>
      </c>
      <c r="C109" s="13" t="n">
        <v>8962</v>
      </c>
      <c r="D109" s="13" t="n">
        <v>7843</v>
      </c>
      <c r="E109" s="13" t="n">
        <v>7674</v>
      </c>
      <c r="F109" s="13" t="n">
        <v>10302</v>
      </c>
      <c r="G109" s="13" t="n">
        <v>12615</v>
      </c>
    </row>
    <row r="110">
      <c r="A110" s="11" t="inlineStr">
        <is>
          <t>Amort. of Goodwill and Intangibles</t>
        </is>
      </c>
      <c r="B110" s="13" t="n">
        <v>1022</v>
      </c>
      <c r="C110" s="13" t="n">
        <v>931</v>
      </c>
      <c r="D110" s="13" t="n">
        <v>1175</v>
      </c>
      <c r="E110" s="13" t="n">
        <v>1193</v>
      </c>
      <c r="F110" s="13" t="n">
        <v>1308</v>
      </c>
      <c r="G110" s="13" t="n">
        <v>1612</v>
      </c>
    </row>
    <row r="111">
      <c r="A111" s="11" t="inlineStr">
        <is>
          <t xml:space="preserve">        Depreciation &amp; Amort., Total</t>
        </is>
      </c>
      <c r="B111" s="13" t="n">
        <v>10141</v>
      </c>
      <c r="C111" s="13" t="n">
        <v>9893</v>
      </c>
      <c r="D111" s="13" t="n">
        <v>9018</v>
      </c>
      <c r="E111" s="13" t="n">
        <v>8867</v>
      </c>
      <c r="F111" s="13" t="n">
        <v>11610</v>
      </c>
      <c r="G111" s="13" t="n">
        <v>14227</v>
      </c>
    </row>
    <row r="112">
      <c r="A112" s="11" t="inlineStr">
        <is>
          <t>(Gain) Loss From Sale Of Assets</t>
        </is>
      </c>
      <c r="B112" s="13" t="n">
        <v>35</v>
      </c>
      <c r="C112" s="13" t="n">
        <v>51</v>
      </c>
      <c r="D112" s="13" t="n">
        <v>83</v>
      </c>
      <c r="E112" s="13" t="n">
        <v>-8</v>
      </c>
      <c r="F112" s="13" t="n">
        <v>221</v>
      </c>
      <c r="G112" s="13" t="n">
        <v>139</v>
      </c>
    </row>
    <row r="113">
      <c r="A113" s="11" t="inlineStr">
        <is>
          <t>Loss On Sale Of Investment</t>
        </is>
      </c>
      <c r="B113" s="11" t="inlineStr">
        <is>
          <t>NA</t>
        </is>
      </c>
      <c r="C113" s="11" t="inlineStr">
        <is>
          <t>NA</t>
        </is>
      </c>
      <c r="D113" s="13" t="n">
        <v>659</v>
      </c>
      <c r="E113" s="13" t="n">
        <v>770</v>
      </c>
      <c r="F113" s="13" t="n">
        <v>-2621</v>
      </c>
      <c r="G113" s="13" t="n">
        <v>929</v>
      </c>
    </row>
    <row r="114">
      <c r="A114" s="11" t="inlineStr">
        <is>
          <t>Asset Writedown &amp; Restructuring Costs</t>
        </is>
      </c>
      <c r="B114" s="11" t="inlineStr">
        <is>
          <t>NA</t>
        </is>
      </c>
      <c r="C114" s="13" t="n">
        <v>-346</v>
      </c>
      <c r="D114" s="13" t="n">
        <v>811</v>
      </c>
      <c r="E114" s="11" t="inlineStr">
        <is>
          <t>NA</t>
        </is>
      </c>
      <c r="F114" s="11" t="inlineStr">
        <is>
          <t>NA</t>
        </is>
      </c>
      <c r="G114" s="11" t="inlineStr">
        <is>
          <t>NA</t>
        </is>
      </c>
    </row>
    <row r="115">
      <c r="A115" s="11" t="inlineStr">
        <is>
          <t>Stock-Based Compensation</t>
        </is>
      </c>
      <c r="B115" s="13" t="n">
        <v>889</v>
      </c>
      <c r="C115" s="13" t="n">
        <v>1129</v>
      </c>
      <c r="D115" s="13" t="n">
        <v>3860</v>
      </c>
      <c r="E115" s="13" t="n">
        <v>4441</v>
      </c>
      <c r="F115" s="13" t="n">
        <v>4762</v>
      </c>
      <c r="G115" s="13" t="n">
        <v>4528</v>
      </c>
    </row>
    <row r="116">
      <c r="A116" s="11" t="inlineStr">
        <is>
          <t>Other Operating Activities</t>
        </is>
      </c>
      <c r="B116" s="13" t="n">
        <v>1677</v>
      </c>
      <c r="C116" s="13" t="n">
        <v>-3100</v>
      </c>
      <c r="D116" s="13" t="n">
        <v>-9484</v>
      </c>
      <c r="E116" s="13" t="n">
        <v>-8276</v>
      </c>
      <c r="F116" s="13" t="n">
        <v>-6422</v>
      </c>
      <c r="G116" s="13" t="n">
        <v>7904</v>
      </c>
    </row>
    <row r="117">
      <c r="A117" s="11" t="inlineStr">
        <is>
          <t>Change in Trad. Asset Securities</t>
        </is>
      </c>
      <c r="B117" s="11" t="inlineStr">
        <is>
          <t>NA</t>
        </is>
      </c>
      <c r="C117" s="13" t="n">
        <v>-62422</v>
      </c>
      <c r="D117" s="11" t="inlineStr">
        <is>
          <t>NA</t>
        </is>
      </c>
      <c r="E117" s="11" t="inlineStr">
        <is>
          <t>NA</t>
        </is>
      </c>
      <c r="F117" s="11" t="inlineStr">
        <is>
          <t>NA</t>
        </is>
      </c>
      <c r="G117" s="11" t="inlineStr">
        <is>
          <t>NA</t>
        </is>
      </c>
    </row>
    <row r="118">
      <c r="A118" s="11" t="inlineStr">
        <is>
          <t>Change in Acc. Receivable</t>
        </is>
      </c>
      <c r="B118" s="13" t="n">
        <v>11521</v>
      </c>
      <c r="C118" s="13" t="n">
        <v>-12880</v>
      </c>
      <c r="D118" s="13" t="n">
        <v>-39415</v>
      </c>
      <c r="E118" s="13" t="n">
        <v>-39987</v>
      </c>
      <c r="F118" s="13" t="n">
        <v>-38758</v>
      </c>
      <c r="G118" s="13" t="n">
        <v>-35818</v>
      </c>
    </row>
    <row r="119">
      <c r="A119" s="11" t="inlineStr">
        <is>
          <t>Change In Inventories</t>
        </is>
      </c>
      <c r="B119" s="13" t="n">
        <v>-5185</v>
      </c>
      <c r="C119" s="13" t="n">
        <v>-677</v>
      </c>
      <c r="D119" s="13" t="n">
        <v>-39756</v>
      </c>
      <c r="E119" s="13" t="n">
        <v>-103633</v>
      </c>
      <c r="F119" s="13" t="n">
        <v>-170852</v>
      </c>
      <c r="G119" s="13" t="n">
        <v>31753</v>
      </c>
    </row>
    <row r="120">
      <c r="A120" s="11" t="inlineStr">
        <is>
          <t>Change in Acc. Payable</t>
        </is>
      </c>
      <c r="B120" s="13" t="n">
        <v>-8713</v>
      </c>
      <c r="C120" s="13" t="n">
        <v>-7742</v>
      </c>
      <c r="D120" s="13" t="n">
        <v>8067</v>
      </c>
      <c r="E120" s="13" t="n">
        <v>27102</v>
      </c>
      <c r="F120" s="13" t="n">
        <v>12267</v>
      </c>
      <c r="G120" s="13" t="n">
        <v>-24249</v>
      </c>
    </row>
    <row r="121">
      <c r="A121" s="11" t="inlineStr">
        <is>
          <t>Change in Unearned Rev.</t>
        </is>
      </c>
      <c r="B121" s="13" t="n">
        <v>-2682</v>
      </c>
      <c r="C121" s="13" t="n">
        <v>923</v>
      </c>
      <c r="D121" s="13" t="n">
        <v>24404</v>
      </c>
      <c r="E121" s="13" t="n">
        <v>65050</v>
      </c>
      <c r="F121" s="13" t="n">
        <v>569</v>
      </c>
      <c r="G121" s="13" t="n">
        <v>-60786</v>
      </c>
    </row>
    <row r="122">
      <c r="A122" s="11" t="inlineStr">
        <is>
          <t>Change in Other Net Operating Assets</t>
        </is>
      </c>
      <c r="B122" s="13" t="n">
        <v>2291</v>
      </c>
      <c r="C122" s="13" t="n">
        <v>1130</v>
      </c>
      <c r="D122" s="13" t="n">
        <v>12459</v>
      </c>
      <c r="E122" s="13" t="n">
        <v>-17624</v>
      </c>
      <c r="F122" s="13" t="n">
        <v>-3250</v>
      </c>
      <c r="G122" s="13" t="n">
        <v>-18685</v>
      </c>
    </row>
    <row r="123">
      <c r="A123" s="11" t="inlineStr">
        <is>
          <t xml:space="preserve">        Cash from Ops.</t>
        </is>
      </c>
      <c r="B123" s="13" t="n">
        <v>42807</v>
      </c>
      <c r="C123" s="13" t="n">
        <v>-39162</v>
      </c>
      <c r="D123" s="13" t="n">
        <v>66366</v>
      </c>
      <c r="E123" s="13" t="n">
        <v>37139</v>
      </c>
      <c r="F123" s="13" t="n">
        <v>-47289</v>
      </c>
      <c r="G123" s="13" t="n">
        <v>26225</v>
      </c>
    </row>
    <row r="124">
      <c r="A124" s="11" t="inlineStr">
        <is>
          <t>Investing Activity (€000)</t>
        </is>
      </c>
    </row>
    <row r="125">
      <c r="A125" s="11" t="inlineStr">
        <is>
          <t>Capital Expenditure</t>
        </is>
      </c>
      <c r="B125" s="13" t="n">
        <v>-6427</v>
      </c>
      <c r="C125" s="13" t="n">
        <v>-7847</v>
      </c>
      <c r="D125" s="13" t="n">
        <v>-16388</v>
      </c>
      <c r="E125" s="13" t="n">
        <v>-27353</v>
      </c>
      <c r="F125" s="13" t="n">
        <v>-60169</v>
      </c>
      <c r="G125" s="13" t="n">
        <v>-94079</v>
      </c>
    </row>
    <row r="126">
      <c r="A126" s="11" t="inlineStr">
        <is>
          <t>Sale of Property, Plant and Equipment</t>
        </is>
      </c>
      <c r="B126" s="11" t="inlineStr">
        <is>
          <t>NA</t>
        </is>
      </c>
      <c r="C126" s="13" t="n">
        <v>24</v>
      </c>
      <c r="D126" s="13" t="n">
        <v>40</v>
      </c>
      <c r="E126" s="13" t="n">
        <v>186</v>
      </c>
      <c r="F126" s="13" t="n">
        <v>282</v>
      </c>
      <c r="G126" s="13" t="n">
        <v>57</v>
      </c>
    </row>
    <row r="127">
      <c r="A127" s="11" t="inlineStr">
        <is>
          <t>Sale (Purchase) of Intangible assets</t>
        </is>
      </c>
      <c r="B127" s="13" t="n">
        <v>-1276</v>
      </c>
      <c r="C127" s="13" t="n">
        <v>-1443</v>
      </c>
      <c r="D127" s="13" t="n">
        <v>-1060</v>
      </c>
      <c r="E127" s="13" t="n">
        <v>-2309</v>
      </c>
      <c r="F127" s="13" t="n">
        <v>-2476</v>
      </c>
      <c r="G127" s="13" t="n">
        <v>-4620</v>
      </c>
    </row>
    <row r="128">
      <c r="A128" s="11" t="inlineStr">
        <is>
          <t>Invest. in Marketable &amp; Equity Securt.</t>
        </is>
      </c>
      <c r="B128" s="11" t="inlineStr">
        <is>
          <t>NA</t>
        </is>
      </c>
      <c r="C128" s="13" t="n">
        <v>-32500</v>
      </c>
      <c r="D128" s="13" t="n">
        <v>-80112</v>
      </c>
      <c r="E128" s="13" t="n">
        <v>-19555</v>
      </c>
      <c r="F128" s="13" t="n">
        <v>139376</v>
      </c>
      <c r="G128" s="13" t="n">
        <v>82216</v>
      </c>
    </row>
    <row r="129">
      <c r="A129" s="11" t="inlineStr">
        <is>
          <t>Other Investing Activities</t>
        </is>
      </c>
      <c r="B129" s="13" t="n">
        <v>865</v>
      </c>
      <c r="C129" s="13" t="n">
        <v>285</v>
      </c>
      <c r="D129" s="13" t="n">
        <v>169</v>
      </c>
      <c r="E129" s="13" t="n">
        <v>760</v>
      </c>
      <c r="F129" s="13" t="n">
        <v>1105</v>
      </c>
      <c r="G129" s="13" t="n">
        <v>1389</v>
      </c>
    </row>
    <row r="130">
      <c r="A130" s="11" t="inlineStr">
        <is>
          <t xml:space="preserve">        Cash from Investing</t>
        </is>
      </c>
      <c r="B130" s="13" t="n">
        <v>-6838</v>
      </c>
      <c r="C130" s="13" t="n">
        <v>-41481</v>
      </c>
      <c r="D130" s="13" t="n">
        <v>-97351</v>
      </c>
      <c r="E130" s="13" t="n">
        <v>-48271</v>
      </c>
      <c r="F130" s="13" t="n">
        <v>78118</v>
      </c>
      <c r="G130" s="13" t="n">
        <v>-15037</v>
      </c>
    </row>
    <row r="131">
      <c r="A131" s="11" t="inlineStr">
        <is>
          <t>Financing Activity (€000)</t>
        </is>
      </c>
    </row>
    <row r="132">
      <c r="A132" s="11" t="inlineStr">
        <is>
          <t>Long-term Debt Repaid</t>
        </is>
      </c>
      <c r="B132" s="13" t="n">
        <v>-1097</v>
      </c>
      <c r="C132" s="13" t="n">
        <v>-877</v>
      </c>
      <c r="D132" s="13" t="n">
        <v>-964</v>
      </c>
      <c r="E132" s="13" t="n">
        <v>-1496</v>
      </c>
      <c r="F132" s="13" t="n">
        <v>-1866</v>
      </c>
      <c r="G132" s="13" t="n">
        <v>-1761</v>
      </c>
    </row>
    <row r="133">
      <c r="A133" s="11" t="inlineStr">
        <is>
          <t xml:space="preserve">        Total Debt Repaid</t>
        </is>
      </c>
      <c r="B133" s="13" t="n">
        <v>-1097</v>
      </c>
      <c r="C133" s="13" t="n">
        <v>-877</v>
      </c>
      <c r="D133" s="13" t="n">
        <v>-964</v>
      </c>
      <c r="E133" s="13" t="n">
        <v>-1496</v>
      </c>
      <c r="F133" s="13" t="n">
        <v>-1866</v>
      </c>
      <c r="G133" s="13" t="n">
        <v>-1761</v>
      </c>
    </row>
    <row r="134">
      <c r="A134" s="11" t="inlineStr">
        <is>
          <t>Issuance of Common Stock</t>
        </is>
      </c>
      <c r="B134" s="11" t="inlineStr">
        <is>
          <t>NA</t>
        </is>
      </c>
      <c r="C134" s="11" t="inlineStr">
        <is>
          <t>NA</t>
        </is>
      </c>
      <c r="D134" s="13" t="n">
        <v>4793</v>
      </c>
      <c r="E134" s="13" t="n">
        <v>741</v>
      </c>
      <c r="F134" s="13" t="n">
        <v>827</v>
      </c>
      <c r="G134" s="13" t="n">
        <v>593</v>
      </c>
    </row>
    <row r="135">
      <c r="A135" s="11" t="inlineStr">
        <is>
          <t>Common Dividends Paid</t>
        </is>
      </c>
      <c r="B135" s="11" t="inlineStr">
        <is>
          <t>NA</t>
        </is>
      </c>
      <c r="C135" s="11" t="inlineStr">
        <is>
          <t>NA</t>
        </is>
      </c>
      <c r="D135" s="13" t="n">
        <v>-12303</v>
      </c>
      <c r="E135" s="13" t="n">
        <v>-33662</v>
      </c>
      <c r="F135" s="13" t="n">
        <v>-34839</v>
      </c>
      <c r="G135" s="13" t="n">
        <v>-45033</v>
      </c>
    </row>
    <row r="136">
      <c r="A136" s="11" t="inlineStr">
        <is>
          <t xml:space="preserve">        Total Dividends Paid</t>
        </is>
      </c>
      <c r="B136" s="11" t="inlineStr">
        <is>
          <t>NA</t>
        </is>
      </c>
      <c r="C136" s="11" t="inlineStr">
        <is>
          <t>NA</t>
        </is>
      </c>
      <c r="D136" s="13" t="n">
        <v>-12303</v>
      </c>
      <c r="E136" s="13" t="n">
        <v>-33662</v>
      </c>
      <c r="F136" s="13" t="n">
        <v>-34839</v>
      </c>
      <c r="G136" s="13" t="n">
        <v>-45033</v>
      </c>
    </row>
    <row r="137">
      <c r="A137" s="11" t="inlineStr">
        <is>
          <t>Other Financing Activities</t>
        </is>
      </c>
      <c r="B137" s="13" t="n">
        <v>-143</v>
      </c>
      <c r="C137" s="13" t="n">
        <v>-27</v>
      </c>
      <c r="D137" s="13" t="n">
        <v>-111</v>
      </c>
      <c r="E137" s="13" t="n">
        <v>-175</v>
      </c>
      <c r="F137" s="13" t="n">
        <v>-3</v>
      </c>
      <c r="G137" s="13" t="n">
        <v>-264</v>
      </c>
    </row>
    <row r="138">
      <c r="A138" s="11" t="inlineStr">
        <is>
          <t xml:space="preserve">        Cash from Financing</t>
        </is>
      </c>
      <c r="B138" s="13" t="n">
        <v>-1240</v>
      </c>
      <c r="C138" s="13" t="n">
        <v>-904</v>
      </c>
      <c r="D138" s="13" t="n">
        <v>-8585</v>
      </c>
      <c r="E138" s="13" t="n">
        <v>-34592</v>
      </c>
      <c r="F138" s="13" t="n">
        <v>-35881</v>
      </c>
      <c r="G138" s="13" t="n">
        <v>-46465</v>
      </c>
    </row>
    <row r="139">
      <c r="A139" s="11" t="inlineStr">
        <is>
          <t>Other Cash Flow (€000)</t>
        </is>
      </c>
    </row>
    <row r="140">
      <c r="A140" s="11" t="inlineStr">
        <is>
          <t>Foreign Exchange Rate Adj.</t>
        </is>
      </c>
      <c r="B140" s="13" t="n">
        <v>-117</v>
      </c>
      <c r="C140" s="13" t="n">
        <v>-2013</v>
      </c>
      <c r="D140" s="13" t="n">
        <v>3174</v>
      </c>
      <c r="E140" s="13" t="n">
        <v>-388</v>
      </c>
      <c r="F140" s="13" t="n">
        <v>-1677</v>
      </c>
      <c r="G140" s="13" t="n">
        <v>1343</v>
      </c>
    </row>
    <row r="141">
      <c r="A141" s="11" t="inlineStr">
        <is>
          <t>Misc. Cash Flow Adj.</t>
        </is>
      </c>
      <c r="B141" s="11" t="inlineStr">
        <is>
          <t>NA</t>
        </is>
      </c>
      <c r="C141" s="11" t="inlineStr">
        <is>
          <t>NA</t>
        </is>
      </c>
      <c r="D141" s="11" t="inlineStr">
        <is>
          <t>NA</t>
        </is>
      </c>
      <c r="E141" s="11" t="inlineStr">
        <is>
          <t>NA</t>
        </is>
      </c>
      <c r="F141" s="11" t="inlineStr">
        <is>
          <t>NA</t>
        </is>
      </c>
      <c r="G141" s="13" t="n">
        <v>-1</v>
      </c>
    </row>
    <row r="142">
      <c r="A142" s="11" t="inlineStr">
        <is>
          <t xml:space="preserve">        Net Change in Cash</t>
        </is>
      </c>
      <c r="B142" s="13" t="n">
        <v>34612</v>
      </c>
      <c r="C142" s="13" t="n">
        <v>-83560</v>
      </c>
      <c r="D142" s="13" t="n">
        <v>-36396</v>
      </c>
      <c r="E142" s="13" t="n">
        <v>-46112</v>
      </c>
      <c r="F142" s="13" t="n">
        <v>-6729</v>
      </c>
      <c r="G142" s="13" t="n">
        <v>-33935</v>
      </c>
    </row>
    <row r="143">
      <c r="A143" s="11" t="inlineStr">
        <is>
          <t>Supplemental Items (€000)</t>
        </is>
      </c>
    </row>
    <row r="144">
      <c r="A144" s="11" t="inlineStr">
        <is>
          <t>Cash Interest Paid</t>
        </is>
      </c>
      <c r="B144" s="13" t="n">
        <v>143</v>
      </c>
      <c r="C144" s="13" t="n">
        <v>27</v>
      </c>
      <c r="D144" s="13" t="n">
        <v>111</v>
      </c>
      <c r="E144" s="13" t="n">
        <v>175</v>
      </c>
      <c r="F144" s="13" t="n">
        <v>3</v>
      </c>
      <c r="G144" s="13" t="n">
        <v>264</v>
      </c>
    </row>
    <row r="145">
      <c r="A145" s="11" t="inlineStr">
        <is>
          <t>Cash Taxes Paid</t>
        </is>
      </c>
      <c r="B145" s="13" t="n">
        <v>3401</v>
      </c>
      <c r="C145" s="13" t="n">
        <v>5702</v>
      </c>
      <c r="D145" s="13" t="n">
        <v>7552</v>
      </c>
      <c r="E145" s="13" t="n">
        <v>22157</v>
      </c>
      <c r="F145" s="13" t="n">
        <v>12270</v>
      </c>
      <c r="G145" s="13" t="n">
        <v>14746</v>
      </c>
    </row>
    <row r="146">
      <c r="A146" s="11" t="inlineStr">
        <is>
          <t>Levered Free Cash Flow</t>
        </is>
      </c>
      <c r="B146" s="13" t="n">
        <v>23423.75</v>
      </c>
      <c r="C146" s="13" t="n">
        <v>220</v>
      </c>
      <c r="D146" s="13" t="n">
        <v>26276</v>
      </c>
      <c r="E146" s="13" t="n">
        <v>-17678.625</v>
      </c>
      <c r="F146" s="13" t="n">
        <v>-150219.75</v>
      </c>
      <c r="G146" s="13" t="n">
        <v>-104689.375</v>
      </c>
    </row>
    <row r="147">
      <c r="A147" s="11" t="inlineStr">
        <is>
          <t>Unlevered Free Cash Flow</t>
        </is>
      </c>
      <c r="B147" s="13" t="n">
        <v>23513.125</v>
      </c>
      <c r="C147" s="13" t="n">
        <v>285</v>
      </c>
      <c r="D147" s="13" t="n">
        <v>26450.375</v>
      </c>
      <c r="E147" s="13" t="n">
        <v>-17456.125</v>
      </c>
      <c r="F147" s="13" t="n">
        <v>-150091.625</v>
      </c>
      <c r="G147" s="13" t="n">
        <v>-104421.25</v>
      </c>
    </row>
    <row r="148">
      <c r="A148" s="11" t="inlineStr">
        <is>
          <t>Change in Net Working Capital</t>
        </is>
      </c>
      <c r="B148" s="13" t="n">
        <v>2527</v>
      </c>
      <c r="C148" s="13" t="n">
        <v>21602</v>
      </c>
      <c r="D148" s="13" t="n">
        <v>33319</v>
      </c>
      <c r="E148" s="13" t="n">
        <v>65454</v>
      </c>
      <c r="F148" s="13" t="n">
        <v>198433</v>
      </c>
      <c r="G148" s="13" t="n">
        <v>106771</v>
      </c>
    </row>
    <row r="149">
      <c r="A149" s="11" t="inlineStr">
        <is>
          <t>Net Debt Issued</t>
        </is>
      </c>
      <c r="B149" s="13" t="n">
        <v>-1097</v>
      </c>
      <c r="C149" s="13" t="n">
        <v>-877</v>
      </c>
      <c r="D149" s="13" t="n">
        <v>-964</v>
      </c>
      <c r="E149" s="13" t="n">
        <v>-1496</v>
      </c>
      <c r="F149" s="13" t="n">
        <v>-1866</v>
      </c>
      <c r="G149" s="13" t="n">
        <v>-1761</v>
      </c>
    </row>
    <row r="150">
      <c r="A150" s="11" t="inlineStr">
        <is>
          <t>CIQ Restatement Type Code</t>
        </is>
      </c>
      <c r="B150" s="11" t="inlineStr">
        <is>
          <t>NC</t>
        </is>
      </c>
      <c r="C150" s="11" t="inlineStr">
        <is>
          <t>NC</t>
        </is>
      </c>
      <c r="D150" s="11" t="inlineStr">
        <is>
          <t>RS</t>
        </is>
      </c>
      <c r="E150" s="11" t="inlineStr">
        <is>
          <t>NC</t>
        </is>
      </c>
      <c r="F150" s="11" t="inlineStr">
        <is>
          <t>NC</t>
        </is>
      </c>
      <c r="G150" s="11" t="inlineStr">
        <is>
          <t>O</t>
        </is>
      </c>
    </row>
    <row r="151">
      <c r="A151" s="11" t="inlineStr">
        <is>
          <t>CIQ Calculation Type Code</t>
        </is>
      </c>
      <c r="B151" s="11" t="inlineStr">
        <is>
          <t>REP</t>
        </is>
      </c>
      <c r="C151" s="11" t="inlineStr">
        <is>
          <t>REP</t>
        </is>
      </c>
      <c r="D151" s="11" t="inlineStr">
        <is>
          <t>REP</t>
        </is>
      </c>
      <c r="E151" s="11" t="inlineStr">
        <is>
          <t>REP</t>
        </is>
      </c>
      <c r="F151" s="11" t="inlineStr">
        <is>
          <t>REP</t>
        </is>
      </c>
      <c r="G151" s="11" t="inlineStr">
        <is>
          <t>REP</t>
        </is>
      </c>
    </row>
    <row r="154">
      <c r="A154" s="11" t="inlineStr">
        <is>
          <t>Recommended: S&amp;P Capital IQ - Standard</t>
        </is>
      </c>
      <c r="B154" s="11" t="inlineStr">
        <is>
          <t>2019 FY</t>
        </is>
      </c>
      <c r="C154" s="11" t="inlineStr">
        <is>
          <t>2020 FY</t>
        </is>
      </c>
      <c r="D154" s="11" t="inlineStr">
        <is>
          <t>2021 FY</t>
        </is>
      </c>
      <c r="E154" s="11" t="inlineStr">
        <is>
          <t>2022 FY</t>
        </is>
      </c>
      <c r="F154" s="11" t="inlineStr">
        <is>
          <t>2023 FY</t>
        </is>
      </c>
      <c r="G154" s="11" t="inlineStr">
        <is>
          <t>2024 FY</t>
        </is>
      </c>
    </row>
    <row r="155">
      <c r="A155" s="11" t="inlineStr">
        <is>
          <t xml:space="preserve"> </t>
        </is>
      </c>
      <c r="B155" s="11" t="inlineStr">
        <is>
          <t>Current/Restated</t>
        </is>
      </c>
      <c r="C155" s="11" t="inlineStr">
        <is>
          <t>Current/Restated</t>
        </is>
      </c>
      <c r="D155" s="11" t="inlineStr">
        <is>
          <t>Current/Restated</t>
        </is>
      </c>
      <c r="E155" s="11" t="inlineStr">
        <is>
          <t>Current/Restated</t>
        </is>
      </c>
      <c r="F155" s="11" t="inlineStr">
        <is>
          <t>Current/Restated</t>
        </is>
      </c>
      <c r="G155" s="11" t="inlineStr">
        <is>
          <t>Current/Restated</t>
        </is>
      </c>
    </row>
    <row r="156">
      <c r="A156" s="11" t="inlineStr">
        <is>
          <t>Period Ended</t>
        </is>
      </c>
      <c r="B156" s="12" t="n">
        <v>43830</v>
      </c>
      <c r="C156" s="12" t="n">
        <v>44196</v>
      </c>
      <c r="D156" s="12" t="n">
        <v>44561</v>
      </c>
      <c r="E156" s="12" t="n">
        <v>44926</v>
      </c>
      <c r="F156" s="12" t="n">
        <v>45291</v>
      </c>
      <c r="G156" s="12" t="n">
        <v>45657</v>
      </c>
    </row>
    <row r="157">
      <c r="A157" s="11" t="inlineStr">
        <is>
          <t>Financial Filing Date</t>
        </is>
      </c>
      <c r="B157" s="12" t="n">
        <v>44252</v>
      </c>
      <c r="C157" s="12" t="n">
        <v>44616</v>
      </c>
      <c r="D157" s="12" t="n">
        <v>44985</v>
      </c>
      <c r="E157" s="12" t="n">
        <v>45351</v>
      </c>
      <c r="F157" s="12" t="n">
        <v>45715</v>
      </c>
      <c r="G157" s="12" t="n">
        <v>45715</v>
      </c>
    </row>
    <row r="158">
      <c r="A158" s="11" t="inlineStr">
        <is>
          <t>Spot Exchange Rate</t>
        </is>
      </c>
      <c r="B158" s="13" t="n">
        <v>1</v>
      </c>
      <c r="C158" s="13" t="n">
        <v>1</v>
      </c>
      <c r="D158" s="13" t="n">
        <v>1</v>
      </c>
      <c r="E158" s="13" t="n">
        <v>1</v>
      </c>
      <c r="F158" s="13" t="n">
        <v>1</v>
      </c>
      <c r="G158" s="13" t="n">
        <v>1</v>
      </c>
    </row>
    <row r="159">
      <c r="A159" s="11" t="inlineStr">
        <is>
          <t>Average Exchange Rate</t>
        </is>
      </c>
      <c r="B159" s="13" t="n">
        <v>1</v>
      </c>
      <c r="C159" s="13" t="n">
        <v>1</v>
      </c>
      <c r="D159" s="13" t="n">
        <v>1</v>
      </c>
      <c r="E159" s="13" t="n">
        <v>1</v>
      </c>
      <c r="F159" s="13" t="n">
        <v>1</v>
      </c>
      <c r="G159" s="13" t="n">
        <v>1</v>
      </c>
    </row>
    <row r="160">
      <c r="A160" s="11" t="inlineStr">
        <is>
          <t>Reported Currency Code</t>
        </is>
      </c>
      <c r="B160" s="11" t="inlineStr">
        <is>
          <t>EUR</t>
        </is>
      </c>
      <c r="C160" s="11" t="inlineStr">
        <is>
          <t>EUR</t>
        </is>
      </c>
      <c r="D160" s="11" t="inlineStr">
        <is>
          <t>EUR</t>
        </is>
      </c>
      <c r="E160" s="11" t="inlineStr">
        <is>
          <t>EUR</t>
        </is>
      </c>
      <c r="F160" s="11" t="inlineStr">
        <is>
          <t>EUR</t>
        </is>
      </c>
      <c r="G160" s="11" t="inlineStr">
        <is>
          <t>EUR</t>
        </is>
      </c>
    </row>
    <row r="161">
      <c r="A161" s="11" t="inlineStr">
        <is>
          <t xml:space="preserve"> </t>
        </is>
      </c>
    </row>
    <row r="162">
      <c r="A162" s="11" t="inlineStr">
        <is>
          <t>Assets (€000)</t>
        </is>
      </c>
    </row>
    <row r="163">
      <c r="A163" s="11" t="inlineStr">
        <is>
          <t>Cash and Equivalents</t>
        </is>
      </c>
      <c r="B163" s="13" t="n">
        <v>270819</v>
      </c>
      <c r="C163" s="13" t="n">
        <v>187259</v>
      </c>
      <c r="D163" s="13" t="n">
        <v>150863</v>
      </c>
      <c r="E163" s="13" t="n">
        <v>104751</v>
      </c>
      <c r="F163" s="13" t="n">
        <v>98022</v>
      </c>
      <c r="G163" s="13" t="n">
        <v>64087</v>
      </c>
    </row>
    <row r="164">
      <c r="A164" s="11" t="inlineStr">
        <is>
          <t>Short-term Investments</t>
        </is>
      </c>
      <c r="B164" s="13" t="n">
        <v>27500</v>
      </c>
      <c r="C164" s="11" t="inlineStr">
        <is>
          <t>NA</t>
        </is>
      </c>
      <c r="D164" s="13" t="n">
        <v>60000</v>
      </c>
      <c r="E164" s="11" t="inlineStr">
        <is>
          <t>NA</t>
        </is>
      </c>
      <c r="F164" s="11" t="inlineStr">
        <is>
          <t>NA</t>
        </is>
      </c>
      <c r="G164" s="11" t="inlineStr">
        <is>
          <t>NA</t>
        </is>
      </c>
    </row>
    <row r="165">
      <c r="A165" s="11" t="inlineStr">
        <is>
          <t>Trading Asset Securities</t>
        </is>
      </c>
      <c r="B165" s="11" t="inlineStr">
        <is>
          <t>NA</t>
        </is>
      </c>
      <c r="C165" s="13" t="n">
        <v>62422</v>
      </c>
      <c r="D165" s="13" t="n">
        <v>141625</v>
      </c>
      <c r="E165" s="13" t="n">
        <v>220410</v>
      </c>
      <c r="F165" s="13" t="n">
        <v>83655</v>
      </c>
      <c r="G165" s="13" t="n">
        <v>511</v>
      </c>
    </row>
    <row r="166">
      <c r="A166" s="11" t="inlineStr">
        <is>
          <t xml:space="preserve">        Cash &amp; Short-term Investments</t>
        </is>
      </c>
      <c r="B166" s="13" t="n">
        <v>298319</v>
      </c>
      <c r="C166" s="13" t="n">
        <v>249681</v>
      </c>
      <c r="D166" s="13" t="n">
        <v>352488</v>
      </c>
      <c r="E166" s="13" t="n">
        <v>325161</v>
      </c>
      <c r="F166" s="13" t="n">
        <v>181677</v>
      </c>
      <c r="G166" s="13" t="n">
        <v>64598</v>
      </c>
    </row>
    <row r="167">
      <c r="A167" s="11" t="inlineStr">
        <is>
          <t>Accounts Receivable</t>
        </is>
      </c>
      <c r="B167" s="13" t="n">
        <v>29203</v>
      </c>
      <c r="C167" s="13" t="n">
        <v>41304</v>
      </c>
      <c r="D167" s="13" t="n">
        <v>80962</v>
      </c>
      <c r="E167" s="13" t="n">
        <v>119696</v>
      </c>
      <c r="F167" s="13" t="n">
        <v>157570</v>
      </c>
      <c r="G167" s="13" t="n">
        <v>193370</v>
      </c>
    </row>
    <row r="168">
      <c r="A168" s="11" t="inlineStr">
        <is>
          <t>Other Receivables</t>
        </is>
      </c>
      <c r="B168" s="13" t="n">
        <v>3394</v>
      </c>
      <c r="C168" s="13" t="n">
        <v>4702</v>
      </c>
      <c r="D168" s="13" t="n">
        <v>9215</v>
      </c>
      <c r="E168" s="13" t="n">
        <v>13619</v>
      </c>
      <c r="F168" s="13" t="n">
        <v>13538</v>
      </c>
      <c r="G168" s="13" t="n">
        <v>18487</v>
      </c>
    </row>
    <row r="169">
      <c r="A169" s="11" t="inlineStr">
        <is>
          <t xml:space="preserve">        Total Receivables</t>
        </is>
      </c>
      <c r="B169" s="13" t="n">
        <v>32597</v>
      </c>
      <c r="C169" s="13" t="n">
        <v>46006</v>
      </c>
      <c r="D169" s="13" t="n">
        <v>90177</v>
      </c>
      <c r="E169" s="13" t="n">
        <v>133315</v>
      </c>
      <c r="F169" s="13" t="n">
        <v>171108</v>
      </c>
      <c r="G169" s="13" t="n">
        <v>211857</v>
      </c>
    </row>
    <row r="170">
      <c r="A170" s="11" t="inlineStr">
        <is>
          <t>Inventory</t>
        </is>
      </c>
      <c r="B170" s="13" t="n">
        <v>79022</v>
      </c>
      <c r="C170" s="13" t="n">
        <v>79087</v>
      </c>
      <c r="D170" s="13" t="n">
        <v>120629</v>
      </c>
      <c r="E170" s="13" t="n">
        <v>223594</v>
      </c>
      <c r="F170" s="13" t="n">
        <v>394461</v>
      </c>
      <c r="G170" s="13" t="n">
        <v>369123</v>
      </c>
    </row>
    <row r="171">
      <c r="A171" s="11" t="inlineStr">
        <is>
          <t>Prepaid Exp.</t>
        </is>
      </c>
      <c r="B171" s="13" t="n">
        <v>803</v>
      </c>
      <c r="C171" s="13" t="n">
        <v>964</v>
      </c>
      <c r="D171" s="13" t="n">
        <v>1536</v>
      </c>
      <c r="E171" s="13" t="n">
        <v>1723</v>
      </c>
      <c r="F171" s="13" t="n">
        <v>4393</v>
      </c>
      <c r="G171" s="13" t="n">
        <v>4645</v>
      </c>
    </row>
    <row r="172">
      <c r="A172" s="11" t="inlineStr">
        <is>
          <t>Other Current Assets</t>
        </is>
      </c>
      <c r="B172" s="13" t="n">
        <v>1235</v>
      </c>
      <c r="C172" s="13" t="n">
        <v>2454</v>
      </c>
      <c r="D172" s="13" t="n">
        <v>1850</v>
      </c>
      <c r="E172" s="13" t="n">
        <v>9114</v>
      </c>
      <c r="F172" s="13" t="n">
        <v>12029</v>
      </c>
      <c r="G172" s="13" t="n">
        <v>21111</v>
      </c>
    </row>
    <row r="173">
      <c r="A173" s="11" t="inlineStr">
        <is>
          <t xml:space="preserve">        Total Current Assets</t>
        </is>
      </c>
      <c r="B173" s="13" t="n">
        <v>411976</v>
      </c>
      <c r="C173" s="13" t="n">
        <v>378192</v>
      </c>
      <c r="D173" s="13" t="n">
        <v>566680</v>
      </c>
      <c r="E173" s="13" t="n">
        <v>692907</v>
      </c>
      <c r="F173" s="13" t="n">
        <v>763668</v>
      </c>
      <c r="G173" s="13" t="n">
        <v>671334</v>
      </c>
    </row>
    <row r="174">
      <c r="A174" s="11" t="inlineStr">
        <is>
          <t>Gross Property, Plant &amp; Equipment</t>
        </is>
      </c>
      <c r="B174" s="13" t="n">
        <v>162891</v>
      </c>
      <c r="C174" s="13" t="n">
        <v>166996</v>
      </c>
      <c r="D174" s="13" t="n">
        <v>183173</v>
      </c>
      <c r="E174" s="13" t="n">
        <v>213618</v>
      </c>
      <c r="F174" s="13" t="n">
        <v>269163</v>
      </c>
      <c r="G174" s="13" t="n">
        <v>356842</v>
      </c>
    </row>
    <row r="175">
      <c r="A175" s="11" t="inlineStr">
        <is>
          <t>Accumulated Depreciation</t>
        </is>
      </c>
      <c r="B175" s="13" t="n">
        <v>-98352</v>
      </c>
      <c r="C175" s="13" t="n">
        <v>-103527</v>
      </c>
      <c r="D175" s="13" t="n">
        <v>-109160</v>
      </c>
      <c r="E175" s="13" t="n">
        <v>-114638</v>
      </c>
      <c r="F175" s="13" t="n">
        <v>-121412</v>
      </c>
      <c r="G175" s="13" t="n">
        <v>-129927</v>
      </c>
    </row>
    <row r="176">
      <c r="A176" s="11" t="inlineStr">
        <is>
          <t xml:space="preserve">        Net Property, Plant &amp; Equipment</t>
        </is>
      </c>
      <c r="B176" s="13" t="n">
        <v>64539</v>
      </c>
      <c r="C176" s="13" t="n">
        <v>63469</v>
      </c>
      <c r="D176" s="13" t="n">
        <v>74013</v>
      </c>
      <c r="E176" s="13" t="n">
        <v>98980</v>
      </c>
      <c r="F176" s="13" t="n">
        <v>147751</v>
      </c>
      <c r="G176" s="13" t="n">
        <v>226915</v>
      </c>
    </row>
    <row r="177">
      <c r="A177" s="11" t="inlineStr">
        <is>
          <t>Long-term Investments</t>
        </is>
      </c>
      <c r="B177" s="13" t="n">
        <v>446</v>
      </c>
      <c r="C177" s="13" t="n">
        <v>60000</v>
      </c>
      <c r="D177" s="11" t="inlineStr">
        <is>
          <t>NA</t>
        </is>
      </c>
      <c r="E177" s="11" t="inlineStr">
        <is>
          <t>NA</t>
        </is>
      </c>
      <c r="F177" s="11" t="inlineStr">
        <is>
          <t>NA</t>
        </is>
      </c>
      <c r="G177" s="11" t="inlineStr">
        <is>
          <t>NA</t>
        </is>
      </c>
    </row>
    <row r="178">
      <c r="A178" s="11" t="inlineStr">
        <is>
          <t>Goodwill</t>
        </is>
      </c>
      <c r="B178" s="13" t="n">
        <v>72369</v>
      </c>
      <c r="C178" s="13" t="n">
        <v>70977</v>
      </c>
      <c r="D178" s="13" t="n">
        <v>72319</v>
      </c>
      <c r="E178" s="13" t="n">
        <v>72452</v>
      </c>
      <c r="F178" s="13" t="n">
        <v>72292</v>
      </c>
      <c r="G178" s="13" t="n">
        <v>73488</v>
      </c>
    </row>
    <row r="179">
      <c r="A179" s="11" t="inlineStr">
        <is>
          <t>Other Intangibles</t>
        </is>
      </c>
      <c r="B179" s="13" t="n">
        <v>2372</v>
      </c>
      <c r="C179" s="13" t="n">
        <v>2876</v>
      </c>
      <c r="D179" s="13" t="n">
        <v>2246</v>
      </c>
      <c r="E179" s="13" t="n">
        <v>3267</v>
      </c>
      <c r="F179" s="13" t="n">
        <v>4436</v>
      </c>
      <c r="G179" s="13" t="n">
        <v>7442</v>
      </c>
    </row>
    <row r="180">
      <c r="A180" s="11" t="inlineStr">
        <is>
          <t>Deferred Tax Assets, LT</t>
        </is>
      </c>
      <c r="B180" s="13" t="n">
        <v>11258</v>
      </c>
      <c r="C180" s="13" t="n">
        <v>14415</v>
      </c>
      <c r="D180" s="13" t="n">
        <v>24735</v>
      </c>
      <c r="E180" s="13" t="n">
        <v>34266</v>
      </c>
      <c r="F180" s="13" t="n">
        <v>41092</v>
      </c>
      <c r="G180" s="13" t="n">
        <v>34739</v>
      </c>
    </row>
    <row r="181">
      <c r="A181" s="11" t="inlineStr">
        <is>
          <t>Other Long-term Assets</t>
        </is>
      </c>
      <c r="B181" s="11" t="inlineStr">
        <is>
          <t>NA</t>
        </is>
      </c>
      <c r="C181" s="13" t="n">
        <v>497</v>
      </c>
      <c r="D181" s="13" t="n">
        <v>703</v>
      </c>
      <c r="E181" s="13" t="n">
        <v>705</v>
      </c>
      <c r="F181" s="13" t="n">
        <v>707</v>
      </c>
      <c r="G181" s="13" t="n">
        <v>4469</v>
      </c>
    </row>
    <row r="182">
      <c r="A182" s="11" t="inlineStr">
        <is>
          <t>Total Assets</t>
        </is>
      </c>
      <c r="B182" s="13" t="n">
        <v>562960</v>
      </c>
      <c r="C182" s="13" t="n">
        <v>590426</v>
      </c>
      <c r="D182" s="13" t="n">
        <v>740696</v>
      </c>
      <c r="E182" s="13" t="n">
        <v>902577</v>
      </c>
      <c r="F182" s="13" t="n">
        <v>1029946</v>
      </c>
      <c r="G182" s="13" t="n">
        <v>1018387</v>
      </c>
    </row>
    <row r="183">
      <c r="A183" s="11" t="inlineStr">
        <is>
          <t>Liabilities (€000)</t>
        </is>
      </c>
    </row>
    <row r="184">
      <c r="A184" s="11" t="inlineStr">
        <is>
          <t>Accounts Payable</t>
        </is>
      </c>
      <c r="B184" s="13" t="n">
        <v>19367</v>
      </c>
      <c r="C184" s="13" t="n">
        <v>10846</v>
      </c>
      <c r="D184" s="13" t="n">
        <v>19585</v>
      </c>
      <c r="E184" s="13" t="n">
        <v>46098</v>
      </c>
      <c r="F184" s="13" t="n">
        <v>57761</v>
      </c>
      <c r="G184" s="13" t="n">
        <v>33853</v>
      </c>
    </row>
    <row r="185">
      <c r="A185" s="11" t="inlineStr">
        <is>
          <t>Accrued Exp.</t>
        </is>
      </c>
      <c r="B185" s="13" t="n">
        <v>1494</v>
      </c>
      <c r="C185" s="13" t="n">
        <v>1208</v>
      </c>
      <c r="D185" s="13" t="n">
        <v>1375</v>
      </c>
      <c r="E185" s="13" t="n">
        <v>1341</v>
      </c>
      <c r="F185" s="13" t="n">
        <v>2576</v>
      </c>
      <c r="G185" s="13" t="n">
        <v>19082</v>
      </c>
    </row>
    <row r="186">
      <c r="A186" s="11" t="inlineStr">
        <is>
          <t>Current Portion of Leases</t>
        </is>
      </c>
      <c r="B186" s="13" t="n">
        <v>864</v>
      </c>
      <c r="C186" s="13" t="n">
        <v>734</v>
      </c>
      <c r="D186" s="13" t="n">
        <v>979</v>
      </c>
      <c r="E186" s="13" t="n">
        <v>2088</v>
      </c>
      <c r="F186" s="13" t="n">
        <v>1633</v>
      </c>
      <c r="G186" s="13" t="n">
        <v>1919</v>
      </c>
    </row>
    <row r="187">
      <c r="A187" s="11" t="inlineStr">
        <is>
          <t>Curr. Income Taxes Payable</t>
        </is>
      </c>
      <c r="B187" s="13" t="n">
        <v>3593</v>
      </c>
      <c r="C187" s="13" t="n">
        <v>2215</v>
      </c>
      <c r="D187" s="13" t="n">
        <v>9729</v>
      </c>
      <c r="E187" s="13" t="n">
        <v>2439</v>
      </c>
      <c r="F187" s="13" t="n">
        <v>6447</v>
      </c>
      <c r="G187" s="13" t="n">
        <v>8367</v>
      </c>
    </row>
    <row r="188">
      <c r="A188" s="11" t="inlineStr">
        <is>
          <t>Unearned Revenue, Current</t>
        </is>
      </c>
      <c r="B188" s="13" t="n">
        <v>52532</v>
      </c>
      <c r="C188" s="13" t="n">
        <v>55643</v>
      </c>
      <c r="D188" s="13" t="n">
        <v>80670</v>
      </c>
      <c r="E188" s="13" t="n">
        <v>143788</v>
      </c>
      <c r="F188" s="13" t="n">
        <v>142116</v>
      </c>
      <c r="G188" s="13" t="n">
        <v>82640</v>
      </c>
    </row>
    <row r="189">
      <c r="A189" s="11" t="inlineStr">
        <is>
          <t>Other Current Liabilities</t>
        </is>
      </c>
      <c r="B189" s="13" t="n">
        <v>16480</v>
      </c>
      <c r="C189" s="13" t="n">
        <v>16806</v>
      </c>
      <c r="D189" s="13" t="n">
        <v>27721</v>
      </c>
      <c r="E189" s="13" t="n">
        <v>33514</v>
      </c>
      <c r="F189" s="13" t="n">
        <v>34092</v>
      </c>
      <c r="G189" s="13" t="n">
        <v>17024</v>
      </c>
    </row>
    <row r="190">
      <c r="A190" s="11" t="inlineStr">
        <is>
          <t xml:space="preserve">        Total Current Liabilities</t>
        </is>
      </c>
      <c r="B190" s="13" t="n">
        <v>94330</v>
      </c>
      <c r="C190" s="13" t="n">
        <v>87452</v>
      </c>
      <c r="D190" s="13" t="n">
        <v>140059</v>
      </c>
      <c r="E190" s="13" t="n">
        <v>229268</v>
      </c>
      <c r="F190" s="13" t="n">
        <v>244625</v>
      </c>
      <c r="G190" s="13" t="n">
        <v>162885</v>
      </c>
    </row>
    <row r="191">
      <c r="A191" s="11" t="inlineStr">
        <is>
          <t>Long-term Leases</t>
        </is>
      </c>
      <c r="B191" s="13" t="n">
        <v>2548</v>
      </c>
      <c r="C191" s="13" t="n">
        <v>2617</v>
      </c>
      <c r="D191" s="13" t="n">
        <v>3296</v>
      </c>
      <c r="E191" s="13" t="n">
        <v>5975</v>
      </c>
      <c r="F191" s="13" t="n">
        <v>3983</v>
      </c>
      <c r="G191" s="13" t="n">
        <v>3512</v>
      </c>
    </row>
    <row r="192">
      <c r="A192" s="11" t="inlineStr">
        <is>
          <t>Def. Tax Liability, Non-Curr.</t>
        </is>
      </c>
      <c r="B192" s="11" t="inlineStr">
        <is>
          <t>NA</t>
        </is>
      </c>
      <c r="C192" s="11" t="inlineStr">
        <is>
          <t>NA</t>
        </is>
      </c>
      <c r="D192" s="13" t="n">
        <v>654</v>
      </c>
      <c r="E192" s="13" t="n">
        <v>827</v>
      </c>
      <c r="F192" s="13" t="n">
        <v>662</v>
      </c>
      <c r="G192" s="13" t="n">
        <v>1204</v>
      </c>
    </row>
    <row r="193">
      <c r="A193" s="11" t="inlineStr">
        <is>
          <t>Other Non-Current Liabilities</t>
        </is>
      </c>
      <c r="B193" s="13" t="n">
        <v>1938</v>
      </c>
      <c r="C193" s="13" t="n">
        <v>3979</v>
      </c>
      <c r="D193" s="13" t="n">
        <v>4521</v>
      </c>
      <c r="E193" s="13" t="n">
        <v>3190</v>
      </c>
      <c r="F193" s="13" t="n">
        <v>3098</v>
      </c>
      <c r="G193" s="13" t="n">
        <v>2743</v>
      </c>
    </row>
    <row r="194">
      <c r="A194" s="11" t="inlineStr">
        <is>
          <t>Total Liabilities</t>
        </is>
      </c>
      <c r="B194" s="13" t="n">
        <v>98816</v>
      </c>
      <c r="C194" s="13" t="n">
        <v>94048</v>
      </c>
      <c r="D194" s="13" t="n">
        <v>148530</v>
      </c>
      <c r="E194" s="13" t="n">
        <v>239260</v>
      </c>
      <c r="F194" s="13" t="n">
        <v>252368</v>
      </c>
      <c r="G194" s="13" t="n">
        <v>170344</v>
      </c>
    </row>
    <row r="195">
      <c r="A195" s="11" t="inlineStr">
        <is>
          <t>Equity (€000)</t>
        </is>
      </c>
    </row>
    <row r="196">
      <c r="A196" s="11" t="inlineStr">
        <is>
          <t>Common Stock</t>
        </is>
      </c>
      <c r="B196" s="13" t="n">
        <v>111840</v>
      </c>
      <c r="C196" s="13" t="n">
        <v>111843</v>
      </c>
      <c r="D196" s="13" t="n">
        <v>112208</v>
      </c>
      <c r="E196" s="13" t="n">
        <v>112383</v>
      </c>
      <c r="F196" s="13" t="n">
        <v>112535</v>
      </c>
      <c r="G196" s="13" t="n">
        <v>112672</v>
      </c>
    </row>
    <row r="197">
      <c r="A197" s="11" t="inlineStr">
        <is>
          <t>Additional Paid In Capital</t>
        </is>
      </c>
      <c r="B197" s="13" t="n">
        <v>375273</v>
      </c>
      <c r="C197" s="13" t="n">
        <v>376399</v>
      </c>
      <c r="D197" s="13" t="n">
        <v>384687</v>
      </c>
      <c r="E197" s="13" t="n">
        <v>389694</v>
      </c>
      <c r="F197" s="13" t="n">
        <v>395131</v>
      </c>
      <c r="G197" s="13" t="n">
        <v>400115</v>
      </c>
    </row>
    <row r="198">
      <c r="A198" s="11" t="inlineStr">
        <is>
          <t>Retained Earnings</t>
        </is>
      </c>
      <c r="B198" s="13" t="n">
        <v>-29955</v>
      </c>
      <c r="C198" s="13" t="n">
        <v>4903</v>
      </c>
      <c r="D198" s="13" t="n">
        <v>88372</v>
      </c>
      <c r="E198" s="13" t="n">
        <v>155231</v>
      </c>
      <c r="F198" s="13" t="n">
        <v>265531</v>
      </c>
      <c r="G198" s="13" t="n">
        <v>326776</v>
      </c>
    </row>
    <row r="199">
      <c r="A199" s="11" t="inlineStr">
        <is>
          <t>Comprehensive Inc. and Other</t>
        </is>
      </c>
      <c r="B199" s="13" t="n">
        <v>5564</v>
      </c>
      <c r="C199" s="13" t="n">
        <v>2241</v>
      </c>
      <c r="D199" s="13" t="n">
        <v>6726</v>
      </c>
      <c r="E199" s="13" t="n">
        <v>5804</v>
      </c>
      <c r="F199" s="13" t="n">
        <v>4171</v>
      </c>
      <c r="G199" s="13" t="n">
        <v>8302</v>
      </c>
    </row>
    <row r="200">
      <c r="A200" s="11" t="inlineStr">
        <is>
          <t xml:space="preserve">        Total Common Equity</t>
        </is>
      </c>
      <c r="B200" s="13" t="n">
        <v>462722</v>
      </c>
      <c r="C200" s="13" t="n">
        <v>495386</v>
      </c>
      <c r="D200" s="13" t="n">
        <v>591993</v>
      </c>
      <c r="E200" s="13" t="n">
        <v>663112</v>
      </c>
      <c r="F200" s="13" t="n">
        <v>777368</v>
      </c>
      <c r="G200" s="13" t="n">
        <v>847865</v>
      </c>
    </row>
    <row r="201">
      <c r="A201" s="11" t="inlineStr">
        <is>
          <t>Total Minority Interest</t>
        </is>
      </c>
      <c r="B201" s="13" t="n">
        <v>1422</v>
      </c>
      <c r="C201" s="13" t="n">
        <v>992</v>
      </c>
      <c r="D201" s="13" t="n">
        <v>173</v>
      </c>
      <c r="E201" s="13" t="n">
        <v>205</v>
      </c>
      <c r="F201" s="13" t="n">
        <v>210</v>
      </c>
      <c r="G201" s="13" t="n">
        <v>178</v>
      </c>
    </row>
    <row r="202">
      <c r="A202" s="11" t="inlineStr">
        <is>
          <t>Total Equity</t>
        </is>
      </c>
      <c r="B202" s="13" t="n">
        <v>464144</v>
      </c>
      <c r="C202" s="13" t="n">
        <v>496378</v>
      </c>
      <c r="D202" s="13" t="n">
        <v>592166</v>
      </c>
      <c r="E202" s="13" t="n">
        <v>663317</v>
      </c>
      <c r="F202" s="13" t="n">
        <v>777578</v>
      </c>
      <c r="G202" s="13" t="n">
        <v>848043</v>
      </c>
    </row>
    <row r="203">
      <c r="A203" s="11" t="inlineStr">
        <is>
          <t>Total Liabilities And Equity</t>
        </is>
      </c>
      <c r="B203" s="13" t="n">
        <v>562960</v>
      </c>
      <c r="C203" s="13" t="n">
        <v>590426</v>
      </c>
      <c r="D203" s="13" t="n">
        <v>740696</v>
      </c>
      <c r="E203" s="13" t="n">
        <v>902577</v>
      </c>
      <c r="F203" s="13" t="n">
        <v>1029946</v>
      </c>
      <c r="G203" s="13" t="n">
        <v>1018387</v>
      </c>
    </row>
    <row r="204">
      <c r="A204" s="11" t="inlineStr">
        <is>
          <t>Supplemental Items (€)</t>
        </is>
      </c>
    </row>
    <row r="205">
      <c r="A205" s="11" t="inlineStr">
        <is>
          <t>ECS Total Shares Outstanding on Filing Date (actual)</t>
        </is>
      </c>
      <c r="B205" s="13" t="n">
        <v>111840015</v>
      </c>
      <c r="C205" s="13" t="n">
        <v>111843215</v>
      </c>
      <c r="D205" s="13" t="n">
        <v>112207915</v>
      </c>
      <c r="E205" s="13" t="n">
        <v>112383196</v>
      </c>
      <c r="F205" s="13" t="n">
        <v>112534618</v>
      </c>
      <c r="G205" s="13" t="n">
        <v>112671861</v>
      </c>
    </row>
    <row r="206">
      <c r="A206" s="11" t="inlineStr">
        <is>
          <t>ECS Total Common Shares Outstanding (actual)</t>
        </is>
      </c>
      <c r="B206" s="13" t="n">
        <v>111840015</v>
      </c>
      <c r="C206" s="13" t="n">
        <v>111843215</v>
      </c>
      <c r="D206" s="13" t="n">
        <v>112207915</v>
      </c>
      <c r="E206" s="13" t="n">
        <v>112383196</v>
      </c>
      <c r="F206" s="13" t="n">
        <v>112534618</v>
      </c>
      <c r="G206" s="13" t="n">
        <v>112671861</v>
      </c>
    </row>
    <row r="207">
      <c r="A207" s="11" t="inlineStr">
        <is>
          <t>Book Value per Share</t>
        </is>
      </c>
      <c r="B207" s="13" t="n">
        <v>4.137</v>
      </c>
      <c r="C207" s="13" t="n">
        <v>4.429</v>
      </c>
      <c r="D207" s="13" t="n">
        <v>5.276</v>
      </c>
      <c r="E207" s="13" t="n">
        <v>5.9</v>
      </c>
      <c r="F207" s="13" t="n">
        <v>6.908</v>
      </c>
      <c r="G207" s="13" t="n">
        <v>7.525</v>
      </c>
    </row>
    <row r="208">
      <c r="A208" s="11" t="inlineStr">
        <is>
          <t>Tangible Book Value</t>
        </is>
      </c>
      <c r="B208" s="13" t="n">
        <v>387981</v>
      </c>
      <c r="C208" s="13" t="n">
        <v>421533</v>
      </c>
      <c r="D208" s="13" t="n">
        <v>517428</v>
      </c>
      <c r="E208" s="13" t="n">
        <v>587393</v>
      </c>
      <c r="F208" s="13" t="n">
        <v>700640</v>
      </c>
      <c r="G208" s="13" t="n">
        <v>766935</v>
      </c>
    </row>
    <row r="209">
      <c r="A209" s="11" t="inlineStr">
        <is>
          <t>Tangible Book Value per Share</t>
        </is>
      </c>
      <c r="B209" s="13" t="n">
        <v>3.469</v>
      </c>
      <c r="C209" s="13" t="n">
        <v>3.769</v>
      </c>
      <c r="D209" s="13" t="n">
        <v>4.611</v>
      </c>
      <c r="E209" s="13" t="n">
        <v>5.227</v>
      </c>
      <c r="F209" s="13" t="n">
        <v>6.226</v>
      </c>
      <c r="G209" s="13" t="n">
        <v>6.807</v>
      </c>
    </row>
    <row r="210">
      <c r="A210" s="11" t="inlineStr">
        <is>
          <t>Total Debt</t>
        </is>
      </c>
      <c r="B210" s="13" t="n">
        <v>3412</v>
      </c>
      <c r="C210" s="13" t="n">
        <v>3351</v>
      </c>
      <c r="D210" s="13" t="n">
        <v>4275</v>
      </c>
      <c r="E210" s="13" t="n">
        <v>8063</v>
      </c>
      <c r="F210" s="13" t="n">
        <v>5616</v>
      </c>
      <c r="G210" s="13" t="n">
        <v>5431</v>
      </c>
    </row>
    <row r="211">
      <c r="A211" s="11" t="inlineStr">
        <is>
          <t>Net Debt</t>
        </is>
      </c>
      <c r="B211" s="13" t="n">
        <v>-294907</v>
      </c>
      <c r="C211" s="13" t="n">
        <v>-246330</v>
      </c>
      <c r="D211" s="13" t="n">
        <v>-348213</v>
      </c>
      <c r="E211" s="13" t="n">
        <v>-317098</v>
      </c>
      <c r="F211" s="13" t="n">
        <v>-176061</v>
      </c>
      <c r="G211" s="13" t="n">
        <v>-59167</v>
      </c>
    </row>
    <row r="212">
      <c r="A212" s="11" t="inlineStr">
        <is>
          <t>Debt Equivalent Oper. Leases</t>
        </is>
      </c>
      <c r="B212" s="13" t="n">
        <v>5200</v>
      </c>
      <c r="C212" s="13" t="n">
        <v>1992</v>
      </c>
      <c r="D212" s="13" t="n">
        <v>2144</v>
      </c>
      <c r="E212" s="13" t="n">
        <v>3512</v>
      </c>
      <c r="F212" s="13" t="n">
        <v>2696</v>
      </c>
      <c r="G212" s="13" t="n">
        <v>2336</v>
      </c>
    </row>
    <row r="213">
      <c r="A213" s="11" t="inlineStr">
        <is>
          <t>Total Minority Interest</t>
        </is>
      </c>
      <c r="B213" s="13" t="n">
        <v>1422</v>
      </c>
      <c r="C213" s="13" t="n">
        <v>992</v>
      </c>
      <c r="D213" s="13" t="n">
        <v>173</v>
      </c>
      <c r="E213" s="13" t="n">
        <v>205</v>
      </c>
      <c r="F213" s="13" t="n">
        <v>210</v>
      </c>
      <c r="G213" s="13" t="n">
        <v>178</v>
      </c>
    </row>
    <row r="214">
      <c r="A214" s="11" t="inlineStr">
        <is>
          <t>Raw Materials Inventory</t>
        </is>
      </c>
      <c r="B214" s="13" t="n">
        <v>30717</v>
      </c>
      <c r="C214" s="13" t="n">
        <v>33944</v>
      </c>
      <c r="D214" s="13" t="n">
        <v>55738</v>
      </c>
      <c r="E214" s="13" t="n">
        <v>115123</v>
      </c>
      <c r="F214" s="13" t="n">
        <v>216829</v>
      </c>
      <c r="G214" s="13" t="n">
        <v>225733</v>
      </c>
    </row>
    <row r="215">
      <c r="A215" s="11" t="inlineStr">
        <is>
          <t>Work in Progress Inventory</t>
        </is>
      </c>
      <c r="B215" s="13" t="n">
        <v>42513</v>
      </c>
      <c r="C215" s="13" t="n">
        <v>37769</v>
      </c>
      <c r="D215" s="13" t="n">
        <v>60635</v>
      </c>
      <c r="E215" s="13" t="n">
        <v>97965</v>
      </c>
      <c r="F215" s="13" t="n">
        <v>151978</v>
      </c>
      <c r="G215" s="13" t="n">
        <v>124922</v>
      </c>
    </row>
    <row r="216">
      <c r="A216" s="11" t="inlineStr">
        <is>
          <t>Finished Goods Inventory</t>
        </is>
      </c>
      <c r="B216" s="13" t="n">
        <v>5792</v>
      </c>
      <c r="C216" s="13" t="n">
        <v>7374</v>
      </c>
      <c r="D216" s="13" t="n">
        <v>4256</v>
      </c>
      <c r="E216" s="13" t="n">
        <v>10506</v>
      </c>
      <c r="F216" s="13" t="n">
        <v>25654</v>
      </c>
      <c r="G216" s="13" t="n">
        <v>18468</v>
      </c>
    </row>
    <row r="217">
      <c r="A217" s="11" t="inlineStr">
        <is>
          <t>Land</t>
        </is>
      </c>
      <c r="B217" s="13" t="n">
        <v>65077</v>
      </c>
      <c r="C217" s="13" t="n">
        <v>65006</v>
      </c>
      <c r="D217" s="13" t="n">
        <v>64983</v>
      </c>
      <c r="E217" s="13" t="n">
        <v>64842</v>
      </c>
      <c r="F217" s="13" t="n">
        <v>65234</v>
      </c>
      <c r="G217" s="13" t="n">
        <v>65842</v>
      </c>
    </row>
    <row r="218">
      <c r="A218" s="11" t="inlineStr">
        <is>
          <t>Machinery</t>
        </is>
      </c>
      <c r="B218" s="13" t="n">
        <v>90257</v>
      </c>
      <c r="C218" s="13" t="n">
        <v>93436</v>
      </c>
      <c r="D218" s="13" t="n">
        <v>100031</v>
      </c>
      <c r="E218" s="13" t="n">
        <v>116904</v>
      </c>
      <c r="F218" s="13" t="n">
        <v>135349</v>
      </c>
      <c r="G218" s="13" t="n">
        <v>150535</v>
      </c>
    </row>
    <row r="219">
      <c r="A219" s="11" t="inlineStr">
        <is>
          <t>Construction in Progress</t>
        </is>
      </c>
      <c r="B219" s="13" t="n">
        <v>3332</v>
      </c>
      <c r="C219" s="13" t="n">
        <v>4214</v>
      </c>
      <c r="D219" s="13" t="n">
        <v>12311</v>
      </c>
      <c r="E219" s="13" t="n">
        <v>20755</v>
      </c>
      <c r="F219" s="13" t="n">
        <v>58301</v>
      </c>
      <c r="G219" s="13" t="n">
        <v>130687</v>
      </c>
    </row>
    <row r="220">
      <c r="A220" s="11" t="inlineStr">
        <is>
          <t>Full Time Employees (actual)</t>
        </is>
      </c>
      <c r="B220" s="13" t="n">
        <v>688</v>
      </c>
      <c r="C220" s="13" t="n">
        <v>728</v>
      </c>
      <c r="D220" s="13" t="n">
        <v>718</v>
      </c>
      <c r="E220" s="13" t="n">
        <v>895</v>
      </c>
      <c r="F220" s="13" t="n">
        <v>1086</v>
      </c>
      <c r="G220" s="13" t="n">
        <v>1207</v>
      </c>
    </row>
    <row r="221">
      <c r="A221" s="11" t="inlineStr">
        <is>
          <t>Accumulated Allowance for Doubtful Accounts</t>
        </is>
      </c>
      <c r="B221" s="13" t="n">
        <v>124</v>
      </c>
      <c r="C221" s="13" t="n">
        <v>26</v>
      </c>
      <c r="D221" s="11" t="inlineStr">
        <is>
          <t>NA</t>
        </is>
      </c>
      <c r="E221" s="11" t="inlineStr">
        <is>
          <t>NA</t>
        </is>
      </c>
      <c r="F221" s="11" t="inlineStr">
        <is>
          <t>NA</t>
        </is>
      </c>
      <c r="G221" s="13" t="n">
        <v>21</v>
      </c>
    </row>
    <row r="222">
      <c r="A222" s="11" t="inlineStr">
        <is>
          <t>Order Backlog</t>
        </is>
      </c>
      <c r="B222" s="13" t="n">
        <v>116700</v>
      </c>
      <c r="C222" s="13" t="n">
        <v>150900</v>
      </c>
      <c r="D222" s="13" t="n">
        <v>214600</v>
      </c>
      <c r="E222" s="13" t="n">
        <v>351800</v>
      </c>
      <c r="F222" s="13" t="n">
        <v>353700</v>
      </c>
      <c r="G222" s="13" t="n">
        <v>289300</v>
      </c>
    </row>
    <row r="223">
      <c r="A223" s="11" t="inlineStr">
        <is>
          <t>CIQ Restatement Type Code</t>
        </is>
      </c>
      <c r="B223" s="11" t="inlineStr">
        <is>
          <t>NC</t>
        </is>
      </c>
      <c r="C223" s="11" t="inlineStr">
        <is>
          <t>NC</t>
        </is>
      </c>
      <c r="D223" s="11" t="inlineStr">
        <is>
          <t>NC</t>
        </is>
      </c>
      <c r="E223" s="11" t="inlineStr">
        <is>
          <t>NC</t>
        </is>
      </c>
      <c r="F223" s="11" t="inlineStr">
        <is>
          <t>NC</t>
        </is>
      </c>
      <c r="G223" s="11" t="inlineStr">
        <is>
          <t>O</t>
        </is>
      </c>
    </row>
    <row r="224">
      <c r="A224" s="11" t="inlineStr">
        <is>
          <t>CIQ Calculation Type Code</t>
        </is>
      </c>
      <c r="B224" s="11" t="inlineStr">
        <is>
          <t>REP</t>
        </is>
      </c>
      <c r="C224" s="11" t="inlineStr">
        <is>
          <t>REP</t>
        </is>
      </c>
      <c r="D224" s="11" t="inlineStr">
        <is>
          <t>REP</t>
        </is>
      </c>
      <c r="E224" s="11" t="inlineStr">
        <is>
          <t>REP</t>
        </is>
      </c>
      <c r="F224" s="11" t="inlineStr">
        <is>
          <t>REP</t>
        </is>
      </c>
      <c r="G224" s="11" t="inlineStr">
        <is>
          <t>REP</t>
        </is>
      </c>
    </row>
    <row r="225">
      <c r="A225" s="11" t="inlineStr">
        <is>
          <t>Loss Carry Forward Related Items (€000)</t>
        </is>
      </c>
    </row>
    <row r="226">
      <c r="A226" s="11" t="inlineStr">
        <is>
          <t>NOL Carryforward, After Five Years</t>
        </is>
      </c>
      <c r="B226" s="13" t="n">
        <v>19826</v>
      </c>
      <c r="C226" s="13" t="n">
        <v>2655</v>
      </c>
      <c r="D226" s="13" t="n">
        <v>8735</v>
      </c>
      <c r="E226" s="11" t="inlineStr">
        <is>
          <t>NA</t>
        </is>
      </c>
      <c r="F226" s="11" t="inlineStr">
        <is>
          <t>NA</t>
        </is>
      </c>
      <c r="G226" s="11" t="inlineStr">
        <is>
          <t>NA</t>
        </is>
      </c>
    </row>
    <row r="227">
      <c r="A227" s="11" t="inlineStr">
        <is>
          <t>NOL Carryforward, No Expiration</t>
        </is>
      </c>
      <c r="B227" s="13" t="n">
        <v>134712</v>
      </c>
      <c r="C227" s="13" t="n">
        <v>141535</v>
      </c>
      <c r="D227" s="13" t="n">
        <v>90694</v>
      </c>
      <c r="E227" s="11" t="inlineStr">
        <is>
          <t>NA</t>
        </is>
      </c>
      <c r="F227" s="11" t="inlineStr">
        <is>
          <t>NA</t>
        </is>
      </c>
      <c r="G227" s="11" t="inlineStr">
        <is>
          <t>NA</t>
        </is>
      </c>
    </row>
    <row r="228">
      <c r="A228" s="11" t="inlineStr">
        <is>
          <t>Total NOL Carryforward</t>
        </is>
      </c>
      <c r="B228" s="13" t="n">
        <v>154538</v>
      </c>
      <c r="C228" s="13" t="n">
        <v>144190</v>
      </c>
      <c r="D228" s="13" t="n">
        <v>99429</v>
      </c>
      <c r="E228" s="11" t="inlineStr">
        <is>
          <t>NA</t>
        </is>
      </c>
      <c r="F228" s="11" t="inlineStr">
        <is>
          <t>NA</t>
        </is>
      </c>
      <c r="G228" s="11" t="inlineStr">
        <is>
          <t>NA</t>
        </is>
      </c>
    </row>
    <row r="229">
      <c r="A229" s="11" t="inlineStr">
        <is>
          <t>Fair Value Measurements (€000)</t>
        </is>
      </c>
    </row>
    <row r="230">
      <c r="A230" s="11" t="inlineStr">
        <is>
          <t>Level 1 Assets - Quoted Prices</t>
        </is>
      </c>
      <c r="B230" s="11" t="inlineStr">
        <is>
          <t>NA</t>
        </is>
      </c>
      <c r="C230" s="13" t="n">
        <v>62422</v>
      </c>
      <c r="D230" s="13" t="n">
        <v>141625</v>
      </c>
      <c r="E230" s="13" t="n">
        <v>220410</v>
      </c>
      <c r="F230" s="13" t="n">
        <v>83655</v>
      </c>
      <c r="G230" s="13" t="n">
        <v>511</v>
      </c>
    </row>
    <row r="231">
      <c r="A231" s="11" t="inlineStr">
        <is>
          <t>Fair Value of Assets</t>
        </is>
      </c>
      <c r="B231" s="11" t="inlineStr">
        <is>
          <t>NA</t>
        </is>
      </c>
      <c r="C231" s="13" t="n">
        <v>62422</v>
      </c>
      <c r="D231" s="13" t="n">
        <v>141625</v>
      </c>
      <c r="E231" s="13" t="n">
        <v>220410</v>
      </c>
      <c r="F231" s="13" t="n">
        <v>83655</v>
      </c>
      <c r="G231" s="13" t="n">
        <v>511</v>
      </c>
    </row>
    <row r="232">
      <c r="A232" s="11" t="inlineStr">
        <is>
          <t>Fair Value Change Included in Earnings</t>
        </is>
      </c>
      <c r="B232" s="11" t="inlineStr">
        <is>
          <t>NA</t>
        </is>
      </c>
      <c r="C232" s="11" t="inlineStr">
        <is>
          <t>NA</t>
        </is>
      </c>
      <c r="D232" s="13" t="n">
        <v>-659</v>
      </c>
      <c r="E232" s="13" t="n">
        <v>-770</v>
      </c>
      <c r="F232" s="13" t="n">
        <v>2621</v>
      </c>
      <c r="G232" s="13" t="n">
        <v>-929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A2" s="11" t="inlineStr">
        <is>
          <t>Applied Materials, Inc. | Income Statement</t>
        </is>
      </c>
    </row>
    <row r="3">
      <c r="A3" s="11" t="inlineStr">
        <is>
          <t>NASDAQGS:AMAT (MI KEY: 4073928; SPCIQ KEY: 251230)</t>
        </is>
      </c>
    </row>
    <row r="5">
      <c r="A5" s="11" t="inlineStr">
        <is>
          <t>Source: Recommended</t>
        </is>
      </c>
    </row>
    <row r="6">
      <c r="A6" s="11" t="inlineStr">
        <is>
          <t>Period Category: Fiscal</t>
        </is>
      </c>
    </row>
    <row r="7">
      <c r="A7" s="11" t="inlineStr">
        <is>
          <t>Period Type: Years</t>
        </is>
      </c>
    </row>
    <row r="8">
      <c r="A8" s="11" t="inlineStr">
        <is>
          <t>Reporting Basis: Current/Restated</t>
        </is>
      </c>
    </row>
    <row r="9">
      <c r="A9" s="11" t="inlineStr">
        <is>
          <t>Sort Order: Latest on Right</t>
        </is>
      </c>
    </row>
    <row r="10">
      <c r="A10" s="11" t="inlineStr">
        <is>
          <t>Currency: Euro (EUR)</t>
        </is>
      </c>
    </row>
    <row r="11">
      <c r="A11" s="11" t="inlineStr">
        <is>
          <t>Magnitude: Thousands (K)</t>
        </is>
      </c>
    </row>
    <row r="13">
      <c r="A13" s="11" t="inlineStr">
        <is>
          <t>Recommended: S&amp;P Capital IQ - Standard</t>
        </is>
      </c>
      <c r="B13" s="11" t="inlineStr">
        <is>
          <t>2019 FY</t>
        </is>
      </c>
      <c r="C13" s="11" t="inlineStr">
        <is>
          <t>2020 FY</t>
        </is>
      </c>
      <c r="D13" s="11" t="inlineStr">
        <is>
          <t>2021 FY</t>
        </is>
      </c>
      <c r="E13" s="11" t="inlineStr">
        <is>
          <t>2022 FY</t>
        </is>
      </c>
      <c r="F13" s="11" t="inlineStr">
        <is>
          <t>2023 FY</t>
        </is>
      </c>
      <c r="G13" s="11" t="inlineStr">
        <is>
          <t>2024 FY</t>
        </is>
      </c>
    </row>
    <row r="14">
      <c r="A14" s="11" t="inlineStr">
        <is>
          <t xml:space="preserve"> </t>
        </is>
      </c>
      <c r="B14" s="11" t="inlineStr">
        <is>
          <t>Current/Restated</t>
        </is>
      </c>
      <c r="C14" s="11" t="inlineStr">
        <is>
          <t>Current/Restated</t>
        </is>
      </c>
      <c r="D14" s="11" t="inlineStr">
        <is>
          <t>Current/Restated</t>
        </is>
      </c>
      <c r="E14" s="11" t="inlineStr">
        <is>
          <t>Current/Restated</t>
        </is>
      </c>
      <c r="F14" s="11" t="inlineStr">
        <is>
          <t>Current/Restated</t>
        </is>
      </c>
      <c r="G14" s="11" t="inlineStr">
        <is>
          <t>Current/Restated</t>
        </is>
      </c>
    </row>
    <row r="15">
      <c r="A15" s="11" t="inlineStr">
        <is>
          <t>Period Ended</t>
        </is>
      </c>
      <c r="B15" s="12" t="n">
        <v>43765</v>
      </c>
      <c r="C15" s="12" t="n">
        <v>44129</v>
      </c>
      <c r="D15" s="12" t="n">
        <v>44500</v>
      </c>
      <c r="E15" s="12" t="n">
        <v>44864</v>
      </c>
      <c r="F15" s="12" t="n">
        <v>45228</v>
      </c>
      <c r="G15" s="12" t="n">
        <v>45592</v>
      </c>
    </row>
    <row r="16">
      <c r="A16" s="11" t="inlineStr">
        <is>
          <t>Financial Filing Date</t>
        </is>
      </c>
      <c r="B16" s="12" t="n">
        <v>44547</v>
      </c>
      <c r="C16" s="12" t="n">
        <v>44911</v>
      </c>
      <c r="D16" s="12" t="n">
        <v>45275</v>
      </c>
      <c r="E16" s="12" t="n">
        <v>45639</v>
      </c>
      <c r="F16" s="12" t="n">
        <v>46003</v>
      </c>
      <c r="G16" s="12" t="n">
        <v>46003</v>
      </c>
    </row>
    <row r="17">
      <c r="A17" s="11" t="inlineStr">
        <is>
          <t>Spot Exchange Rate</t>
        </is>
      </c>
      <c r="B17" s="13" t="n">
        <v>0.9018</v>
      </c>
      <c r="C17" s="13" t="n">
        <v>0.8448</v>
      </c>
      <c r="D17" s="13" t="n">
        <v>0.8648</v>
      </c>
      <c r="E17" s="13" t="n">
        <v>1.0057</v>
      </c>
      <c r="F17" s="13" t="n">
        <v>0.9441000000000001</v>
      </c>
      <c r="G17" s="13" t="n">
        <v>0.924</v>
      </c>
    </row>
    <row r="18">
      <c r="A18" s="11" t="inlineStr">
        <is>
          <t>Average Exchange Rate</t>
        </is>
      </c>
      <c r="B18" s="13" t="n">
        <v>0.8893867704280121</v>
      </c>
      <c r="C18" s="13" t="n">
        <v>0.889476171874982</v>
      </c>
      <c r="D18" s="13" t="n">
        <v>0.8377276923076842</v>
      </c>
      <c r="E18" s="13" t="n">
        <v>0.9370230769230707</v>
      </c>
      <c r="F18" s="13" t="n">
        <v>0.9317722007722278</v>
      </c>
      <c r="G18" s="13" t="n">
        <v>0.9199189922480943</v>
      </c>
    </row>
    <row r="19">
      <c r="A19" s="11" t="inlineStr">
        <is>
          <t xml:space="preserve"> </t>
        </is>
      </c>
    </row>
    <row r="20">
      <c r="A20" s="11" t="inlineStr">
        <is>
          <t>(€000)</t>
        </is>
      </c>
    </row>
    <row r="21">
      <c r="A21" s="11" t="inlineStr">
        <is>
          <t>Revenue</t>
        </is>
      </c>
      <c r="B21" s="13" t="n">
        <v>12992161.9424124</v>
      </c>
      <c r="C21" s="13" t="n">
        <v>15300769.10859344</v>
      </c>
      <c r="D21" s="13" t="n">
        <v>19320513.76769212</v>
      </c>
      <c r="E21" s="13" t="n">
        <v>24161140.03846138</v>
      </c>
      <c r="F21" s="13" t="n">
        <v>24707803.44787716</v>
      </c>
      <c r="G21" s="13" t="n">
        <v>24999718.53333421</v>
      </c>
    </row>
    <row r="22">
      <c r="A22" s="11" t="inlineStr">
        <is>
          <t xml:space="preserve">        Total Revenue</t>
        </is>
      </c>
      <c r="B22" s="13" t="n">
        <v>12992161.9424124</v>
      </c>
      <c r="C22" s="13" t="n">
        <v>15300769.10859344</v>
      </c>
      <c r="D22" s="13" t="n">
        <v>19320513.76769212</v>
      </c>
      <c r="E22" s="13" t="n">
        <v>24161140.03846138</v>
      </c>
      <c r="F22" s="13" t="n">
        <v>24707803.44787716</v>
      </c>
      <c r="G22" s="13" t="n">
        <v>24999718.53333421</v>
      </c>
    </row>
    <row r="23">
      <c r="A23" s="11" t="inlineStr">
        <is>
          <t>Cost Of Goods Sold</t>
        </is>
      </c>
      <c r="B23" s="13" t="n">
        <v>7312538.026459116</v>
      </c>
      <c r="C23" s="13" t="n">
        <v>8438460.442577954</v>
      </c>
      <c r="D23" s="13" t="n">
        <v>10177553.73384606</v>
      </c>
      <c r="E23" s="13" t="n">
        <v>12923422.27692299</v>
      </c>
      <c r="F23" s="13" t="n">
        <v>13168736.51351389</v>
      </c>
      <c r="G23" s="13" t="n">
        <v>13135523.29031054</v>
      </c>
    </row>
    <row r="24">
      <c r="A24" s="11" t="inlineStr">
        <is>
          <t xml:space="preserve">        Gross Profit</t>
        </is>
      </c>
      <c r="B24" s="13" t="n">
        <v>5679623.915953285</v>
      </c>
      <c r="C24" s="13" t="n">
        <v>6862308.666015486</v>
      </c>
      <c r="D24" s="13" t="n">
        <v>9142960.033846065</v>
      </c>
      <c r="E24" s="13" t="n">
        <v>11237717.76153839</v>
      </c>
      <c r="F24" s="13" t="n">
        <v>11539066.93436327</v>
      </c>
      <c r="G24" s="13" t="n">
        <v>11864195.24302367</v>
      </c>
    </row>
    <row r="25">
      <c r="A25" s="11" t="inlineStr">
        <is>
          <t xml:space="preserve"> </t>
        </is>
      </c>
    </row>
    <row r="26">
      <c r="A26" s="11" t="inlineStr">
        <is>
          <t>Selling General &amp; Admin Exp.</t>
        </is>
      </c>
      <c r="B26" s="13" t="n">
        <v>853811.2996108916</v>
      </c>
      <c r="C26" s="13" t="n">
        <v>901039.3621093567</v>
      </c>
      <c r="D26" s="13" t="n">
        <v>1029567.333846144</v>
      </c>
      <c r="E26" s="13" t="n">
        <v>1347439.184615376</v>
      </c>
      <c r="F26" s="13" t="n">
        <v>1516925.142857187</v>
      </c>
      <c r="G26" s="13" t="n">
        <v>1653094.429069825</v>
      </c>
    </row>
    <row r="27">
      <c r="A27" s="11" t="inlineStr">
        <is>
          <t>R &amp; D Exp.</t>
        </is>
      </c>
      <c r="B27" s="13" t="n">
        <v>1826800.426459137</v>
      </c>
      <c r="C27" s="13" t="n">
        <v>1987089.76796871</v>
      </c>
      <c r="D27" s="13" t="n">
        <v>2081753.315384595</v>
      </c>
      <c r="E27" s="13" t="n">
        <v>2596490.946153829</v>
      </c>
      <c r="F27" s="13" t="n">
        <v>2890357.36679545</v>
      </c>
      <c r="G27" s="13" t="n">
        <v>2974098.101938089</v>
      </c>
    </row>
    <row r="28">
      <c r="A28" s="11" t="inlineStr">
        <is>
          <t xml:space="preserve">        Other Operating Exp., Total</t>
        </is>
      </c>
      <c r="B28" s="13" t="n">
        <v>2680611.726070028</v>
      </c>
      <c r="C28" s="13" t="n">
        <v>2888129.130078067</v>
      </c>
      <c r="D28" s="13" t="n">
        <v>3111320.649230739</v>
      </c>
      <c r="E28" s="13" t="n">
        <v>3943930.130769205</v>
      </c>
      <c r="F28" s="13" t="n">
        <v>4407282.509652637</v>
      </c>
      <c r="G28" s="13" t="n">
        <v>4627192.531007914</v>
      </c>
    </row>
    <row r="29">
      <c r="A29" s="11" t="inlineStr">
        <is>
          <t xml:space="preserve">        Operating Income</t>
        </is>
      </c>
      <c r="B29" s="13" t="n">
        <v>2999012.189883257</v>
      </c>
      <c r="C29" s="13" t="n">
        <v>3974179.535937419</v>
      </c>
      <c r="D29" s="13" t="n">
        <v>6031639.384615326</v>
      </c>
      <c r="E29" s="13" t="n">
        <v>7293787.630769183</v>
      </c>
      <c r="F29" s="13" t="n">
        <v>7131784.424710631</v>
      </c>
      <c r="G29" s="13" t="n">
        <v>7237002.712015757</v>
      </c>
    </row>
    <row r="30">
      <c r="A30" s="11" t="inlineStr">
        <is>
          <t xml:space="preserve"> </t>
        </is>
      </c>
    </row>
    <row r="31">
      <c r="A31" s="11" t="inlineStr">
        <is>
          <t>Interest Expense</t>
        </is>
      </c>
      <c r="B31" s="13" t="n">
        <v>-210784.6645914389</v>
      </c>
      <c r="C31" s="13" t="n">
        <v>-213474.2812499957</v>
      </c>
      <c r="D31" s="13" t="n">
        <v>-197703.7353846135</v>
      </c>
      <c r="E31" s="13" t="n">
        <v>-213641.2615384601</v>
      </c>
      <c r="F31" s="13" t="n">
        <v>-221761.7837837902</v>
      </c>
      <c r="G31" s="13" t="n">
        <v>-227219.9910852793</v>
      </c>
    </row>
    <row r="32">
      <c r="A32" s="11" t="inlineStr">
        <is>
          <t>Interest and Invest. Income</t>
        </is>
      </c>
      <c r="B32" s="13" t="n">
        <v>106726.4124513615</v>
      </c>
      <c r="C32" s="13" t="n">
        <v>67600.18906249863</v>
      </c>
      <c r="D32" s="11" t="inlineStr">
        <is>
          <t>NA</t>
        </is>
      </c>
      <c r="E32" s="13" t="n">
        <v>29984.73846153827</v>
      </c>
      <c r="F32" s="13" t="n">
        <v>254373.8108108182</v>
      </c>
      <c r="G32" s="13" t="n">
        <v>470998.5240310243</v>
      </c>
    </row>
    <row r="33">
      <c r="A33" s="11" t="inlineStr">
        <is>
          <t xml:space="preserve">        Net Interest Exp.</t>
        </is>
      </c>
      <c r="B33" s="13" t="n">
        <v>-104058.2521400774</v>
      </c>
      <c r="C33" s="13" t="n">
        <v>-145874.092187497</v>
      </c>
      <c r="D33" s="13" t="n">
        <v>-197703.7353846135</v>
      </c>
      <c r="E33" s="13" t="n">
        <v>-183656.5230769219</v>
      </c>
      <c r="F33" s="13" t="n">
        <v>32612.02702702797</v>
      </c>
      <c r="G33" s="13" t="n">
        <v>243778.532945745</v>
      </c>
    </row>
    <row r="34">
      <c r="A34" s="11" t="inlineStr">
        <is>
          <t>Currency Exchange Gains</t>
        </is>
      </c>
      <c r="B34" s="11" t="inlineStr">
        <is>
          <t>NA</t>
        </is>
      </c>
      <c r="C34" s="13" t="n">
        <v>-8894.76171874982</v>
      </c>
      <c r="D34" s="13" t="n">
        <v>24294.10307692284</v>
      </c>
      <c r="E34" s="11" t="inlineStr">
        <is>
          <t>NA</t>
        </is>
      </c>
      <c r="F34" s="11" t="inlineStr">
        <is>
          <t>NA</t>
        </is>
      </c>
      <c r="G34" s="11" t="inlineStr">
        <is>
          <t>NA</t>
        </is>
      </c>
    </row>
    <row r="35">
      <c r="A35" s="11" t="inlineStr">
        <is>
          <t>Other Non-Operating Inc.</t>
        </is>
      </c>
      <c r="B35" s="11" t="inlineStr">
        <is>
          <t>NA</t>
        </is>
      </c>
      <c r="C35" s="13" t="n">
        <v>-889.4761718749819</v>
      </c>
      <c r="D35" s="13" t="n">
        <v>-8377.276923076843</v>
      </c>
      <c r="E35" s="11" t="inlineStr">
        <is>
          <t>NA</t>
        </is>
      </c>
      <c r="F35" s="11" t="inlineStr">
        <is>
          <t>NA</t>
        </is>
      </c>
      <c r="G35" s="11" t="inlineStr">
        <is>
          <t>NA</t>
        </is>
      </c>
    </row>
    <row r="36">
      <c r="A36" s="11" t="inlineStr">
        <is>
          <t xml:space="preserve">        EBT Excl Unusual Items</t>
        </is>
      </c>
      <c r="B36" s="13" t="n">
        <v>2894953.937743179</v>
      </c>
      <c r="C36" s="13" t="n">
        <v>3818521.205859297</v>
      </c>
      <c r="D36" s="13" t="n">
        <v>5849852.475384559</v>
      </c>
      <c r="E36" s="13" t="n">
        <v>7110131.107692261</v>
      </c>
      <c r="F36" s="13" t="n">
        <v>7164396.451737659</v>
      </c>
      <c r="G36" s="13" t="n">
        <v>7480781.244961503</v>
      </c>
    </row>
    <row r="37">
      <c r="A37" s="11" t="inlineStr">
        <is>
          <t>Restructuring Charges</t>
        </is>
      </c>
      <c r="B37" s="11" t="inlineStr">
        <is>
          <t>NA</t>
        </is>
      </c>
      <c r="C37" s="11" t="inlineStr">
        <is>
          <t>NA</t>
        </is>
      </c>
      <c r="D37" s="13" t="n">
        <v>-131523.2476923064</v>
      </c>
      <c r="E37" s="13" t="n">
        <v>3748.092307692283</v>
      </c>
      <c r="F37" s="11" t="inlineStr">
        <is>
          <t>NA</t>
        </is>
      </c>
      <c r="G37" s="11" t="inlineStr">
        <is>
          <t>NA</t>
        </is>
      </c>
    </row>
    <row r="38">
      <c r="A38" s="11" t="inlineStr">
        <is>
          <t>Merger &amp; Related Restruct. Charges</t>
        </is>
      </c>
      <c r="B38" s="13" t="n">
        <v>-19566.50894941626</v>
      </c>
      <c r="C38" s="13" t="n">
        <v>-71158.09374999856</v>
      </c>
      <c r="D38" s="11" t="inlineStr">
        <is>
          <t>NA</t>
        </is>
      </c>
      <c r="E38" s="11" t="inlineStr">
        <is>
          <t>NA</t>
        </is>
      </c>
      <c r="F38" s="11" t="inlineStr">
        <is>
          <t>NA</t>
        </is>
      </c>
      <c r="G38" s="11" t="inlineStr">
        <is>
          <t>NA</t>
        </is>
      </c>
    </row>
    <row r="39">
      <c r="A39" s="11" t="inlineStr">
        <is>
          <t>Gain (Loss) On Sale Of Invest.</t>
        </is>
      </c>
      <c r="B39" s="13" t="n">
        <v>32017.92373540843</v>
      </c>
      <c r="C39" s="13" t="n">
        <v>8005.285546874838</v>
      </c>
      <c r="D39" s="13" t="n">
        <v>82935.04153846073</v>
      </c>
      <c r="E39" s="13" t="n">
        <v>6559.161538461495</v>
      </c>
      <c r="F39" s="13" t="n">
        <v>25157.84942085015</v>
      </c>
      <c r="G39" s="13" t="n">
        <v>18398.37984496188</v>
      </c>
    </row>
    <row r="40">
      <c r="A40" s="11" t="inlineStr">
        <is>
          <t>Other Unusual Items</t>
        </is>
      </c>
      <c r="B40" s="11" t="inlineStr">
        <is>
          <t>NA</t>
        </is>
      </c>
      <c r="C40" s="13" t="n">
        <v>-49810.66562499899</v>
      </c>
      <c r="D40" s="13" t="n">
        <v>-129010.0646153834</v>
      </c>
      <c r="E40" s="11" t="inlineStr">
        <is>
          <t>NA</t>
        </is>
      </c>
      <c r="F40" s="11" t="inlineStr">
        <is>
          <t>NA</t>
        </is>
      </c>
      <c r="G40" s="11" t="inlineStr">
        <is>
          <t>NA</t>
        </is>
      </c>
    </row>
    <row r="41">
      <c r="A41" s="11" t="inlineStr">
        <is>
          <t xml:space="preserve">        EBT Incl. Unusual Items</t>
        </is>
      </c>
      <c r="B41" s="13" t="n">
        <v>2907405.352529171</v>
      </c>
      <c r="C41" s="13" t="n">
        <v>3705557.732031175</v>
      </c>
      <c r="D41" s="13" t="n">
        <v>5672254.204615329</v>
      </c>
      <c r="E41" s="13" t="n">
        <v>7120438.361538415</v>
      </c>
      <c r="F41" s="13" t="n">
        <v>7189554.301158509</v>
      </c>
      <c r="G41" s="13" t="n">
        <v>7499179.624806465</v>
      </c>
    </row>
    <row r="42">
      <c r="A42" s="11" t="inlineStr">
        <is>
          <t xml:space="preserve"> </t>
        </is>
      </c>
    </row>
    <row r="43">
      <c r="A43" s="11" t="inlineStr">
        <is>
          <t>Income Tax Expense</t>
        </is>
      </c>
      <c r="B43" s="13" t="n">
        <v>500724.7517509708</v>
      </c>
      <c r="C43" s="13" t="n">
        <v>486543.4660156152</v>
      </c>
      <c r="D43" s="13" t="n">
        <v>739713.5523076851</v>
      </c>
      <c r="E43" s="13" t="n">
        <v>1006362.784615378</v>
      </c>
      <c r="F43" s="13" t="n">
        <v>801324.0926641159</v>
      </c>
      <c r="G43" s="13" t="n">
        <v>896921.0174418919</v>
      </c>
    </row>
    <row r="44">
      <c r="A44" s="11" t="inlineStr">
        <is>
          <t xml:space="preserve">        Earnings from Cont. Ops.</t>
        </is>
      </c>
      <c r="B44" s="13" t="n">
        <v>2406680.600778201</v>
      </c>
      <c r="C44" s="13" t="n">
        <v>3219014.26601556</v>
      </c>
      <c r="D44" s="13" t="n">
        <v>4932540.652307644</v>
      </c>
      <c r="E44" s="13" t="n">
        <v>6114075.576923037</v>
      </c>
      <c r="F44" s="13" t="n">
        <v>6388230.208494394</v>
      </c>
      <c r="G44" s="13" t="n">
        <v>6602258.607364573</v>
      </c>
    </row>
    <row r="45">
      <c r="A45" s="11" t="inlineStr">
        <is>
          <t xml:space="preserve">        Net Income to Company</t>
        </is>
      </c>
      <c r="B45" s="13" t="n">
        <v>2406680.600778201</v>
      </c>
      <c r="C45" s="13" t="n">
        <v>3219014.26601556</v>
      </c>
      <c r="D45" s="13" t="n">
        <v>4932540.652307644</v>
      </c>
      <c r="E45" s="13" t="n">
        <v>6114075.576923037</v>
      </c>
      <c r="F45" s="13" t="n">
        <v>6388230.208494394</v>
      </c>
      <c r="G45" s="13" t="n">
        <v>6602258.607364573</v>
      </c>
    </row>
    <row r="46">
      <c r="A46" s="11" t="inlineStr">
        <is>
          <t xml:space="preserve">        Net Income</t>
        </is>
      </c>
      <c r="B46" s="13" t="n">
        <v>2406680.600778201</v>
      </c>
      <c r="C46" s="13" t="n">
        <v>3219014.26601556</v>
      </c>
      <c r="D46" s="13" t="n">
        <v>4932540.652307644</v>
      </c>
      <c r="E46" s="13" t="n">
        <v>6114075.576923037</v>
      </c>
      <c r="F46" s="13" t="n">
        <v>6388230.208494394</v>
      </c>
      <c r="G46" s="13" t="n">
        <v>6602258.607364573</v>
      </c>
    </row>
    <row r="47">
      <c r="A47" s="11" t="inlineStr">
        <is>
          <t xml:space="preserve">        NI to Common Incl Extra Items</t>
        </is>
      </c>
      <c r="B47" s="13" t="n">
        <v>2406680.600778201</v>
      </c>
      <c r="C47" s="13" t="n">
        <v>3219014.26601556</v>
      </c>
      <c r="D47" s="13" t="n">
        <v>4932540.652307644</v>
      </c>
      <c r="E47" s="13" t="n">
        <v>6114075.576923037</v>
      </c>
      <c r="F47" s="13" t="n">
        <v>6388230.208494394</v>
      </c>
      <c r="G47" s="13" t="n">
        <v>6602258.607364573</v>
      </c>
    </row>
    <row r="48">
      <c r="A48" s="11" t="inlineStr">
        <is>
          <t xml:space="preserve">        NI to Common Excl. Extra Items</t>
        </is>
      </c>
      <c r="B48" s="13" t="n">
        <v>2406680.600778201</v>
      </c>
      <c r="C48" s="13" t="n">
        <v>3219014.26601556</v>
      </c>
      <c r="D48" s="13" t="n">
        <v>4932540.652307644</v>
      </c>
      <c r="E48" s="13" t="n">
        <v>6114075.576923037</v>
      </c>
      <c r="F48" s="13" t="n">
        <v>6388230.208494394</v>
      </c>
      <c r="G48" s="13" t="n">
        <v>6602258.607364573</v>
      </c>
    </row>
    <row r="49">
      <c r="A49" s="11" t="inlineStr">
        <is>
          <t>Per Share Items (€)</t>
        </is>
      </c>
    </row>
    <row r="50">
      <c r="A50" s="11" t="inlineStr">
        <is>
          <t>Basic EPS</t>
        </is>
      </c>
      <c r="B50" s="13" t="n">
        <v>2.568548992996099</v>
      </c>
      <c r="C50" s="13" t="n">
        <v>3.514320355078054</v>
      </c>
      <c r="D50" s="13" t="n">
        <v>5.420098169230717</v>
      </c>
      <c r="E50" s="13" t="n">
        <v>7.019239869230723</v>
      </c>
      <c r="F50" s="13" t="n">
        <v>7.605124702702924</v>
      </c>
      <c r="G50" s="13" t="n">
        <v>7.983057014728963</v>
      </c>
    </row>
    <row r="51">
      <c r="A51" s="11" t="inlineStr">
        <is>
          <t>Basic EPS Excl. Extra Items</t>
        </is>
      </c>
      <c r="B51" s="13" t="n">
        <v>2.568548992996099</v>
      </c>
      <c r="C51" s="13" t="n">
        <v>3.514320355078054</v>
      </c>
      <c r="D51" s="13" t="n">
        <v>5.420098169230717</v>
      </c>
      <c r="E51" s="13" t="n">
        <v>7.019239869230723</v>
      </c>
      <c r="F51" s="13" t="n">
        <v>7.605124702702924</v>
      </c>
      <c r="G51" s="13" t="n">
        <v>7.983057014728963</v>
      </c>
    </row>
    <row r="52">
      <c r="A52" s="11" t="inlineStr">
        <is>
          <t>Weighted Avg. Basic Shares Out. (actual)</t>
        </is>
      </c>
      <c r="B52" s="13" t="n">
        <v>937000000</v>
      </c>
      <c r="C52" s="13" t="n">
        <v>916000000</v>
      </c>
      <c r="D52" s="13" t="n">
        <v>910000000</v>
      </c>
      <c r="E52" s="13" t="n">
        <v>871000000</v>
      </c>
      <c r="F52" s="13" t="n">
        <v>840000000</v>
      </c>
      <c r="G52" s="13" t="n">
        <v>827000000</v>
      </c>
    </row>
    <row r="53">
      <c r="A53" s="11" t="inlineStr">
        <is>
          <t>Diluted EPS Incl. Extra Items</t>
        </is>
      </c>
      <c r="B53" s="13" t="n">
        <v>2.543646163424115</v>
      </c>
      <c r="C53" s="13" t="n">
        <v>3.486746593749929</v>
      </c>
      <c r="D53" s="13" t="n">
        <v>5.361457230769179</v>
      </c>
      <c r="E53" s="13" t="n">
        <v>6.971451692307647</v>
      </c>
      <c r="F53" s="13" t="n">
        <v>7.556672548262767</v>
      </c>
      <c r="G53" s="13" t="n">
        <v>7.920502523256091</v>
      </c>
    </row>
    <row r="54">
      <c r="A54" s="11" t="inlineStr">
        <is>
          <t>Diluted EPS Excl. Extra Items</t>
        </is>
      </c>
      <c r="B54" s="13" t="n">
        <v>2.543646163424115</v>
      </c>
      <c r="C54" s="13" t="n">
        <v>3.486746593749929</v>
      </c>
      <c r="D54" s="13" t="n">
        <v>5.361457230769179</v>
      </c>
      <c r="E54" s="13" t="n">
        <v>6.971451692307647</v>
      </c>
      <c r="F54" s="13" t="n">
        <v>7.556672548262767</v>
      </c>
      <c r="G54" s="13" t="n">
        <v>7.920502523256091</v>
      </c>
    </row>
    <row r="55">
      <c r="A55" s="11" t="inlineStr">
        <is>
          <t>Weighted Avg. Diluted Shares Out. (actual)</t>
        </is>
      </c>
      <c r="B55" s="13" t="n">
        <v>945000000</v>
      </c>
      <c r="C55" s="13" t="n">
        <v>923000000</v>
      </c>
      <c r="D55" s="13" t="n">
        <v>919000000</v>
      </c>
      <c r="E55" s="13" t="n">
        <v>877000000</v>
      </c>
      <c r="F55" s="13" t="n">
        <v>845000000</v>
      </c>
      <c r="G55" s="13" t="n">
        <v>834000000</v>
      </c>
    </row>
    <row r="56">
      <c r="A56" s="11" t="inlineStr">
        <is>
          <t>Normalized Basic EPS</t>
        </is>
      </c>
      <c r="B56" s="13" t="n">
        <v>1.930858678599214</v>
      </c>
      <c r="C56" s="13" t="n">
        <v>2.605275707421822</v>
      </c>
      <c r="D56" s="13" t="n">
        <v>4.017742012307654</v>
      </c>
      <c r="E56" s="13" t="n">
        <v>5.102090653846121</v>
      </c>
      <c r="F56" s="13" t="n">
        <v>5.330668760617916</v>
      </c>
      <c r="G56" s="13" t="n">
        <v>5.653822126356787</v>
      </c>
    </row>
    <row r="57">
      <c r="A57" s="11" t="inlineStr">
        <is>
          <t>Normalized Diluted EPS</t>
        </is>
      </c>
      <c r="B57" s="13" t="n">
        <v>1.91484971673151</v>
      </c>
      <c r="C57" s="13" t="n">
        <v>2.585707231640573</v>
      </c>
      <c r="D57" s="13" t="n">
        <v>3.978368810769192</v>
      </c>
      <c r="E57" s="13" t="n">
        <v>5.067420799999967</v>
      </c>
      <c r="F57" s="13" t="n">
        <v>5.29898850579166</v>
      </c>
      <c r="G57" s="13" t="n">
        <v>5.605986338759887</v>
      </c>
    </row>
    <row r="58">
      <c r="A58" s="11" t="inlineStr">
        <is>
          <t>Dividends per Share</t>
        </is>
      </c>
      <c r="B58" s="13" t="n">
        <v>0.73819101945525</v>
      </c>
      <c r="C58" s="13" t="n">
        <v>0.7738442695312343</v>
      </c>
      <c r="D58" s="13" t="n">
        <v>0.7874640307692231</v>
      </c>
      <c r="E58" s="13" t="n">
        <v>0.9557635384615322</v>
      </c>
      <c r="F58" s="13" t="n">
        <v>1.136762084942118</v>
      </c>
      <c r="G58" s="13" t="n">
        <v>1.398276868217103</v>
      </c>
    </row>
    <row r="59">
      <c r="A59" s="11" t="inlineStr">
        <is>
          <t>Payout Ratio (%)</t>
        </is>
      </c>
      <c r="B59" s="13" t="n">
        <v>28.492</v>
      </c>
      <c r="C59" s="13" t="n">
        <v>21.746</v>
      </c>
      <c r="D59" s="13" t="n">
        <v>14.232</v>
      </c>
      <c r="E59" s="13" t="n">
        <v>13.379</v>
      </c>
      <c r="F59" s="13" t="n">
        <v>14.221</v>
      </c>
      <c r="G59" s="13" t="n">
        <v>16.609</v>
      </c>
    </row>
    <row r="60">
      <c r="A60" s="11" t="inlineStr">
        <is>
          <t>Shares per Depositary Receipt (actual)</t>
        </is>
      </c>
      <c r="B60" s="13" t="n">
        <v>0.1</v>
      </c>
      <c r="C60" s="13" t="n">
        <v>0.1</v>
      </c>
      <c r="D60" s="13" t="n">
        <v>0.1</v>
      </c>
      <c r="E60" s="13" t="n">
        <v>0.1</v>
      </c>
      <c r="F60" s="13" t="n">
        <v>0.1</v>
      </c>
      <c r="G60" s="13" t="n">
        <v>0.1</v>
      </c>
    </row>
    <row r="61">
      <c r="A61" s="11" t="inlineStr">
        <is>
          <t>Supplemental Items (€000)</t>
        </is>
      </c>
    </row>
    <row r="62">
      <c r="A62" s="11" t="inlineStr">
        <is>
          <t>EBITDA</t>
        </is>
      </c>
      <c r="B62" s="13" t="n">
        <v>3321859.587548625</v>
      </c>
      <c r="C62" s="13" t="n">
        <v>4308622.576562413</v>
      </c>
      <c r="D62" s="13" t="n">
        <v>6361704.095384554</v>
      </c>
      <c r="E62" s="13" t="n">
        <v>7709825.876923027</v>
      </c>
      <c r="F62" s="13" t="n">
        <v>7611647.108108329</v>
      </c>
      <c r="G62" s="13" t="n">
        <v>7597610.956977011</v>
      </c>
    </row>
    <row r="63">
      <c r="A63" s="11" t="inlineStr">
        <is>
          <t>EBITA</t>
        </is>
      </c>
      <c r="B63" s="13" t="n">
        <v>3049707.235797653</v>
      </c>
      <c r="C63" s="13" t="n">
        <v>4023990.201562419</v>
      </c>
      <c r="D63" s="13" t="n">
        <v>6072688.041538402</v>
      </c>
      <c r="E63" s="13" t="n">
        <v>7293787.630769183</v>
      </c>
      <c r="F63" s="13" t="n">
        <v>7131784.424710631</v>
      </c>
      <c r="G63" s="13" t="n">
        <v>7237002.712015757</v>
      </c>
    </row>
    <row r="64">
      <c r="A64" s="11" t="inlineStr">
        <is>
          <t>EBIT</t>
        </is>
      </c>
      <c r="B64" s="13" t="n">
        <v>2999012.189883257</v>
      </c>
      <c r="C64" s="13" t="n">
        <v>3974179.535937419</v>
      </c>
      <c r="D64" s="13" t="n">
        <v>6031639.384615326</v>
      </c>
      <c r="E64" s="13" t="n">
        <v>7293787.630769183</v>
      </c>
      <c r="F64" s="13" t="n">
        <v>7131784.424710631</v>
      </c>
      <c r="G64" s="13" t="n">
        <v>7237002.712015757</v>
      </c>
    </row>
    <row r="65">
      <c r="A65" s="11" t="inlineStr">
        <is>
          <t>EBITDAR</t>
        </is>
      </c>
      <c r="B65" s="13" t="n">
        <v>3367218.312840454</v>
      </c>
      <c r="C65" s="13" t="n">
        <v>4369996.432421787</v>
      </c>
      <c r="D65" s="13" t="n">
        <v>6427884.583076861</v>
      </c>
      <c r="E65" s="11" t="inlineStr">
        <is>
          <t>NA</t>
        </is>
      </c>
      <c r="F65" s="11" t="inlineStr">
        <is>
          <t>NA</t>
        </is>
      </c>
      <c r="G65" s="11" t="inlineStr">
        <is>
          <t>NA</t>
        </is>
      </c>
    </row>
    <row r="66">
      <c r="A66" s="11" t="inlineStr">
        <is>
          <t>Effective Tax Rate (%)</t>
        </is>
      </c>
      <c r="B66" s="13" t="n">
        <v>17.222</v>
      </c>
      <c r="C66" s="13" t="n">
        <v>13.13</v>
      </c>
      <c r="D66" s="13" t="n">
        <v>13.041</v>
      </c>
      <c r="E66" s="13" t="n">
        <v>14.133</v>
      </c>
      <c r="F66" s="13" t="n">
        <v>11.146</v>
      </c>
      <c r="G66" s="13" t="n">
        <v>11.96</v>
      </c>
    </row>
    <row r="67">
      <c r="A67" s="11" t="inlineStr">
        <is>
          <t>Current Domestic Taxes</t>
        </is>
      </c>
      <c r="B67" s="13" t="n">
        <v>224125.466147859</v>
      </c>
      <c r="C67" s="13" t="n">
        <v>233932.2332031203</v>
      </c>
      <c r="D67" s="13" t="n">
        <v>401271.5646153807</v>
      </c>
      <c r="E67" s="13" t="n">
        <v>565961.9384615347</v>
      </c>
      <c r="F67" s="13" t="n">
        <v>710010.4169884375</v>
      </c>
      <c r="G67" s="13" t="n">
        <v>1183935.743023297</v>
      </c>
    </row>
    <row r="68">
      <c r="A68" s="11" t="inlineStr">
        <is>
          <t>Current Foreign Taxes</t>
        </is>
      </c>
      <c r="B68" s="13" t="n">
        <v>231240.5603112831</v>
      </c>
      <c r="C68" s="11" t="inlineStr">
        <is>
          <t>NA</t>
        </is>
      </c>
      <c r="D68" s="13" t="n">
        <v>288178.3261538434</v>
      </c>
      <c r="E68" s="13" t="n">
        <v>257681.3461538445</v>
      </c>
      <c r="F68" s="13" t="n">
        <v>424888.1235521359</v>
      </c>
      <c r="G68" s="13" t="n">
        <v>336690.3511628025</v>
      </c>
    </row>
    <row r="69">
      <c r="A69" s="11" t="inlineStr">
        <is>
          <t>Total Current Taxes</t>
        </is>
      </c>
      <c r="B69" s="13" t="n">
        <v>455366.0264591422</v>
      </c>
      <c r="C69" s="13" t="n">
        <v>233932.2332031203</v>
      </c>
      <c r="D69" s="13" t="n">
        <v>689449.890769224</v>
      </c>
      <c r="E69" s="13" t="n">
        <v>823643.2846153792</v>
      </c>
      <c r="F69" s="13" t="n">
        <v>1134898.540540573</v>
      </c>
      <c r="G69" s="13" t="n">
        <v>1520626.0941861</v>
      </c>
    </row>
    <row r="70">
      <c r="A70" s="11" t="inlineStr">
        <is>
          <t>Deferred Domestic Taxes</t>
        </is>
      </c>
      <c r="B70" s="13" t="n">
        <v>4446.93385214006</v>
      </c>
      <c r="C70" s="13" t="n">
        <v>67600.18906249863</v>
      </c>
      <c r="D70" s="13" t="n">
        <v>-5864.093846153789</v>
      </c>
      <c r="E70" s="13" t="n">
        <v>-65591.61538461495</v>
      </c>
      <c r="F70" s="13" t="n">
        <v>-276736.3436293516</v>
      </c>
      <c r="G70" s="13" t="n">
        <v>-651302.6465116508</v>
      </c>
    </row>
    <row r="71">
      <c r="A71" s="11" t="inlineStr">
        <is>
          <t>Deferred Foreign Taxes</t>
        </is>
      </c>
      <c r="B71" s="13" t="n">
        <v>40911.79143968855</v>
      </c>
      <c r="C71" s="11" t="inlineStr">
        <is>
          <t>NA</t>
        </is>
      </c>
      <c r="D71" s="13" t="n">
        <v>56127.75538461484</v>
      </c>
      <c r="E71" s="13" t="n">
        <v>248311.1153846137</v>
      </c>
      <c r="F71" s="13" t="n">
        <v>-56838.1042471059</v>
      </c>
      <c r="G71" s="13" t="n">
        <v>27597.56976744283</v>
      </c>
    </row>
    <row r="72">
      <c r="A72" s="11" t="inlineStr">
        <is>
          <t>Total Deferred Taxes</t>
        </is>
      </c>
      <c r="B72" s="13" t="n">
        <v>45358.72529182862</v>
      </c>
      <c r="C72" s="13" t="n">
        <v>67600.18906249863</v>
      </c>
      <c r="D72" s="13" t="n">
        <v>50263.66153846105</v>
      </c>
      <c r="E72" s="13" t="n">
        <v>182719.4999999988</v>
      </c>
      <c r="F72" s="13" t="n">
        <v>-333574.4478764575</v>
      </c>
      <c r="G72" s="13" t="n">
        <v>-623705.0767442079</v>
      </c>
    </row>
    <row r="73">
      <c r="A73" s="11" t="inlineStr">
        <is>
          <t>Normalized Net Income</t>
        </is>
      </c>
      <c r="B73" s="13" t="n">
        <v>1809346.211089487</v>
      </c>
      <c r="C73" s="13" t="n">
        <v>2386575.753662061</v>
      </c>
      <c r="D73" s="13" t="n">
        <v>3656157.797115349</v>
      </c>
      <c r="E73" s="13" t="n">
        <v>4443831.942307663</v>
      </c>
      <c r="F73" s="13" t="n">
        <v>4477747.782336037</v>
      </c>
      <c r="G73" s="13" t="n">
        <v>4675488.278100939</v>
      </c>
    </row>
    <row r="74">
      <c r="A74" s="11" t="inlineStr">
        <is>
          <t>Interest on Long-term Debt</t>
        </is>
      </c>
      <c r="B74" s="13" t="n">
        <v>210784.6645914389</v>
      </c>
      <c r="C74" s="13" t="n">
        <v>213474.2812499957</v>
      </c>
      <c r="D74" s="13" t="n">
        <v>197703.7353846135</v>
      </c>
      <c r="E74" s="11" t="inlineStr">
        <is>
          <t>NA</t>
        </is>
      </c>
      <c r="F74" s="11" t="inlineStr">
        <is>
          <t>NA</t>
        </is>
      </c>
      <c r="G74" s="11" t="inlineStr">
        <is>
          <t>NA</t>
        </is>
      </c>
    </row>
    <row r="75">
      <c r="A75" s="11" t="inlineStr">
        <is>
          <t>Non-Cash Pension Expense</t>
        </is>
      </c>
      <c r="B75" s="13" t="n">
        <v>-2668.160311284036</v>
      </c>
      <c r="C75" s="13" t="n">
        <v>-1778.952343749964</v>
      </c>
      <c r="D75" s="13" t="n">
        <v>837.7276923076842</v>
      </c>
      <c r="E75" s="11" t="inlineStr">
        <is>
          <t>NA</t>
        </is>
      </c>
      <c r="F75" s="11" t="inlineStr">
        <is>
          <t>NA</t>
        </is>
      </c>
      <c r="G75" s="11" t="inlineStr">
        <is>
          <t>NA</t>
        </is>
      </c>
    </row>
    <row r="76">
      <c r="A76" s="11" t="inlineStr">
        <is>
          <t>Interest and Penalties Recog. on IS - Before Tax</t>
        </is>
      </c>
      <c r="B76" s="13" t="n">
        <v>21345.28249027229</v>
      </c>
      <c r="C76" s="13" t="n">
        <v>21347.42812499957</v>
      </c>
      <c r="D76" s="13" t="n">
        <v>11728.18769230758</v>
      </c>
      <c r="E76" s="13" t="n">
        <v>13118.32307692299</v>
      </c>
      <c r="F76" s="13" t="n">
        <v>31680.25482625574</v>
      </c>
      <c r="G76" s="13" t="n">
        <v>41396.35465116424</v>
      </c>
    </row>
    <row r="77">
      <c r="A77" s="11" t="inlineStr">
        <is>
          <t>Supplemental Operating Expense Items (€000)</t>
        </is>
      </c>
    </row>
    <row r="78">
      <c r="A78" s="11" t="inlineStr">
        <is>
          <t>Selling and Marketing Expense</t>
        </is>
      </c>
      <c r="B78" s="13" t="n">
        <v>463370.5073929943</v>
      </c>
      <c r="C78" s="13" t="n">
        <v>467864.4664062405</v>
      </c>
      <c r="D78" s="13" t="n">
        <v>510176.1646153796</v>
      </c>
      <c r="E78" s="13" t="n">
        <v>658727.2230769187</v>
      </c>
      <c r="F78" s="13" t="n">
        <v>723055.2277992488</v>
      </c>
      <c r="G78" s="13" t="n">
        <v>769052.2775194068</v>
      </c>
    </row>
    <row r="79">
      <c r="A79" s="11" t="inlineStr">
        <is>
          <t>General and Administrative Expense</t>
        </is>
      </c>
      <c r="B79" s="13" t="n">
        <v>390440.7922178973</v>
      </c>
      <c r="C79" s="13" t="n">
        <v>433174.8957031162</v>
      </c>
      <c r="D79" s="13" t="n">
        <v>519391.1692307642</v>
      </c>
      <c r="E79" s="13" t="n">
        <v>688711.961538457</v>
      </c>
      <c r="F79" s="13" t="n">
        <v>793869.9150579381</v>
      </c>
      <c r="G79" s="13" t="n">
        <v>884042.1515504186</v>
      </c>
    </row>
    <row r="80">
      <c r="A80" s="11" t="inlineStr">
        <is>
          <t>R&amp;D Expense</t>
        </is>
      </c>
      <c r="B80" s="13" t="n">
        <v>1826800.426459137</v>
      </c>
      <c r="C80" s="13" t="n">
        <v>1987089.76796871</v>
      </c>
      <c r="D80" s="13" t="n">
        <v>2081753.315384595</v>
      </c>
      <c r="E80" s="13" t="n">
        <v>2596490.946153829</v>
      </c>
      <c r="F80" s="13" t="n">
        <v>2890357.36679545</v>
      </c>
      <c r="G80" s="13" t="n">
        <v>2974098.101938089</v>
      </c>
    </row>
    <row r="81">
      <c r="A81" s="11" t="inlineStr">
        <is>
          <t>Net Rental Expense, Total</t>
        </is>
      </c>
      <c r="B81" s="13" t="n">
        <v>45358.72529182862</v>
      </c>
      <c r="C81" s="13" t="n">
        <v>61373.85585937375</v>
      </c>
      <c r="D81" s="13" t="n">
        <v>66180.48769230706</v>
      </c>
      <c r="E81" s="11" t="inlineStr">
        <is>
          <t>NA</t>
        </is>
      </c>
      <c r="F81" s="11" t="inlineStr">
        <is>
          <t>NA</t>
        </is>
      </c>
      <c r="G81" s="11" t="inlineStr">
        <is>
          <t>NA</t>
        </is>
      </c>
    </row>
    <row r="82">
      <c r="A82" s="11" t="inlineStr">
        <is>
          <t>Imputed Oper. Lease Interest Exp.</t>
        </is>
      </c>
      <c r="B82" s="13" t="n">
        <v>16192.70205938048</v>
      </c>
      <c r="C82" s="13" t="n">
        <v>21386.08831733394</v>
      </c>
      <c r="D82" s="13" t="n">
        <v>21805.67652876287</v>
      </c>
      <c r="E82" s="11" t="inlineStr">
        <is>
          <t>NA</t>
        </is>
      </c>
      <c r="F82" s="11" t="inlineStr">
        <is>
          <t>NA</t>
        </is>
      </c>
      <c r="G82" s="11" t="inlineStr">
        <is>
          <t>NA</t>
        </is>
      </c>
    </row>
    <row r="83">
      <c r="A83" s="11" t="inlineStr">
        <is>
          <t>Imputed Oper. Lease Depreciation</t>
        </is>
      </c>
      <c r="B83" s="13" t="n">
        <v>29166.02323244814</v>
      </c>
      <c r="C83" s="13" t="n">
        <v>39987.76754203982</v>
      </c>
      <c r="D83" s="13" t="n">
        <v>44374.81116354418</v>
      </c>
      <c r="E83" s="11" t="inlineStr">
        <is>
          <t>NA</t>
        </is>
      </c>
      <c r="F83" s="11" t="inlineStr">
        <is>
          <t>NA</t>
        </is>
      </c>
      <c r="G83" s="11" t="inlineStr">
        <is>
          <t>NA</t>
        </is>
      </c>
    </row>
    <row r="84">
      <c r="A84" s="11" t="inlineStr">
        <is>
          <t>Stock-Based Comp., COGS</t>
        </is>
      </c>
      <c r="B84" s="13" t="n">
        <v>79155.42256809307</v>
      </c>
      <c r="C84" s="13" t="n">
        <v>91616.04570312313</v>
      </c>
      <c r="D84" s="13" t="n">
        <v>98851.86769230674</v>
      </c>
      <c r="E84" s="13" t="n">
        <v>137742.3923076914</v>
      </c>
      <c r="F84" s="13" t="n">
        <v>167718.996139001</v>
      </c>
      <c r="G84" s="13" t="n">
        <v>123269.1449612446</v>
      </c>
    </row>
    <row r="85">
      <c r="A85" s="11" t="inlineStr">
        <is>
          <t>Stock-Based Comp., R&amp;D Exp.</t>
        </is>
      </c>
      <c r="B85" s="13" t="n">
        <v>88049.2902723732</v>
      </c>
      <c r="C85" s="13" t="n">
        <v>103179.2359374979</v>
      </c>
      <c r="D85" s="13" t="n">
        <v>108066.8723076913</v>
      </c>
      <c r="E85" s="13" t="n">
        <v>141490.4846153837</v>
      </c>
      <c r="F85" s="13" t="n">
        <v>166787.2239382288</v>
      </c>
      <c r="G85" s="13" t="n">
        <v>201462.2593023326</v>
      </c>
    </row>
    <row r="86">
      <c r="A86" s="11" t="inlineStr">
        <is>
          <t>Stock-Based Comp., S&amp;M Exp.</t>
        </is>
      </c>
      <c r="B86" s="13" t="n">
        <v>27570.98988326838</v>
      </c>
      <c r="C86" s="13" t="n">
        <v>32021.14218749935</v>
      </c>
      <c r="D86" s="13" t="n">
        <v>36022.29076923042</v>
      </c>
      <c r="E86" s="13" t="n">
        <v>45914.13076923047</v>
      </c>
      <c r="F86" s="13" t="n">
        <v>51247.47104247253</v>
      </c>
      <c r="G86" s="13" t="n">
        <v>66234.16744186278</v>
      </c>
    </row>
    <row r="87">
      <c r="A87" s="11" t="inlineStr">
        <is>
          <t>Stock-Based Comp., G&amp;A Exp.</t>
        </is>
      </c>
      <c r="B87" s="13" t="n">
        <v>39133.01789883253</v>
      </c>
      <c r="C87" s="13" t="n">
        <v>46252.76093749906</v>
      </c>
      <c r="D87" s="13" t="n">
        <v>46912.75076923031</v>
      </c>
      <c r="E87" s="13" t="n">
        <v>61843.52307692267</v>
      </c>
      <c r="F87" s="13" t="n">
        <v>70814.68725868932</v>
      </c>
      <c r="G87" s="13" t="n">
        <v>139827.6868217103</v>
      </c>
    </row>
    <row r="88">
      <c r="A88" s="11" t="inlineStr">
        <is>
          <t xml:space="preserve">        Stock-Based Comp., Total</t>
        </is>
      </c>
      <c r="B88" s="13" t="n">
        <v>233908.7206225672</v>
      </c>
      <c r="C88" s="13" t="n">
        <v>273069.1847656195</v>
      </c>
      <c r="D88" s="13" t="n">
        <v>289853.7815384587</v>
      </c>
      <c r="E88" s="13" t="n">
        <v>386990.5307692282</v>
      </c>
      <c r="F88" s="13" t="n">
        <v>456568.3783783916</v>
      </c>
      <c r="G88" s="13" t="n">
        <v>530793.2585271504</v>
      </c>
    </row>
    <row r="89">
      <c r="A89" s="11" t="inlineStr">
        <is>
          <t>CIQ Restatement Type Code</t>
        </is>
      </c>
      <c r="B89" s="11" t="inlineStr">
        <is>
          <t>RC</t>
        </is>
      </c>
      <c r="C89" s="11" t="inlineStr">
        <is>
          <t>NC</t>
        </is>
      </c>
      <c r="D89" s="11" t="inlineStr">
        <is>
          <t>RC</t>
        </is>
      </c>
      <c r="E89" s="11" t="inlineStr">
        <is>
          <t>RC</t>
        </is>
      </c>
      <c r="F89" s="11" t="inlineStr">
        <is>
          <t>NC</t>
        </is>
      </c>
      <c r="G89" s="11" t="inlineStr">
        <is>
          <t>NC</t>
        </is>
      </c>
    </row>
    <row r="90">
      <c r="A90" s="11" t="inlineStr">
        <is>
          <t>CIQ Calculation Type Code</t>
        </is>
      </c>
      <c r="B90" s="11" t="inlineStr">
        <is>
          <t>REP</t>
        </is>
      </c>
      <c r="C90" s="11" t="inlineStr">
        <is>
          <t>REP</t>
        </is>
      </c>
      <c r="D90" s="11" t="inlineStr">
        <is>
          <t>REP</t>
        </is>
      </c>
      <c r="E90" s="11" t="inlineStr">
        <is>
          <t>REP</t>
        </is>
      </c>
      <c r="F90" s="11" t="inlineStr">
        <is>
          <t>REP</t>
        </is>
      </c>
      <c r="G90" s="11" t="inlineStr">
        <is>
          <t>REP</t>
        </is>
      </c>
    </row>
    <row r="91">
      <c r="A91" s="11" t="inlineStr">
        <is>
          <t>Stock Based Compensation (€000)</t>
        </is>
      </c>
    </row>
    <row r="92">
      <c r="A92" s="11" t="inlineStr">
        <is>
          <t>Stock Based Comp. Exp., Before Tax</t>
        </is>
      </c>
      <c r="B92" s="13" t="n">
        <v>233908.7206225672</v>
      </c>
      <c r="C92" s="13" t="n">
        <v>273069.1847656195</v>
      </c>
      <c r="D92" s="13" t="n">
        <v>289853.7815384587</v>
      </c>
      <c r="E92" s="13" t="n">
        <v>386990.5307692282</v>
      </c>
      <c r="F92" s="13" t="n">
        <v>456568.3783783916</v>
      </c>
      <c r="G92" s="13" t="n">
        <v>530793.2585271504</v>
      </c>
    </row>
    <row r="93">
      <c r="A93" s="11" t="inlineStr">
        <is>
          <t>Stock Based Comp. Exp. Tax Effect</t>
        </is>
      </c>
      <c r="B93" s="13" t="n">
        <v>-32907.31050583645</v>
      </c>
      <c r="C93" s="13" t="n">
        <v>-34689.57070312429</v>
      </c>
      <c r="D93" s="13" t="n">
        <v>-36022.29076923042</v>
      </c>
      <c r="E93" s="13" t="n">
        <v>-47788.17692307661</v>
      </c>
      <c r="F93" s="13" t="n">
        <v>-58701.64864865035</v>
      </c>
      <c r="G93" s="13" t="n">
        <v>-67154.08643411088</v>
      </c>
    </row>
    <row r="94">
      <c r="A94" s="11" t="inlineStr">
        <is>
          <t>Stock Based Comp. Exp., After Tax</t>
        </is>
      </c>
      <c r="B94" s="13" t="n">
        <v>201001.4101167307</v>
      </c>
      <c r="C94" s="13" t="n">
        <v>238379.6140624952</v>
      </c>
      <c r="D94" s="13" t="n">
        <v>253831.4907692283</v>
      </c>
      <c r="E94" s="13" t="n">
        <v>339202.3538461516</v>
      </c>
      <c r="F94" s="13" t="n">
        <v>397866.7297297413</v>
      </c>
      <c r="G94" s="13" t="n">
        <v>463639.1720930395</v>
      </c>
    </row>
    <row r="97">
      <c r="A97" s="11" t="inlineStr">
        <is>
          <t>Recommended: S&amp;P Capital IQ - Standard</t>
        </is>
      </c>
      <c r="B97" s="11" t="inlineStr">
        <is>
          <t>2019 FY</t>
        </is>
      </c>
      <c r="C97" s="11" t="inlineStr">
        <is>
          <t>2020 FY</t>
        </is>
      </c>
      <c r="D97" s="11" t="inlineStr">
        <is>
          <t>2021 FY</t>
        </is>
      </c>
      <c r="E97" s="11" t="inlineStr">
        <is>
          <t>2022 FY</t>
        </is>
      </c>
      <c r="F97" s="11" t="inlineStr">
        <is>
          <t>2023 FY</t>
        </is>
      </c>
      <c r="G97" s="11" t="inlineStr">
        <is>
          <t>2024 FY</t>
        </is>
      </c>
    </row>
    <row r="98">
      <c r="A98" s="11" t="inlineStr">
        <is>
          <t xml:space="preserve"> </t>
        </is>
      </c>
      <c r="B98" s="11" t="inlineStr">
        <is>
          <t>Current/Restated</t>
        </is>
      </c>
      <c r="C98" s="11" t="inlineStr">
        <is>
          <t>Current/Restated</t>
        </is>
      </c>
      <c r="D98" s="11" t="inlineStr">
        <is>
          <t>Current/Restated</t>
        </is>
      </c>
      <c r="E98" s="11" t="inlineStr">
        <is>
          <t>Current/Restated</t>
        </is>
      </c>
      <c r="F98" s="11" t="inlineStr">
        <is>
          <t>Current/Restated</t>
        </is>
      </c>
      <c r="G98" s="11" t="inlineStr">
        <is>
          <t>Current/Restated</t>
        </is>
      </c>
    </row>
    <row r="99">
      <c r="A99" s="11" t="inlineStr">
        <is>
          <t>Period Ended</t>
        </is>
      </c>
      <c r="B99" s="12" t="n">
        <v>43765</v>
      </c>
      <c r="C99" s="12" t="n">
        <v>44129</v>
      </c>
      <c r="D99" s="12" t="n">
        <v>44500</v>
      </c>
      <c r="E99" s="12" t="n">
        <v>44864</v>
      </c>
      <c r="F99" s="12" t="n">
        <v>45228</v>
      </c>
      <c r="G99" s="12" t="n">
        <v>45592</v>
      </c>
    </row>
    <row r="100">
      <c r="A100" s="11" t="inlineStr">
        <is>
          <t>Financial Filing Date</t>
        </is>
      </c>
      <c r="B100" s="12" t="n">
        <v>44547</v>
      </c>
      <c r="C100" s="12" t="n">
        <v>44911</v>
      </c>
      <c r="D100" s="12" t="n">
        <v>45275</v>
      </c>
      <c r="E100" s="12" t="n">
        <v>45639</v>
      </c>
      <c r="F100" s="12" t="n">
        <v>46003</v>
      </c>
      <c r="G100" s="12" t="n">
        <v>46003</v>
      </c>
    </row>
    <row r="101">
      <c r="A101" s="11" t="inlineStr">
        <is>
          <t>Spot Exchange Rate</t>
        </is>
      </c>
      <c r="B101" s="13" t="n">
        <v>0.9018</v>
      </c>
      <c r="C101" s="13" t="n">
        <v>0.8448</v>
      </c>
      <c r="D101" s="13" t="n">
        <v>0.8648</v>
      </c>
      <c r="E101" s="13" t="n">
        <v>1.0057</v>
      </c>
      <c r="F101" s="13" t="n">
        <v>0.9441000000000001</v>
      </c>
      <c r="G101" s="13" t="n">
        <v>0.924</v>
      </c>
    </row>
    <row r="102">
      <c r="A102" s="11" t="inlineStr">
        <is>
          <t>Average Exchange Rate</t>
        </is>
      </c>
      <c r="B102" s="13" t="n">
        <v>0.8893867704280121</v>
      </c>
      <c r="C102" s="13" t="n">
        <v>0.889476171874982</v>
      </c>
      <c r="D102" s="13" t="n">
        <v>0.8377276923076842</v>
      </c>
      <c r="E102" s="13" t="n">
        <v>0.9370230769230707</v>
      </c>
      <c r="F102" s="13" t="n">
        <v>0.9317722007722278</v>
      </c>
      <c r="G102" s="13" t="n">
        <v>0.9199189922480943</v>
      </c>
    </row>
    <row r="103">
      <c r="A103" s="11" t="inlineStr">
        <is>
          <t xml:space="preserve"> </t>
        </is>
      </c>
    </row>
    <row r="104">
      <c r="A104" s="11" t="inlineStr">
        <is>
          <t>Operating Activities (€000)</t>
        </is>
      </c>
    </row>
    <row r="105">
      <c r="A105" s="11" t="inlineStr">
        <is>
          <t>Net Income - CF</t>
        </is>
      </c>
      <c r="B105" s="13" t="n">
        <v>2406680.600778201</v>
      </c>
      <c r="C105" s="13" t="n">
        <v>3219014.26601556</v>
      </c>
      <c r="D105" s="13" t="n">
        <v>4932540.652307644</v>
      </c>
      <c r="E105" s="13" t="n">
        <v>6114075.576923037</v>
      </c>
      <c r="F105" s="13" t="n">
        <v>6388230.208494394</v>
      </c>
      <c r="G105" s="13" t="n">
        <v>6602258.607364573</v>
      </c>
    </row>
    <row r="106">
      <c r="A106" s="11" t="inlineStr">
        <is>
          <t>Depreciation &amp; Amort.</t>
        </is>
      </c>
      <c r="B106" s="13" t="n">
        <v>272152.3517509717</v>
      </c>
      <c r="C106" s="13" t="n">
        <v>284632.3749999942</v>
      </c>
      <c r="D106" s="13" t="n">
        <v>289016.053846151</v>
      </c>
      <c r="E106" s="13" t="n">
        <v>416038.2461538434</v>
      </c>
      <c r="F106" s="13" t="n">
        <v>479862.6833976973</v>
      </c>
      <c r="G106" s="13" t="n">
        <v>360608.244961253</v>
      </c>
    </row>
    <row r="107">
      <c r="A107" s="11" t="inlineStr">
        <is>
          <t>Amort. of Goodwill and Intangibles</t>
        </is>
      </c>
      <c r="B107" s="13" t="n">
        <v>50695.04591439669</v>
      </c>
      <c r="C107" s="13" t="n">
        <v>49810.66562499899</v>
      </c>
      <c r="D107" s="13" t="n">
        <v>41048.65692307652</v>
      </c>
      <c r="E107" s="11" t="inlineStr">
        <is>
          <t>NA</t>
        </is>
      </c>
      <c r="F107" s="11" t="inlineStr">
        <is>
          <t>NA</t>
        </is>
      </c>
      <c r="G107" s="11" t="inlineStr">
        <is>
          <t>NA</t>
        </is>
      </c>
    </row>
    <row r="108">
      <c r="A108" s="11" t="inlineStr">
        <is>
          <t xml:space="preserve">        Depreciation &amp; Amort., Total</t>
        </is>
      </c>
      <c r="B108" s="13" t="n">
        <v>322847.3976653684</v>
      </c>
      <c r="C108" s="13" t="n">
        <v>334443.0406249932</v>
      </c>
      <c r="D108" s="13" t="n">
        <v>330064.7107692276</v>
      </c>
      <c r="E108" s="13" t="n">
        <v>416038.2461538434</v>
      </c>
      <c r="F108" s="13" t="n">
        <v>479862.6833976973</v>
      </c>
      <c r="G108" s="13" t="n">
        <v>360608.244961253</v>
      </c>
    </row>
    <row r="109">
      <c r="A109" s="11" t="inlineStr">
        <is>
          <t>Loss On Sale Of Investment</t>
        </is>
      </c>
      <c r="B109" s="11" t="inlineStr">
        <is>
          <t>NA</t>
        </is>
      </c>
      <c r="C109" s="11" t="inlineStr">
        <is>
          <t>NA</t>
        </is>
      </c>
      <c r="D109" s="11" t="inlineStr">
        <is>
          <t>NA</t>
        </is>
      </c>
      <c r="E109" s="11" t="inlineStr">
        <is>
          <t>NA</t>
        </is>
      </c>
      <c r="F109" s="13" t="n">
        <v>-14908.35521235564</v>
      </c>
      <c r="G109" s="13" t="n">
        <v>-13798.78488372141</v>
      </c>
    </row>
    <row r="110">
      <c r="A110" s="11" t="inlineStr">
        <is>
          <t>Stock-Based Compensation</t>
        </is>
      </c>
      <c r="B110" s="13" t="n">
        <v>233908.7206225672</v>
      </c>
      <c r="C110" s="13" t="n">
        <v>273069.1847656195</v>
      </c>
      <c r="D110" s="13" t="n">
        <v>289853.7815384587</v>
      </c>
      <c r="E110" s="13" t="n">
        <v>386990.5307692282</v>
      </c>
      <c r="F110" s="13" t="n">
        <v>456568.3783783916</v>
      </c>
      <c r="G110" s="13" t="n">
        <v>530793.2585271504</v>
      </c>
    </row>
    <row r="111">
      <c r="A111" s="11" t="inlineStr">
        <is>
          <t>Other Operating Activities</t>
        </is>
      </c>
      <c r="B111" s="13" t="n">
        <v>26681.60311284036</v>
      </c>
      <c r="C111" s="13" t="n">
        <v>124526.6640624975</v>
      </c>
      <c r="D111" s="13" t="n">
        <v>132360.9753846141</v>
      </c>
      <c r="E111" s="13" t="n">
        <v>-178971.4076923065</v>
      </c>
      <c r="F111" s="13" t="n">
        <v>74541.77606177822</v>
      </c>
      <c r="G111" s="13" t="n">
        <v>-525273.7445736618</v>
      </c>
    </row>
    <row r="112">
      <c r="A112" s="11" t="inlineStr">
        <is>
          <t>Change in Acc. Receivable</t>
        </is>
      </c>
      <c r="B112" s="13" t="n">
        <v>-184103.0614785985</v>
      </c>
      <c r="C112" s="13" t="n">
        <v>-379806.3253906173</v>
      </c>
      <c r="D112" s="13" t="n">
        <v>-1666240.379999984</v>
      </c>
      <c r="E112" s="13" t="n">
        <v>-1039158.592307685</v>
      </c>
      <c r="F112" s="13" t="n">
        <v>841390.2972973217</v>
      </c>
      <c r="G112" s="13" t="n">
        <v>-63474.4104651185</v>
      </c>
    </row>
    <row r="113">
      <c r="A113" s="11" t="inlineStr">
        <is>
          <t>Change In Inventories</t>
        </is>
      </c>
      <c r="B113" s="13" t="n">
        <v>220567.919066147</v>
      </c>
      <c r="C113" s="13" t="n">
        <v>-374469.4683593674</v>
      </c>
      <c r="D113" s="13" t="n">
        <v>-339279.7153846121</v>
      </c>
      <c r="E113" s="13" t="n">
        <v>-1489866.692307682</v>
      </c>
      <c r="F113" s="13" t="n">
        <v>192876.8455598512</v>
      </c>
      <c r="G113" s="13" t="n">
        <v>279655.3736434206</v>
      </c>
    </row>
    <row r="114">
      <c r="A114" s="11" t="inlineStr">
        <is>
          <t>Change in Acc. Payable</t>
        </is>
      </c>
      <c r="B114" s="13" t="n">
        <v>-219678.532295719</v>
      </c>
      <c r="C114" s="13" t="n">
        <v>290858.7082031191</v>
      </c>
      <c r="D114" s="13" t="n">
        <v>389543.3769230731</v>
      </c>
      <c r="E114" s="13" t="n">
        <v>365438.9999999976</v>
      </c>
      <c r="F114" s="13" t="n">
        <v>-128584.5637065674</v>
      </c>
      <c r="G114" s="13" t="n">
        <v>258497.2368217145</v>
      </c>
    </row>
    <row r="115">
      <c r="A115" s="11" t="inlineStr">
        <is>
          <t>Change in Unearned Rev.</t>
        </is>
      </c>
      <c r="B115" s="13" t="n">
        <v>120067.2140077816</v>
      </c>
      <c r="C115" s="13" t="n">
        <v>-14231.61874999971</v>
      </c>
      <c r="D115" s="13" t="n">
        <v>632484.4076923016</v>
      </c>
      <c r="E115" s="13" t="n">
        <v>973566.9769230705</v>
      </c>
      <c r="F115" s="13" t="n">
        <v>-155605.957528962</v>
      </c>
      <c r="G115" s="13" t="n">
        <v>-115909.7930232599</v>
      </c>
    </row>
    <row r="116">
      <c r="A116" s="11" t="inlineStr">
        <is>
          <t>Change In Income Taxes</t>
        </is>
      </c>
      <c r="B116" s="13" t="n">
        <v>39133.01789883253</v>
      </c>
      <c r="C116" s="13" t="n">
        <v>-8894.76171874982</v>
      </c>
      <c r="D116" s="13" t="n">
        <v>331740.1661538429</v>
      </c>
      <c r="E116" s="13" t="n">
        <v>-506929.4846153813</v>
      </c>
      <c r="F116" s="13" t="n">
        <v>-18635.44401544455</v>
      </c>
      <c r="G116" s="13" t="n">
        <v>357848.4879845087</v>
      </c>
    </row>
    <row r="117">
      <c r="A117" s="11" t="inlineStr">
        <is>
          <t>Change in Other Net Operating Assets</t>
        </is>
      </c>
      <c r="B117" s="13" t="n">
        <v>-78266.03579766506</v>
      </c>
      <c r="C117" s="13" t="n">
        <v>-80942.33164062336</v>
      </c>
      <c r="D117" s="13" t="n">
        <v>-474153.8738461492</v>
      </c>
      <c r="E117" s="13" t="n">
        <v>17803.43846153834</v>
      </c>
      <c r="F117" s="13" t="n">
        <v>-9317.722007722277</v>
      </c>
      <c r="G117" s="13" t="n">
        <v>310932.6193798559</v>
      </c>
    </row>
    <row r="118">
      <c r="A118" s="11" t="inlineStr">
        <is>
          <t xml:space="preserve">        Cash from Ops.</t>
        </is>
      </c>
      <c r="B118" s="13" t="n">
        <v>2887838.843579755</v>
      </c>
      <c r="C118" s="13" t="n">
        <v>3383567.357812431</v>
      </c>
      <c r="D118" s="13" t="n">
        <v>4558914.101538417</v>
      </c>
      <c r="E118" s="13" t="n">
        <v>5058987.592307659</v>
      </c>
      <c r="F118" s="13" t="n">
        <v>8106418.146718382</v>
      </c>
      <c r="G118" s="13" t="n">
        <v>7982137.095736714</v>
      </c>
    </row>
    <row r="119">
      <c r="A119" s="11" t="inlineStr">
        <is>
          <t>Investing Activity (€000)</t>
        </is>
      </c>
    </row>
    <row r="120">
      <c r="A120" s="11" t="inlineStr">
        <is>
          <t>Capital Expenditure</t>
        </is>
      </c>
      <c r="B120" s="13" t="n">
        <v>-392219.5657587533</v>
      </c>
      <c r="C120" s="13" t="n">
        <v>-375358.9445312424</v>
      </c>
      <c r="D120" s="13" t="n">
        <v>-559602.0984615331</v>
      </c>
      <c r="E120" s="13" t="n">
        <v>-737437.1615384567</v>
      </c>
      <c r="F120" s="13" t="n">
        <v>-1030540.054054084</v>
      </c>
      <c r="G120" s="13" t="n">
        <v>-1094703.600775232</v>
      </c>
    </row>
    <row r="121">
      <c r="A121" s="11" t="inlineStr">
        <is>
          <t>Cash Acquisitions</t>
        </is>
      </c>
      <c r="B121" s="13" t="n">
        <v>-24902.82957198434</v>
      </c>
      <c r="C121" s="13" t="n">
        <v>-95173.95039062307</v>
      </c>
      <c r="D121" s="13" t="n">
        <v>-10052.73230769221</v>
      </c>
      <c r="E121" s="13" t="n">
        <v>-413227.1769230742</v>
      </c>
      <c r="F121" s="13" t="n">
        <v>-23294.3050193057</v>
      </c>
      <c r="G121" s="11" t="inlineStr">
        <is>
          <t>NA</t>
        </is>
      </c>
    </row>
    <row r="122">
      <c r="A122" s="11" t="inlineStr">
        <is>
          <t>Invest. in Marketable &amp; Equity Securt.</t>
        </is>
      </c>
      <c r="B122" s="13" t="n">
        <v>23124.05603112832</v>
      </c>
      <c r="C122" s="13" t="n">
        <v>354900.9925781178</v>
      </c>
      <c r="D122" s="13" t="n">
        <v>-449022.0430769187</v>
      </c>
      <c r="E122" s="13" t="n">
        <v>-120875.9769230761</v>
      </c>
      <c r="F122" s="13" t="n">
        <v>-376435.96911198</v>
      </c>
      <c r="G122" s="13" t="n">
        <v>-1045947.894186083</v>
      </c>
    </row>
    <row r="123">
      <c r="A123" s="11" t="inlineStr">
        <is>
          <t xml:space="preserve">        Cash from Investing</t>
        </is>
      </c>
      <c r="B123" s="13" t="n">
        <v>-393998.3392996094</v>
      </c>
      <c r="C123" s="13" t="n">
        <v>-115631.9023437477</v>
      </c>
      <c r="D123" s="13" t="n">
        <v>-1018676.873846144</v>
      </c>
      <c r="E123" s="13" t="n">
        <v>-1271540.315384607</v>
      </c>
      <c r="F123" s="13" t="n">
        <v>-1430270.32818537</v>
      </c>
      <c r="G123" s="13" t="n">
        <v>-2140651.494961315</v>
      </c>
    </row>
    <row r="124">
      <c r="A124" s="11" t="inlineStr">
        <is>
          <t>Financing Activity (€000)</t>
        </is>
      </c>
    </row>
    <row r="125">
      <c r="A125" s="11" t="inlineStr">
        <is>
          <t>Short-term Debt Issued</t>
        </is>
      </c>
      <c r="B125" s="11" t="inlineStr">
        <is>
          <t>NA</t>
        </is>
      </c>
      <c r="C125" s="11" t="inlineStr">
        <is>
          <t>NA</t>
        </is>
      </c>
      <c r="D125" s="11" t="inlineStr">
        <is>
          <t>NA</t>
        </is>
      </c>
      <c r="E125" s="11" t="inlineStr">
        <is>
          <t>NA</t>
        </is>
      </c>
      <c r="F125" s="13" t="n">
        <v>923386.2509652778</v>
      </c>
      <c r="G125" s="13" t="n">
        <v>368887.5158914858</v>
      </c>
    </row>
    <row r="126">
      <c r="A126" s="11" t="inlineStr">
        <is>
          <t>Long-term Debt Issued</t>
        </is>
      </c>
      <c r="B126" s="11" t="inlineStr">
        <is>
          <t>NA</t>
        </is>
      </c>
      <c r="C126" s="13" t="n">
        <v>2649749.516015571</v>
      </c>
      <c r="D126" s="11" t="inlineStr">
        <is>
          <t>NA</t>
        </is>
      </c>
      <c r="E126" s="11" t="inlineStr">
        <is>
          <t>NA</t>
        </is>
      </c>
      <c r="F126" s="11" t="inlineStr">
        <is>
          <t>NA</t>
        </is>
      </c>
      <c r="G126" s="13" t="n">
        <v>638423.7806201774</v>
      </c>
    </row>
    <row r="127">
      <c r="A127" s="11" t="inlineStr">
        <is>
          <t xml:space="preserve">        Total Debt Issued</t>
        </is>
      </c>
      <c r="B127" s="11" t="inlineStr">
        <is>
          <t>NA</t>
        </is>
      </c>
      <c r="C127" s="13" t="n">
        <v>2649749.516015571</v>
      </c>
      <c r="D127" s="11" t="inlineStr">
        <is>
          <t>NA</t>
        </is>
      </c>
      <c r="E127" s="11" t="inlineStr">
        <is>
          <t>NA</t>
        </is>
      </c>
      <c r="F127" s="13" t="n">
        <v>923386.2509652778</v>
      </c>
      <c r="G127" s="13" t="n">
        <v>1007311.296511663</v>
      </c>
    </row>
    <row r="128">
      <c r="A128" s="11" t="inlineStr">
        <is>
          <t>Short-term Debt Repaid</t>
        </is>
      </c>
      <c r="B128" s="11" t="inlineStr">
        <is>
          <t>NA</t>
        </is>
      </c>
      <c r="C128" s="11" t="inlineStr">
        <is>
          <t>NA</t>
        </is>
      </c>
      <c r="D128" s="11" t="inlineStr">
        <is>
          <t>NA</t>
        </is>
      </c>
      <c r="E128" s="11" t="inlineStr">
        <is>
          <t>NA</t>
        </is>
      </c>
      <c r="F128" s="13" t="n">
        <v>-838594.980695005</v>
      </c>
      <c r="G128" s="13" t="n">
        <v>-367967.5968992377</v>
      </c>
    </row>
    <row r="129">
      <c r="A129" s="11" t="inlineStr">
        <is>
          <t>Long-term Debt Repaid</t>
        </is>
      </c>
      <c r="B129" s="11" t="inlineStr">
        <is>
          <t>NA</t>
        </is>
      </c>
      <c r="C129" s="13" t="n">
        <v>-2563470.327343698</v>
      </c>
      <c r="D129" s="11" t="inlineStr">
        <is>
          <t>NA</t>
        </is>
      </c>
      <c r="E129" s="11" t="inlineStr">
        <is>
          <t>NA</t>
        </is>
      </c>
      <c r="F129" s="13" t="n">
        <v>-6522.405405405594</v>
      </c>
      <c r="G129" s="13" t="n">
        <v>-93831.73720930562</v>
      </c>
    </row>
    <row r="130">
      <c r="A130" s="11" t="inlineStr">
        <is>
          <t xml:space="preserve">        Total Debt Repaid</t>
        </is>
      </c>
      <c r="B130" s="11" t="inlineStr">
        <is>
          <t>NA</t>
        </is>
      </c>
      <c r="C130" s="13" t="n">
        <v>-2563470.327343698</v>
      </c>
      <c r="D130" s="11" t="inlineStr">
        <is>
          <t>NA</t>
        </is>
      </c>
      <c r="E130" s="11" t="inlineStr">
        <is>
          <t>NA</t>
        </is>
      </c>
      <c r="F130" s="13" t="n">
        <v>-845117.3861004106</v>
      </c>
      <c r="G130" s="13" t="n">
        <v>-461799.3341085433</v>
      </c>
    </row>
    <row r="131">
      <c r="A131" s="11" t="inlineStr">
        <is>
          <t>Issuance of Common Stock</t>
        </is>
      </c>
      <c r="B131" s="13" t="n">
        <v>128961.0817120617</v>
      </c>
      <c r="C131" s="13" t="n">
        <v>154768.8539062469</v>
      </c>
      <c r="D131" s="13" t="n">
        <v>146602.3461538447</v>
      </c>
      <c r="E131" s="13" t="n">
        <v>186467.5923076911</v>
      </c>
      <c r="F131" s="13" t="n">
        <v>211512.2895752957</v>
      </c>
      <c r="G131" s="13" t="n">
        <v>223540.3151162869</v>
      </c>
    </row>
    <row r="132">
      <c r="A132" s="11" t="inlineStr">
        <is>
          <t>Repurchase of Common Stock</t>
        </is>
      </c>
      <c r="B132" s="13" t="n">
        <v>-2213683.671595322</v>
      </c>
      <c r="C132" s="13" t="n">
        <v>-730259.9371093602</v>
      </c>
      <c r="D132" s="13" t="n">
        <v>-3290594.375384584</v>
      </c>
      <c r="E132" s="13" t="n">
        <v>-5967899.976923037</v>
      </c>
      <c r="F132" s="13" t="n">
        <v>-2206436.571428635</v>
      </c>
      <c r="G132" s="13" t="n">
        <v>-3784546.73410866</v>
      </c>
    </row>
    <row r="133">
      <c r="A133" s="11" t="inlineStr">
        <is>
          <t>Common Dividends Paid</t>
        </is>
      </c>
      <c r="B133" s="13" t="n">
        <v>-685717.1999999973</v>
      </c>
      <c r="C133" s="13" t="n">
        <v>-700017.7472656108</v>
      </c>
      <c r="D133" s="13" t="n">
        <v>-702015.8061538393</v>
      </c>
      <c r="E133" s="13" t="n">
        <v>-818021.1461538407</v>
      </c>
      <c r="F133" s="13" t="n">
        <v>-908477.895752922</v>
      </c>
      <c r="G133" s="13" t="n">
        <v>-1096543.438759728</v>
      </c>
    </row>
    <row r="134">
      <c r="A134" s="11" t="inlineStr">
        <is>
          <t xml:space="preserve">        Total Dividends Paid</t>
        </is>
      </c>
      <c r="B134" s="13" t="n">
        <v>-685717.1999999973</v>
      </c>
      <c r="C134" s="13" t="n">
        <v>-700017.7472656108</v>
      </c>
      <c r="D134" s="13" t="n">
        <v>-702015.8061538393</v>
      </c>
      <c r="E134" s="13" t="n">
        <v>-818021.1461538407</v>
      </c>
      <c r="F134" s="13" t="n">
        <v>-908477.895752922</v>
      </c>
      <c r="G134" s="13" t="n">
        <v>-1096543.438759728</v>
      </c>
    </row>
    <row r="135">
      <c r="A135" s="11" t="inlineStr">
        <is>
          <t xml:space="preserve">        Cash from Financing</t>
        </is>
      </c>
      <c r="B135" s="13" t="n">
        <v>-2770439.789883257</v>
      </c>
      <c r="C135" s="13" t="n">
        <v>-1189229.641796851</v>
      </c>
      <c r="D135" s="13" t="n">
        <v>-3846007.835384578</v>
      </c>
      <c r="E135" s="13" t="n">
        <v>-6599453.530769187</v>
      </c>
      <c r="F135" s="13" t="n">
        <v>-2825133.312741395</v>
      </c>
      <c r="G135" s="13" t="n">
        <v>-4112037.895348981</v>
      </c>
    </row>
    <row r="136">
      <c r="A136" s="11" t="inlineStr">
        <is>
          <t>Other Cash Flow (€000)</t>
        </is>
      </c>
    </row>
    <row r="137">
      <c r="A137" s="11" t="inlineStr">
        <is>
          <t xml:space="preserve">        Net Change in Cash</t>
        </is>
      </c>
      <c r="B137" s="13" t="n">
        <v>-276599.2856031117</v>
      </c>
      <c r="C137" s="13" t="n">
        <v>2078705.813671833</v>
      </c>
      <c r="D137" s="13" t="n">
        <v>-305770.6076923047</v>
      </c>
      <c r="E137" s="13" t="n">
        <v>-2812006.253846135</v>
      </c>
      <c r="F137" s="13" t="n">
        <v>3851014.505791618</v>
      </c>
      <c r="G137" s="13" t="n">
        <v>1729447.705426417</v>
      </c>
    </row>
    <row r="138">
      <c r="A138" s="11" t="inlineStr">
        <is>
          <t>Supplemental Items (€000)</t>
        </is>
      </c>
    </row>
    <row r="139">
      <c r="A139" s="11" t="inlineStr">
        <is>
          <t>Cash Interest Paid</t>
        </is>
      </c>
      <c r="B139" s="13" t="n">
        <v>194775.7027237346</v>
      </c>
      <c r="C139" s="13" t="n">
        <v>194795.281640621</v>
      </c>
      <c r="D139" s="13" t="n">
        <v>171734.1769230753</v>
      </c>
      <c r="E139" s="13" t="n">
        <v>192089.7307692295</v>
      </c>
      <c r="F139" s="13" t="n">
        <v>191013.3011583067</v>
      </c>
      <c r="G139" s="13" t="n">
        <v>188583.3934108593</v>
      </c>
    </row>
    <row r="140">
      <c r="A140" s="11" t="inlineStr">
        <is>
          <t>Cash Taxes Paid</t>
        </is>
      </c>
      <c r="B140" s="13" t="n">
        <v>444693.385214006</v>
      </c>
      <c r="C140" s="13" t="n">
        <v>421611.7054687414</v>
      </c>
      <c r="D140" s="13" t="n">
        <v>690287.6184615318</v>
      </c>
      <c r="E140" s="13" t="n">
        <v>1605120.53076922</v>
      </c>
      <c r="F140" s="13" t="n">
        <v>887978.9073359331</v>
      </c>
      <c r="G140" s="13" t="n">
        <v>866563.6906977048</v>
      </c>
    </row>
    <row r="141">
      <c r="A141" s="11" t="inlineStr">
        <is>
          <t>Levered Free Cash Flow</t>
        </is>
      </c>
      <c r="B141" s="13" t="n">
        <v>1828023.333268475</v>
      </c>
      <c r="C141" s="13" t="n">
        <v>2142303.359960894</v>
      </c>
      <c r="D141" s="13" t="n">
        <v>2750678.877692281</v>
      </c>
      <c r="E141" s="13" t="n">
        <v>2923043.488461519</v>
      </c>
      <c r="F141" s="13" t="n">
        <v>5024115.706563852</v>
      </c>
      <c r="G141" s="13" t="n">
        <v>5120729.070349016</v>
      </c>
    </row>
    <row r="142">
      <c r="A142" s="11" t="inlineStr">
        <is>
          <t>Unlevered Free Cash Flow</t>
        </is>
      </c>
      <c r="B142" s="13" t="n">
        <v>1959763.748638125</v>
      </c>
      <c r="C142" s="13" t="n">
        <v>2275724.785742141</v>
      </c>
      <c r="D142" s="13" t="n">
        <v>2874243.712307665</v>
      </c>
      <c r="E142" s="13" t="n">
        <v>3056569.276923057</v>
      </c>
      <c r="F142" s="13" t="n">
        <v>5162716.821428721</v>
      </c>
      <c r="G142" s="13" t="n">
        <v>5262741.564777317</v>
      </c>
    </row>
    <row r="143">
      <c r="A143" s="11" t="inlineStr">
        <is>
          <t>Change in Net Working Capital</t>
        </is>
      </c>
      <c r="B143" s="13" t="n">
        <v>79155.42256809307</v>
      </c>
      <c r="C143" s="13" t="n">
        <v>440290.7050781161</v>
      </c>
      <c r="D143" s="13" t="n">
        <v>955847.2969230677</v>
      </c>
      <c r="E143" s="13" t="n">
        <v>1567639.607692297</v>
      </c>
      <c r="F143" s="13" t="n">
        <v>-799460.5482625715</v>
      </c>
      <c r="G143" s="13" t="n">
        <v>-942916.9670542966</v>
      </c>
    </row>
    <row r="144">
      <c r="A144" s="11" t="inlineStr">
        <is>
          <t>Net Debt Issued</t>
        </is>
      </c>
      <c r="B144" s="11" t="inlineStr">
        <is>
          <t>NA</t>
        </is>
      </c>
      <c r="C144" s="13" t="n">
        <v>86279.18867187326</v>
      </c>
      <c r="D144" s="11" t="inlineStr">
        <is>
          <t>NA</t>
        </is>
      </c>
      <c r="E144" s="11" t="inlineStr">
        <is>
          <t>NA</t>
        </is>
      </c>
      <c r="F144" s="13" t="n">
        <v>78268.86486486714</v>
      </c>
      <c r="G144" s="13" t="n">
        <v>545511.9624031199</v>
      </c>
    </row>
    <row r="145">
      <c r="A145" s="11" t="inlineStr">
        <is>
          <t>CIQ Restatement Type Code</t>
        </is>
      </c>
      <c r="B145" s="11" t="inlineStr">
        <is>
          <t>NC</t>
        </is>
      </c>
      <c r="C145" s="11" t="inlineStr">
        <is>
          <t>NC</t>
        </is>
      </c>
      <c r="D145" s="11" t="inlineStr">
        <is>
          <t>NC</t>
        </is>
      </c>
      <c r="E145" s="11" t="inlineStr">
        <is>
          <t>NC</t>
        </is>
      </c>
      <c r="F145" s="11" t="inlineStr">
        <is>
          <t>NC</t>
        </is>
      </c>
      <c r="G145" s="11" t="inlineStr">
        <is>
          <t>NC</t>
        </is>
      </c>
    </row>
    <row r="146">
      <c r="A146" s="11" t="inlineStr">
        <is>
          <t>CIQ Calculation Type Code</t>
        </is>
      </c>
      <c r="B146" s="11" t="inlineStr">
        <is>
          <t>REP</t>
        </is>
      </c>
      <c r="C146" s="11" t="inlineStr">
        <is>
          <t>REP</t>
        </is>
      </c>
      <c r="D146" s="11" t="inlineStr">
        <is>
          <t>REP</t>
        </is>
      </c>
      <c r="E146" s="11" t="inlineStr">
        <is>
          <t>REP</t>
        </is>
      </c>
      <c r="F146" s="11" t="inlineStr">
        <is>
          <t>REP</t>
        </is>
      </c>
      <c r="G146" s="11" t="inlineStr">
        <is>
          <t>REP</t>
        </is>
      </c>
    </row>
    <row r="149">
      <c r="A149" s="11" t="inlineStr">
        <is>
          <t>Recommended: S&amp;P Capital IQ - Standard</t>
        </is>
      </c>
      <c r="B149" s="11" t="inlineStr">
        <is>
          <t>2019 FY</t>
        </is>
      </c>
      <c r="C149" s="11" t="inlineStr">
        <is>
          <t>2020 FY</t>
        </is>
      </c>
      <c r="D149" s="11" t="inlineStr">
        <is>
          <t>2021 FY</t>
        </is>
      </c>
      <c r="E149" s="11" t="inlineStr">
        <is>
          <t>2022 FY</t>
        </is>
      </c>
      <c r="F149" s="11" t="inlineStr">
        <is>
          <t>2023 FY</t>
        </is>
      </c>
      <c r="G149" s="11" t="inlineStr">
        <is>
          <t>2024 FY</t>
        </is>
      </c>
    </row>
    <row r="150">
      <c r="A150" s="11" t="inlineStr">
        <is>
          <t xml:space="preserve"> </t>
        </is>
      </c>
      <c r="B150" s="11" t="inlineStr">
        <is>
          <t>Current/Restated</t>
        </is>
      </c>
      <c r="C150" s="11" t="inlineStr">
        <is>
          <t>Current/Restated</t>
        </is>
      </c>
      <c r="D150" s="11" t="inlineStr">
        <is>
          <t>Current/Restated</t>
        </is>
      </c>
      <c r="E150" s="11" t="inlineStr">
        <is>
          <t>Current/Restated</t>
        </is>
      </c>
      <c r="F150" s="11" t="inlineStr">
        <is>
          <t>Current/Restated</t>
        </is>
      </c>
      <c r="G150" s="11" t="inlineStr">
        <is>
          <t>Current/Restated</t>
        </is>
      </c>
    </row>
    <row r="151">
      <c r="A151" s="11" t="inlineStr">
        <is>
          <t>Period Ended</t>
        </is>
      </c>
      <c r="B151" s="12" t="n">
        <v>43765</v>
      </c>
      <c r="C151" s="12" t="n">
        <v>44129</v>
      </c>
      <c r="D151" s="12" t="n">
        <v>44500</v>
      </c>
      <c r="E151" s="12" t="n">
        <v>44864</v>
      </c>
      <c r="F151" s="12" t="n">
        <v>45228</v>
      </c>
      <c r="G151" s="12" t="n">
        <v>45592</v>
      </c>
    </row>
    <row r="152">
      <c r="A152" s="11" t="inlineStr">
        <is>
          <t>Financial Filing Date</t>
        </is>
      </c>
      <c r="B152" s="12" t="n">
        <v>44547</v>
      </c>
      <c r="C152" s="12" t="n">
        <v>44911</v>
      </c>
      <c r="D152" s="12" t="n">
        <v>45275</v>
      </c>
      <c r="E152" s="12" t="n">
        <v>45639</v>
      </c>
      <c r="F152" s="12" t="n">
        <v>46003</v>
      </c>
      <c r="G152" s="12" t="n">
        <v>46003</v>
      </c>
    </row>
    <row r="153">
      <c r="A153" s="11" t="inlineStr">
        <is>
          <t>Spot Exchange Rate</t>
        </is>
      </c>
      <c r="B153" s="13" t="n">
        <v>0.9018</v>
      </c>
      <c r="C153" s="13" t="n">
        <v>0.8448</v>
      </c>
      <c r="D153" s="13" t="n">
        <v>0.8648</v>
      </c>
      <c r="E153" s="13" t="n">
        <v>1.0057</v>
      </c>
      <c r="F153" s="13" t="n">
        <v>0.9441000000000001</v>
      </c>
      <c r="G153" s="13" t="n">
        <v>0.924</v>
      </c>
    </row>
    <row r="154">
      <c r="A154" s="11" t="inlineStr">
        <is>
          <t>Average Exchange Rate</t>
        </is>
      </c>
      <c r="B154" s="13" t="n">
        <v>0.8893867704280121</v>
      </c>
      <c r="C154" s="13" t="n">
        <v>0.889476171874982</v>
      </c>
      <c r="D154" s="13" t="n">
        <v>0.8377276923076842</v>
      </c>
      <c r="E154" s="13" t="n">
        <v>0.9370230769230707</v>
      </c>
      <c r="F154" s="13" t="n">
        <v>0.9317722007722278</v>
      </c>
      <c r="G154" s="13" t="n">
        <v>0.9199189922480943</v>
      </c>
    </row>
    <row r="155">
      <c r="A155" s="11" t="inlineStr">
        <is>
          <t>Reported Currency Code</t>
        </is>
      </c>
      <c r="B155" s="11" t="inlineStr">
        <is>
          <t>USD</t>
        </is>
      </c>
      <c r="C155" s="11" t="inlineStr">
        <is>
          <t>USD</t>
        </is>
      </c>
      <c r="D155" s="11" t="inlineStr">
        <is>
          <t>USD</t>
        </is>
      </c>
      <c r="E155" s="11" t="inlineStr">
        <is>
          <t>USD</t>
        </is>
      </c>
      <c r="F155" s="11" t="inlineStr">
        <is>
          <t>USD</t>
        </is>
      </c>
      <c r="G155" s="11" t="inlineStr">
        <is>
          <t>USD</t>
        </is>
      </c>
    </row>
    <row r="156">
      <c r="A156" s="11" t="inlineStr">
        <is>
          <t xml:space="preserve"> </t>
        </is>
      </c>
    </row>
    <row r="157">
      <c r="A157" s="11" t="inlineStr">
        <is>
          <t>Assets (€000)</t>
        </is>
      </c>
    </row>
    <row r="158">
      <c r="A158" s="11" t="inlineStr">
        <is>
          <t>Cash and Equivalents</t>
        </is>
      </c>
      <c r="B158" s="13" t="n">
        <v>2821732.2</v>
      </c>
      <c r="C158" s="13" t="n">
        <v>4520524.8</v>
      </c>
      <c r="D158" s="13" t="n">
        <v>4319676</v>
      </c>
      <c r="E158" s="13" t="n">
        <v>2006371.5</v>
      </c>
      <c r="F158" s="13" t="n">
        <v>5789221.2</v>
      </c>
      <c r="G158" s="13" t="n">
        <v>7412328</v>
      </c>
    </row>
    <row r="159">
      <c r="A159" s="11" t="inlineStr">
        <is>
          <t>Short-term Investments</t>
        </is>
      </c>
      <c r="B159" s="13" t="n">
        <v>440980.2</v>
      </c>
      <c r="C159" s="13" t="n">
        <v>326937.6</v>
      </c>
      <c r="D159" s="13" t="n">
        <v>401267.2</v>
      </c>
      <c r="E159" s="13" t="n">
        <v>589340.2000000001</v>
      </c>
      <c r="F159" s="13" t="n">
        <v>695801.7000000001</v>
      </c>
      <c r="G159" s="13" t="n">
        <v>1338876</v>
      </c>
    </row>
    <row r="160">
      <c r="A160" s="11" t="inlineStr">
        <is>
          <t xml:space="preserve">        Cash &amp; Short-term Investments</t>
        </is>
      </c>
      <c r="B160" s="13" t="n">
        <v>3262712.4</v>
      </c>
      <c r="C160" s="13" t="n">
        <v>4847462.4</v>
      </c>
      <c r="D160" s="13" t="n">
        <v>4720943.2</v>
      </c>
      <c r="E160" s="13" t="n">
        <v>2595711.7</v>
      </c>
      <c r="F160" s="13" t="n">
        <v>6485022.9</v>
      </c>
      <c r="G160" s="13" t="n">
        <v>8751204</v>
      </c>
    </row>
    <row r="161">
      <c r="A161" s="11" t="inlineStr">
        <is>
          <t>Accounts Receivable</t>
        </is>
      </c>
      <c r="B161" s="13" t="n">
        <v>2381653.8</v>
      </c>
      <c r="C161" s="13" t="n">
        <v>2628172.8</v>
      </c>
      <c r="D161" s="13" t="n">
        <v>4457179.2</v>
      </c>
      <c r="E161" s="13" t="n">
        <v>6276573.7</v>
      </c>
      <c r="F161" s="13" t="n">
        <v>4876276.5</v>
      </c>
      <c r="G161" s="13" t="n">
        <v>4836216</v>
      </c>
    </row>
    <row r="162">
      <c r="A162" s="11" t="inlineStr">
        <is>
          <t xml:space="preserve">        Total Receivables</t>
        </is>
      </c>
      <c r="B162" s="13" t="n">
        <v>2381653.8</v>
      </c>
      <c r="C162" s="13" t="n">
        <v>2628172.8</v>
      </c>
      <c r="D162" s="13" t="n">
        <v>4457179.2</v>
      </c>
      <c r="E162" s="13" t="n">
        <v>6276573.7</v>
      </c>
      <c r="F162" s="13" t="n">
        <v>4876276.5</v>
      </c>
      <c r="G162" s="13" t="n">
        <v>4836216</v>
      </c>
    </row>
    <row r="163">
      <c r="A163" s="11" t="inlineStr">
        <is>
          <t>Inventory</t>
        </is>
      </c>
      <c r="B163" s="13" t="n">
        <v>3132853.2</v>
      </c>
      <c r="C163" s="13" t="n">
        <v>3298099.2</v>
      </c>
      <c r="D163" s="13" t="n">
        <v>3726423.2</v>
      </c>
      <c r="E163" s="13" t="n">
        <v>5965812.4</v>
      </c>
      <c r="F163" s="13" t="n">
        <v>5404972.5</v>
      </c>
      <c r="G163" s="13" t="n">
        <v>5009004</v>
      </c>
    </row>
    <row r="164">
      <c r="A164" s="11" t="inlineStr">
        <is>
          <t>Prepaid Exp.</t>
        </is>
      </c>
      <c r="B164" s="13" t="n">
        <v>339978.6</v>
      </c>
      <c r="C164" s="13" t="n">
        <v>383539.2</v>
      </c>
      <c r="D164" s="13" t="n">
        <v>511961.6</v>
      </c>
      <c r="E164" s="13" t="n">
        <v>714047</v>
      </c>
      <c r="F164" s="13" t="n">
        <v>921441.6000000001</v>
      </c>
      <c r="G164" s="13" t="n">
        <v>899976</v>
      </c>
    </row>
    <row r="165">
      <c r="A165" s="11" t="inlineStr">
        <is>
          <t>Other Current Assets</t>
        </is>
      </c>
      <c r="B165" s="13" t="n">
        <v>86572.8</v>
      </c>
      <c r="C165" s="13" t="n">
        <v>136857.6</v>
      </c>
      <c r="D165" s="13" t="n">
        <v>512826.4</v>
      </c>
      <c r="E165" s="13" t="n">
        <v>463627.7</v>
      </c>
      <c r="F165" s="13" t="n">
        <v>388969.2</v>
      </c>
      <c r="G165" s="13" t="n">
        <v>110880</v>
      </c>
    </row>
    <row r="166">
      <c r="A166" s="11" t="inlineStr">
        <is>
          <t xml:space="preserve">        Total Current Assets</t>
        </is>
      </c>
      <c r="B166" s="13" t="n">
        <v>9203770.800000001</v>
      </c>
      <c r="C166" s="13" t="n">
        <v>11294131.2</v>
      </c>
      <c r="D166" s="13" t="n">
        <v>13929333.6</v>
      </c>
      <c r="E166" s="13" t="n">
        <v>16015772.5</v>
      </c>
      <c r="F166" s="13" t="n">
        <v>18076682.7</v>
      </c>
      <c r="G166" s="13" t="n">
        <v>19607280</v>
      </c>
    </row>
    <row r="167">
      <c r="A167" s="11" t="inlineStr">
        <is>
          <t>Gross Property, Plant &amp; Equipment</t>
        </is>
      </c>
      <c r="B167" s="13" t="n">
        <v>3671227.8</v>
      </c>
      <c r="C167" s="13" t="n">
        <v>3913113.6</v>
      </c>
      <c r="D167" s="13" t="n">
        <v>4560955.2</v>
      </c>
      <c r="E167" s="13" t="n">
        <v>6052302.600000001</v>
      </c>
      <c r="F167" s="13" t="n">
        <v>6468973.2</v>
      </c>
      <c r="G167" s="13" t="n">
        <v>6915216</v>
      </c>
    </row>
    <row r="168">
      <c r="A168" s="11" t="inlineStr">
        <is>
          <t>Accumulated Depreciation</t>
        </is>
      </c>
      <c r="B168" s="13" t="n">
        <v>-2292375.6</v>
      </c>
      <c r="C168" s="13" t="n">
        <v>-2345164.8</v>
      </c>
      <c r="D168" s="13" t="n">
        <v>-2634180.8</v>
      </c>
      <c r="E168" s="13" t="n">
        <v>-3340935.4</v>
      </c>
      <c r="F168" s="13" t="n">
        <v>-3446909.1</v>
      </c>
      <c r="G168" s="13" t="n">
        <v>-3483480</v>
      </c>
    </row>
    <row r="169">
      <c r="A169" s="11" t="inlineStr">
        <is>
          <t xml:space="preserve">        Net Property, Plant &amp; Equipment</t>
        </is>
      </c>
      <c r="B169" s="13" t="n">
        <v>1378852.2</v>
      </c>
      <c r="C169" s="13" t="n">
        <v>1567948.8</v>
      </c>
      <c r="D169" s="13" t="n">
        <v>1926774.4</v>
      </c>
      <c r="E169" s="13" t="n">
        <v>2711367.2</v>
      </c>
      <c r="F169" s="13" t="n">
        <v>3022064.1</v>
      </c>
      <c r="G169" s="13" t="n">
        <v>3431736</v>
      </c>
    </row>
    <row r="170">
      <c r="A170" s="11" t="inlineStr">
        <is>
          <t>Long-term Investments</t>
        </is>
      </c>
      <c r="B170" s="13" t="n">
        <v>1535765.4</v>
      </c>
      <c r="C170" s="13" t="n">
        <v>1299302.4</v>
      </c>
      <c r="D170" s="13" t="n">
        <v>1777164</v>
      </c>
      <c r="E170" s="13" t="n">
        <v>1991286</v>
      </c>
      <c r="F170" s="13" t="n">
        <v>2153492.1</v>
      </c>
      <c r="G170" s="13" t="n">
        <v>2575188</v>
      </c>
    </row>
    <row r="171">
      <c r="A171" s="11" t="inlineStr">
        <is>
          <t>Goodwill</t>
        </is>
      </c>
      <c r="B171" s="13" t="n">
        <v>3065218.2</v>
      </c>
      <c r="C171" s="13" t="n">
        <v>2928076.8</v>
      </c>
      <c r="D171" s="13" t="n">
        <v>3008639.2</v>
      </c>
      <c r="E171" s="13" t="n">
        <v>3721090</v>
      </c>
      <c r="F171" s="13" t="n">
        <v>3523381.2</v>
      </c>
      <c r="G171" s="13" t="n">
        <v>3448368</v>
      </c>
    </row>
    <row r="172">
      <c r="A172" s="11" t="inlineStr">
        <is>
          <t>Other Intangibles</t>
        </is>
      </c>
      <c r="B172" s="13" t="n">
        <v>140680.8</v>
      </c>
      <c r="C172" s="13" t="n">
        <v>129254.4</v>
      </c>
      <c r="D172" s="13" t="n">
        <v>89939.2</v>
      </c>
      <c r="E172" s="13" t="n">
        <v>340932.3</v>
      </c>
      <c r="F172" s="13" t="n">
        <v>277565.4</v>
      </c>
      <c r="G172" s="13" t="n">
        <v>230076</v>
      </c>
    </row>
    <row r="173">
      <c r="A173" s="11" t="inlineStr">
        <is>
          <t>Deferred Tax Assets, LT</t>
        </is>
      </c>
      <c r="B173" s="13" t="n">
        <v>1592578.8</v>
      </c>
      <c r="C173" s="13" t="n">
        <v>1445452.8</v>
      </c>
      <c r="D173" s="13" t="n">
        <v>1403570.4</v>
      </c>
      <c r="E173" s="13" t="n">
        <v>1402951.5</v>
      </c>
      <c r="F173" s="13" t="n">
        <v>1632348.9</v>
      </c>
      <c r="G173" s="13" t="n">
        <v>2211132</v>
      </c>
    </row>
    <row r="174">
      <c r="A174" s="11" t="inlineStr">
        <is>
          <t>Other Long-term Assets</t>
        </is>
      </c>
      <c r="B174" s="13" t="n">
        <v>238977</v>
      </c>
      <c r="C174" s="13" t="n">
        <v>219648</v>
      </c>
      <c r="D174" s="13" t="n">
        <v>198039.2</v>
      </c>
      <c r="E174" s="13" t="n">
        <v>694938.7000000001</v>
      </c>
      <c r="F174" s="13" t="n">
        <v>325714.5</v>
      </c>
      <c r="G174" s="13" t="n">
        <v>290136</v>
      </c>
    </row>
    <row r="175">
      <c r="A175" s="11" t="inlineStr">
        <is>
          <t>Total Assets</t>
        </is>
      </c>
      <c r="B175" s="13" t="n">
        <v>17155843.2</v>
      </c>
      <c r="C175" s="13" t="n">
        <v>18883814.4</v>
      </c>
      <c r="D175" s="13" t="n">
        <v>22333460</v>
      </c>
      <c r="E175" s="13" t="n">
        <v>26878338.2</v>
      </c>
      <c r="F175" s="13" t="n">
        <v>29011248.9</v>
      </c>
      <c r="G175" s="13" t="n">
        <v>31793916</v>
      </c>
    </row>
    <row r="176">
      <c r="A176" s="11" t="inlineStr">
        <is>
          <t>Liabilities (€000)</t>
        </is>
      </c>
    </row>
    <row r="177">
      <c r="A177" s="11" t="inlineStr">
        <is>
          <t>Accounts Payable</t>
        </is>
      </c>
      <c r="B177" s="13" t="n">
        <v>863924.4</v>
      </c>
      <c r="C177" s="13" t="n">
        <v>949555.2</v>
      </c>
      <c r="D177" s="13" t="n">
        <v>1272985.6</v>
      </c>
      <c r="E177" s="13" t="n">
        <v>1765003.5</v>
      </c>
      <c r="F177" s="13" t="n">
        <v>1395379.8</v>
      </c>
      <c r="G177" s="13" t="n">
        <v>1450680</v>
      </c>
    </row>
    <row r="178">
      <c r="A178" s="11" t="inlineStr">
        <is>
          <t>Accrued Exp.</t>
        </is>
      </c>
      <c r="B178" s="13" t="n">
        <v>587973.6</v>
      </c>
      <c r="C178" s="13" t="n">
        <v>734131.2</v>
      </c>
      <c r="D178" s="13" t="n">
        <v>853557.6</v>
      </c>
      <c r="E178" s="13" t="n">
        <v>979551.8</v>
      </c>
      <c r="F178" s="13" t="n">
        <v>966758.4</v>
      </c>
      <c r="G178" s="13" t="n">
        <v>1097712</v>
      </c>
    </row>
    <row r="179">
      <c r="A179" s="11" t="inlineStr">
        <is>
          <t>Short-term Borrowings</t>
        </is>
      </c>
      <c r="B179" s="11" t="inlineStr">
        <is>
          <t>NA</t>
        </is>
      </c>
      <c r="C179" s="11" t="inlineStr">
        <is>
          <t>NA</t>
        </is>
      </c>
      <c r="D179" s="11" t="inlineStr">
        <is>
          <t>NA</t>
        </is>
      </c>
      <c r="E179" s="11" t="inlineStr">
        <is>
          <t>NA</t>
        </is>
      </c>
      <c r="F179" s="13" t="n">
        <v>94410</v>
      </c>
      <c r="G179" s="13" t="n">
        <v>91476</v>
      </c>
    </row>
    <row r="180">
      <c r="A180" s="11" t="inlineStr">
        <is>
          <t>Curr. Port. of Long-term Debt</t>
        </is>
      </c>
      <c r="B180" s="13" t="n">
        <v>541080</v>
      </c>
      <c r="C180" s="11" t="inlineStr">
        <is>
          <t>NA</t>
        </is>
      </c>
      <c r="D180" s="11" t="inlineStr">
        <is>
          <t>NA</t>
        </is>
      </c>
      <c r="E180" s="11" t="inlineStr">
        <is>
          <t>NA</t>
        </is>
      </c>
      <c r="F180" s="11" t="inlineStr">
        <is>
          <t>NA</t>
        </is>
      </c>
      <c r="G180" s="13" t="n">
        <v>646800</v>
      </c>
    </row>
    <row r="181">
      <c r="A181" s="11" t="inlineStr">
        <is>
          <t>Current Portion of Leases</t>
        </is>
      </c>
      <c r="B181" s="11" t="inlineStr">
        <is>
          <t>NA</t>
        </is>
      </c>
      <c r="C181" s="13" t="n">
        <v>54067.2</v>
      </c>
      <c r="D181" s="13" t="n">
        <v>63130.4</v>
      </c>
      <c r="E181" s="13" t="n">
        <v>85484.5</v>
      </c>
      <c r="F181" s="13" t="n">
        <v>175602.6</v>
      </c>
      <c r="G181" s="13" t="n">
        <v>80388</v>
      </c>
    </row>
    <row r="182">
      <c r="A182" s="11" t="inlineStr">
        <is>
          <t>Curr. Income Taxes Payable</t>
        </is>
      </c>
      <c r="B182" s="13" t="n">
        <v>144288</v>
      </c>
      <c r="C182" s="13" t="n">
        <v>187545.6</v>
      </c>
      <c r="D182" s="13" t="n">
        <v>634763.2</v>
      </c>
      <c r="E182" s="13" t="n">
        <v>320818.3</v>
      </c>
      <c r="F182" s="13" t="n">
        <v>266236.2</v>
      </c>
      <c r="G182" s="13" t="n">
        <v>494340</v>
      </c>
    </row>
    <row r="183">
      <c r="A183" s="11" t="inlineStr">
        <is>
          <t>Unearned Revenue, Current</t>
        </is>
      </c>
      <c r="B183" s="13" t="n">
        <v>1204804.8</v>
      </c>
      <c r="C183" s="13" t="n">
        <v>1115980.8</v>
      </c>
      <c r="D183" s="13" t="n">
        <v>1795324.8</v>
      </c>
      <c r="E183" s="13" t="n">
        <v>3159909.4</v>
      </c>
      <c r="F183" s="13" t="n">
        <v>2808697.5</v>
      </c>
      <c r="G183" s="13" t="n">
        <v>2632476</v>
      </c>
    </row>
    <row r="184">
      <c r="A184" s="11" t="inlineStr">
        <is>
          <t>Other Current Liabilities</t>
        </is>
      </c>
      <c r="B184" s="13" t="n">
        <v>668233.8</v>
      </c>
      <c r="C184" s="13" t="n">
        <v>725683.2</v>
      </c>
      <c r="D184" s="13" t="n">
        <v>866529.6</v>
      </c>
      <c r="E184" s="13" t="n">
        <v>1110292.8</v>
      </c>
      <c r="F184" s="13" t="n">
        <v>1252820.7</v>
      </c>
      <c r="G184" s="13" t="n">
        <v>1330560</v>
      </c>
    </row>
    <row r="185">
      <c r="A185" s="11" t="inlineStr">
        <is>
          <t xml:space="preserve">        Total Current Liabilities</t>
        </is>
      </c>
      <c r="B185" s="13" t="n">
        <v>4010304.6</v>
      </c>
      <c r="C185" s="13" t="n">
        <v>3766963.2</v>
      </c>
      <c r="D185" s="13" t="n">
        <v>5486291.2</v>
      </c>
      <c r="E185" s="13" t="n">
        <v>7421060.300000001</v>
      </c>
      <c r="F185" s="13" t="n">
        <v>6959905.2</v>
      </c>
      <c r="G185" s="13" t="n">
        <v>7824432</v>
      </c>
    </row>
    <row r="186">
      <c r="A186" s="11" t="inlineStr">
        <is>
          <t>Long-term Debt</t>
        </is>
      </c>
      <c r="B186" s="13" t="n">
        <v>4250183.4</v>
      </c>
      <c r="C186" s="13" t="n">
        <v>4602470.4</v>
      </c>
      <c r="D186" s="13" t="n">
        <v>4714889.6</v>
      </c>
      <c r="E186" s="13" t="n">
        <v>5488104.9</v>
      </c>
      <c r="F186" s="13" t="n">
        <v>5155730.100000001</v>
      </c>
      <c r="G186" s="13" t="n">
        <v>5045040</v>
      </c>
    </row>
    <row r="187">
      <c r="A187" s="11" t="inlineStr">
        <is>
          <t>Long-term Leases</t>
        </is>
      </c>
      <c r="B187" s="11" t="inlineStr">
        <is>
          <t>NA</t>
        </is>
      </c>
      <c r="C187" s="13" t="n">
        <v>164736</v>
      </c>
      <c r="D187" s="13" t="n">
        <v>197174.4</v>
      </c>
      <c r="E187" s="13" t="n">
        <v>288635.9</v>
      </c>
      <c r="F187" s="13" t="n">
        <v>237913.2</v>
      </c>
      <c r="G187" s="13" t="n">
        <v>239316</v>
      </c>
    </row>
    <row r="188">
      <c r="A188" s="11" t="inlineStr">
        <is>
          <t>Pension &amp; Other Post-Retire. Benefits</t>
        </is>
      </c>
      <c r="B188" s="13" t="n">
        <v>191181.6</v>
      </c>
      <c r="C188" s="13" t="n">
        <v>203596.8</v>
      </c>
      <c r="D188" s="13" t="n">
        <v>166906.4</v>
      </c>
      <c r="E188" s="13" t="n">
        <v>107609.9</v>
      </c>
      <c r="F188" s="13" t="n">
        <v>118956.6</v>
      </c>
      <c r="G188" s="13" t="n">
        <v>131208</v>
      </c>
    </row>
    <row r="189">
      <c r="A189" s="11" t="inlineStr">
        <is>
          <t>Other Non-Current Liabilities</t>
        </is>
      </c>
      <c r="B189" s="13" t="n">
        <v>1296788.4</v>
      </c>
      <c r="C189" s="13" t="n">
        <v>1209753.6</v>
      </c>
      <c r="D189" s="13" t="n">
        <v>1176992.8</v>
      </c>
      <c r="E189" s="13" t="n">
        <v>1309421.4</v>
      </c>
      <c r="F189" s="13" t="n">
        <v>1103652.9</v>
      </c>
      <c r="G189" s="13" t="n">
        <v>996996</v>
      </c>
    </row>
    <row r="190">
      <c r="A190" s="11" t="inlineStr">
        <is>
          <t>Total Liabilities</t>
        </is>
      </c>
      <c r="B190" s="13" t="n">
        <v>9748458</v>
      </c>
      <c r="C190" s="13" t="n">
        <v>9947520</v>
      </c>
      <c r="D190" s="13" t="n">
        <v>11742254.4</v>
      </c>
      <c r="E190" s="13" t="n">
        <v>14614832.4</v>
      </c>
      <c r="F190" s="13" t="n">
        <v>13576158</v>
      </c>
      <c r="G190" s="13" t="n">
        <v>14236992</v>
      </c>
    </row>
    <row r="191">
      <c r="A191" s="11" t="inlineStr">
        <is>
          <t>Equity (€000)</t>
        </is>
      </c>
    </row>
    <row r="192">
      <c r="A192" s="11" t="inlineStr">
        <is>
          <t>Common Stock</t>
        </is>
      </c>
      <c r="B192" s="13" t="n">
        <v>8116.200000000001</v>
      </c>
      <c r="C192" s="13" t="n">
        <v>7603.2</v>
      </c>
      <c r="D192" s="13" t="n">
        <v>7783.2</v>
      </c>
      <c r="E192" s="13" t="n">
        <v>8045.6</v>
      </c>
      <c r="F192" s="13" t="n">
        <v>7552.8</v>
      </c>
      <c r="G192" s="13" t="n">
        <v>7392</v>
      </c>
    </row>
    <row r="193">
      <c r="A193" s="11" t="inlineStr">
        <is>
          <t>Additional Paid In Capital</t>
        </is>
      </c>
      <c r="B193" s="13" t="n">
        <v>6849171</v>
      </c>
      <c r="C193" s="13" t="n">
        <v>6677299.2</v>
      </c>
      <c r="D193" s="13" t="n">
        <v>7132005.600000001</v>
      </c>
      <c r="E193" s="13" t="n">
        <v>8641980.1</v>
      </c>
      <c r="F193" s="13" t="n">
        <v>8620577.1</v>
      </c>
      <c r="G193" s="13" t="n">
        <v>8925840</v>
      </c>
    </row>
    <row r="194">
      <c r="A194" s="11" t="inlineStr">
        <is>
          <t>Retained Earnings</t>
        </is>
      </c>
      <c r="B194" s="13" t="n">
        <v>21991294.8</v>
      </c>
      <c r="C194" s="13" t="n">
        <v>22986163.2</v>
      </c>
      <c r="D194" s="13" t="n">
        <v>27886340.8</v>
      </c>
      <c r="E194" s="13" t="n">
        <v>38107984.4</v>
      </c>
      <c r="F194" s="13" t="n">
        <v>41281716.6</v>
      </c>
      <c r="G194" s="13" t="n">
        <v>45877524</v>
      </c>
    </row>
    <row r="195">
      <c r="A195" s="11" t="inlineStr">
        <is>
          <t>Treasury Stock</t>
        </is>
      </c>
      <c r="B195" s="13" t="n">
        <v>-21278872.8</v>
      </c>
      <c r="C195" s="13" t="n">
        <v>-20482176</v>
      </c>
      <c r="D195" s="13" t="n">
        <v>-24210076</v>
      </c>
      <c r="E195" s="13" t="n">
        <v>-34291352.9</v>
      </c>
      <c r="F195" s="13" t="n">
        <v>-34269885.9</v>
      </c>
      <c r="G195" s="13" t="n">
        <v>-37098600</v>
      </c>
    </row>
    <row r="196">
      <c r="A196" s="11" t="inlineStr">
        <is>
          <t>Comprehensive Inc. and Other</t>
        </is>
      </c>
      <c r="B196" s="13" t="n">
        <v>-162324</v>
      </c>
      <c r="C196" s="13" t="n">
        <v>-252595.2</v>
      </c>
      <c r="D196" s="13" t="n">
        <v>-224848</v>
      </c>
      <c r="E196" s="13" t="n">
        <v>-203151.4</v>
      </c>
      <c r="F196" s="13" t="n">
        <v>-204869.7</v>
      </c>
      <c r="G196" s="13" t="n">
        <v>-155232</v>
      </c>
    </row>
    <row r="197">
      <c r="A197" s="11" t="inlineStr">
        <is>
          <t xml:space="preserve">        Total Common Equity</t>
        </is>
      </c>
      <c r="B197" s="13" t="n">
        <v>7407385.2</v>
      </c>
      <c r="C197" s="13" t="n">
        <v>8936294.4</v>
      </c>
      <c r="D197" s="13" t="n">
        <v>10591205.6</v>
      </c>
      <c r="E197" s="13" t="n">
        <v>12263505.8</v>
      </c>
      <c r="F197" s="13" t="n">
        <v>15435090.9</v>
      </c>
      <c r="G197" s="13" t="n">
        <v>17556924</v>
      </c>
    </row>
    <row r="198">
      <c r="A198" s="11" t="inlineStr">
        <is>
          <t>Total Equity</t>
        </is>
      </c>
      <c r="B198" s="13" t="n">
        <v>7407385.2</v>
      </c>
      <c r="C198" s="13" t="n">
        <v>8936294.4</v>
      </c>
      <c r="D198" s="13" t="n">
        <v>10591205.6</v>
      </c>
      <c r="E198" s="13" t="n">
        <v>12263505.8</v>
      </c>
      <c r="F198" s="13" t="n">
        <v>15435090.9</v>
      </c>
      <c r="G198" s="13" t="n">
        <v>17556924</v>
      </c>
    </row>
    <row r="199">
      <c r="A199" s="11" t="inlineStr">
        <is>
          <t>Total Liabilities And Equity</t>
        </is>
      </c>
      <c r="B199" s="13" t="n">
        <v>17155843.2</v>
      </c>
      <c r="C199" s="13" t="n">
        <v>18883814.4</v>
      </c>
      <c r="D199" s="13" t="n">
        <v>22333460</v>
      </c>
      <c r="E199" s="13" t="n">
        <v>26878338.2</v>
      </c>
      <c r="F199" s="13" t="n">
        <v>29011248.9</v>
      </c>
      <c r="G199" s="13" t="n">
        <v>31793916</v>
      </c>
    </row>
    <row r="200">
      <c r="A200" s="11" t="inlineStr">
        <is>
          <t>Supplemental Items (€)</t>
        </is>
      </c>
    </row>
    <row r="201">
      <c r="A201" s="11" t="inlineStr">
        <is>
          <t>ECS Total Shares Outstanding on Filing Date (actual)</t>
        </is>
      </c>
      <c r="B201" s="13" t="n">
        <v>915304098</v>
      </c>
      <c r="C201" s="13" t="n">
        <v>914344189</v>
      </c>
      <c r="D201" s="13" t="n">
        <v>888513248</v>
      </c>
      <c r="E201" s="13" t="n">
        <v>844139722</v>
      </c>
      <c r="F201" s="13" t="n">
        <v>831067105</v>
      </c>
      <c r="G201" s="13" t="n">
        <v>813684638</v>
      </c>
    </row>
    <row r="202">
      <c r="A202" s="11" t="inlineStr">
        <is>
          <t>ECS Total Common Shares Outstanding (actual)</t>
        </is>
      </c>
      <c r="B202" s="13" t="n">
        <v>916000000</v>
      </c>
      <c r="C202" s="13" t="n">
        <v>914000000</v>
      </c>
      <c r="D202" s="13" t="n">
        <v>892000000</v>
      </c>
      <c r="E202" s="13" t="n">
        <v>844000000</v>
      </c>
      <c r="F202" s="13" t="n">
        <v>833000000</v>
      </c>
      <c r="G202" s="13" t="n">
        <v>818000000</v>
      </c>
    </row>
    <row r="203">
      <c r="A203" s="11" t="inlineStr">
        <is>
          <t>Book Value per Share</t>
        </is>
      </c>
      <c r="B203" s="13" t="n">
        <v>8.086440600000001</v>
      </c>
      <c r="C203" s="13" t="n">
        <v>9.7768704</v>
      </c>
      <c r="D203" s="13" t="n">
        <v>11.873704</v>
      </c>
      <c r="E203" s="13" t="n">
        <v>14.5303536</v>
      </c>
      <c r="F203" s="13" t="n">
        <v>18.5298507</v>
      </c>
      <c r="G203" s="13" t="n">
        <v>21.463596</v>
      </c>
    </row>
    <row r="204">
      <c r="A204" s="11" t="inlineStr">
        <is>
          <t>Tangible Book Value</t>
        </is>
      </c>
      <c r="B204" s="13" t="n">
        <v>4201486.2</v>
      </c>
      <c r="C204" s="13" t="n">
        <v>5878963.2</v>
      </c>
      <c r="D204" s="13" t="n">
        <v>7492627.2</v>
      </c>
      <c r="E204" s="13" t="n">
        <v>8201483.5</v>
      </c>
      <c r="F204" s="13" t="n">
        <v>11634144.3</v>
      </c>
      <c r="G204" s="13" t="n">
        <v>13878480</v>
      </c>
    </row>
    <row r="205">
      <c r="A205" s="11" t="inlineStr">
        <is>
          <t>Tangible Book Value per Share</t>
        </is>
      </c>
      <c r="B205" s="13" t="n">
        <v>4.586554800000001</v>
      </c>
      <c r="C205" s="13" t="n">
        <v>6.432307199999999</v>
      </c>
      <c r="D205" s="13" t="n">
        <v>8.399802399999999</v>
      </c>
      <c r="E205" s="13" t="n">
        <v>9.7170734</v>
      </c>
      <c r="F205" s="13" t="n">
        <v>13.9670154</v>
      </c>
      <c r="G205" s="13" t="n">
        <v>16.966488</v>
      </c>
    </row>
    <row r="206">
      <c r="A206" s="11" t="inlineStr">
        <is>
          <t>Total Debt</t>
        </is>
      </c>
      <c r="B206" s="13" t="n">
        <v>4791263.4</v>
      </c>
      <c r="C206" s="13" t="n">
        <v>4821273.6</v>
      </c>
      <c r="D206" s="13" t="n">
        <v>4975194.4</v>
      </c>
      <c r="E206" s="13" t="n">
        <v>5862225.3</v>
      </c>
      <c r="F206" s="13" t="n">
        <v>5663655.9</v>
      </c>
      <c r="G206" s="13" t="n">
        <v>6103020</v>
      </c>
    </row>
    <row r="207">
      <c r="A207" s="11" t="inlineStr">
        <is>
          <t>Net Debt</t>
        </is>
      </c>
      <c r="B207" s="13" t="n">
        <v>1528551</v>
      </c>
      <c r="C207" s="13" t="n">
        <v>-26188.8</v>
      </c>
      <c r="D207" s="13" t="n">
        <v>254251.2</v>
      </c>
      <c r="E207" s="13" t="n">
        <v>3266513.6</v>
      </c>
      <c r="F207" s="13" t="n">
        <v>-821367</v>
      </c>
      <c r="G207" s="13" t="n">
        <v>-2648184</v>
      </c>
    </row>
    <row r="208">
      <c r="A208" s="11" t="inlineStr">
        <is>
          <t>Debt Equiv. of Unfunded Proj. Benefit Obligation</t>
        </is>
      </c>
      <c r="B208" s="13" t="n">
        <v>187574.4</v>
      </c>
      <c r="C208" s="13" t="n">
        <v>205286.4</v>
      </c>
      <c r="D208" s="13" t="n">
        <v>167771.2</v>
      </c>
      <c r="E208" s="13" t="n">
        <v>63359.10000000001</v>
      </c>
      <c r="F208" s="11" t="inlineStr">
        <is>
          <t>NA</t>
        </is>
      </c>
      <c r="G208" s="11" t="inlineStr">
        <is>
          <t>NA</t>
        </is>
      </c>
    </row>
    <row r="209">
      <c r="A209" s="11" t="inlineStr">
        <is>
          <t>Debt Equivalent Oper. Leases</t>
        </is>
      </c>
      <c r="B209" s="13" t="n">
        <v>362869.8023346289</v>
      </c>
      <c r="C209" s="13" t="n">
        <v>490990.84687499</v>
      </c>
      <c r="D209" s="13" t="n">
        <v>529443.9015384564</v>
      </c>
      <c r="E209" s="11" t="inlineStr">
        <is>
          <t>NA</t>
        </is>
      </c>
      <c r="F209" s="11" t="inlineStr">
        <is>
          <t>NA</t>
        </is>
      </c>
      <c r="G209" s="11" t="inlineStr">
        <is>
          <t>NA</t>
        </is>
      </c>
    </row>
    <row r="210">
      <c r="A210" s="11" t="inlineStr">
        <is>
          <t>Raw Materials Inventory</t>
        </is>
      </c>
      <c r="B210" s="13" t="n">
        <v>723243.6000000001</v>
      </c>
      <c r="C210" s="13" t="n">
        <v>734976</v>
      </c>
      <c r="D210" s="13" t="n">
        <v>982412.8</v>
      </c>
      <c r="E210" s="13" t="n">
        <v>1817299.9</v>
      </c>
      <c r="F210" s="13" t="n">
        <v>1560597.3</v>
      </c>
      <c r="G210" s="13" t="n">
        <v>1552320</v>
      </c>
    </row>
    <row r="211">
      <c r="A211" s="11" t="inlineStr">
        <is>
          <t>Work in Progress Inventory</t>
        </is>
      </c>
      <c r="B211" s="13" t="n">
        <v>518535</v>
      </c>
      <c r="C211" s="13" t="n">
        <v>527155.2</v>
      </c>
      <c r="D211" s="13" t="n">
        <v>754970.4</v>
      </c>
      <c r="E211" s="13" t="n">
        <v>1034865.3</v>
      </c>
      <c r="F211" s="13" t="n">
        <v>941267.7000000001</v>
      </c>
      <c r="G211" s="13" t="n">
        <v>812196</v>
      </c>
    </row>
    <row r="212">
      <c r="A212" s="11" t="inlineStr">
        <is>
          <t>Finished Goods Inventory</t>
        </is>
      </c>
      <c r="B212" s="13" t="n">
        <v>768333.6000000001</v>
      </c>
      <c r="C212" s="13" t="n">
        <v>963072</v>
      </c>
      <c r="D212" s="13" t="n">
        <v>907175.2000000001</v>
      </c>
      <c r="E212" s="13" t="n">
        <v>1696615.9</v>
      </c>
      <c r="F212" s="13" t="n">
        <v>1402932.6</v>
      </c>
      <c r="G212" s="13" t="n">
        <v>1034880</v>
      </c>
    </row>
    <row r="213">
      <c r="A213" s="11" t="inlineStr">
        <is>
          <t>Other Inventory Accounts</t>
        </is>
      </c>
      <c r="B213" s="13" t="n">
        <v>1122741</v>
      </c>
      <c r="C213" s="13" t="n">
        <v>1072896</v>
      </c>
      <c r="D213" s="13" t="n">
        <v>1081864.8</v>
      </c>
      <c r="E213" s="13" t="n">
        <v>1417031.3</v>
      </c>
      <c r="F213" s="13" t="n">
        <v>1500174.9</v>
      </c>
      <c r="G213" s="13" t="n">
        <v>1609608</v>
      </c>
    </row>
    <row r="214">
      <c r="A214" s="11" t="inlineStr">
        <is>
          <t>Land</t>
        </is>
      </c>
      <c r="B214" s="13" t="n">
        <v>229057.2</v>
      </c>
      <c r="C214" s="13" t="n">
        <v>216268.8</v>
      </c>
      <c r="D214" s="13" t="n">
        <v>288843.2</v>
      </c>
      <c r="E214" s="13" t="n">
        <v>389205.9</v>
      </c>
      <c r="F214" s="13" t="n">
        <v>371031.3</v>
      </c>
      <c r="G214" s="13" t="n">
        <v>454608</v>
      </c>
    </row>
    <row r="215">
      <c r="A215" s="11" t="inlineStr">
        <is>
          <t>Buildings</t>
        </is>
      </c>
      <c r="B215" s="13" t="n">
        <v>1433862</v>
      </c>
      <c r="C215" s="13" t="n">
        <v>1398144</v>
      </c>
      <c r="D215" s="13" t="n">
        <v>1539344</v>
      </c>
      <c r="E215" s="13" t="n">
        <v>2038553.9</v>
      </c>
      <c r="F215" s="13" t="n">
        <v>2071355.4</v>
      </c>
      <c r="G215" s="13" t="n">
        <v>2179716</v>
      </c>
    </row>
    <row r="216">
      <c r="A216" s="11" t="inlineStr">
        <is>
          <t>Machinery</t>
        </is>
      </c>
      <c r="B216" s="13" t="n">
        <v>1900092.6</v>
      </c>
      <c r="C216" s="13" t="n">
        <v>1885593.6</v>
      </c>
      <c r="D216" s="13" t="n">
        <v>2196592</v>
      </c>
      <c r="E216" s="13" t="n">
        <v>2842108.2</v>
      </c>
      <c r="F216" s="13" t="n">
        <v>2940871.5</v>
      </c>
      <c r="G216" s="13" t="n">
        <v>3104640</v>
      </c>
    </row>
    <row r="217">
      <c r="A217" s="11" t="inlineStr">
        <is>
          <t>Construction in Progress</t>
        </is>
      </c>
      <c r="B217" s="13" t="n">
        <v>108216</v>
      </c>
      <c r="C217" s="13" t="n">
        <v>200217.6</v>
      </c>
      <c r="D217" s="13" t="n">
        <v>281924.8</v>
      </c>
      <c r="E217" s="13" t="n">
        <v>391217.3</v>
      </c>
      <c r="F217" s="13" t="n">
        <v>634435.2000000001</v>
      </c>
      <c r="G217" s="13" t="n">
        <v>829752</v>
      </c>
    </row>
    <row r="218">
      <c r="A218" s="11" t="inlineStr">
        <is>
          <t>Full Time Employees (actual)</t>
        </is>
      </c>
      <c r="B218" s="13" t="n">
        <v>22000</v>
      </c>
      <c r="C218" s="13" t="n">
        <v>24000</v>
      </c>
      <c r="D218" s="13" t="n">
        <v>27000</v>
      </c>
      <c r="E218" s="13" t="n">
        <v>33000</v>
      </c>
      <c r="F218" s="13" t="n">
        <v>34000</v>
      </c>
      <c r="G218" s="13" t="n">
        <v>35700</v>
      </c>
    </row>
    <row r="219">
      <c r="A219" s="11" t="inlineStr">
        <is>
          <t>Accumulated Allowance for Doubtful Accounts</t>
        </is>
      </c>
      <c r="B219" s="13" t="n">
        <v>27054</v>
      </c>
      <c r="C219" s="13" t="n">
        <v>25344</v>
      </c>
      <c r="D219" s="13" t="n">
        <v>25079.2</v>
      </c>
      <c r="E219" s="13" t="n">
        <v>29165.3</v>
      </c>
      <c r="F219" s="11" t="inlineStr">
        <is>
          <t>NA</t>
        </is>
      </c>
      <c r="G219" s="11" t="inlineStr">
        <is>
          <t>NA</t>
        </is>
      </c>
    </row>
    <row r="220">
      <c r="A220" s="11" t="inlineStr">
        <is>
          <t>CIQ Restatement Type Code</t>
        </is>
      </c>
      <c r="B220" s="11" t="inlineStr">
        <is>
          <t>NC</t>
        </is>
      </c>
      <c r="C220" s="11" t="inlineStr">
        <is>
          <t>NC</t>
        </is>
      </c>
      <c r="D220" s="11" t="inlineStr">
        <is>
          <t>NC</t>
        </is>
      </c>
      <c r="E220" s="11" t="inlineStr">
        <is>
          <t>NC</t>
        </is>
      </c>
      <c r="F220" s="11" t="inlineStr">
        <is>
          <t>NC</t>
        </is>
      </c>
      <c r="G220" s="11" t="inlineStr">
        <is>
          <t>NC</t>
        </is>
      </c>
    </row>
    <row r="221">
      <c r="A221" s="11" t="inlineStr">
        <is>
          <t>CIQ Calculation Type Code</t>
        </is>
      </c>
      <c r="B221" s="11" t="inlineStr">
        <is>
          <t>RUP</t>
        </is>
      </c>
      <c r="C221" s="11" t="inlineStr">
        <is>
          <t>RUP</t>
        </is>
      </c>
      <c r="D221" s="11" t="inlineStr">
        <is>
          <t>RUP</t>
        </is>
      </c>
      <c r="E221" s="11" t="inlineStr">
        <is>
          <t>RUP</t>
        </is>
      </c>
      <c r="F221" s="11" t="inlineStr">
        <is>
          <t>RUP</t>
        </is>
      </c>
      <c r="G221" s="11" t="inlineStr">
        <is>
          <t>REP</t>
        </is>
      </c>
    </row>
    <row r="222">
      <c r="A222" s="11" t="inlineStr">
        <is>
          <t>Loss Carry Forward Related Items (€000)</t>
        </is>
      </c>
    </row>
    <row r="223">
      <c r="A223" s="11" t="inlineStr">
        <is>
          <t>Tax Benefit Carryforward, After Five Years</t>
        </is>
      </c>
      <c r="B223" s="13" t="n">
        <v>10672.64124513614</v>
      </c>
      <c r="C223" s="13" t="n">
        <v>16010.57109374968</v>
      </c>
      <c r="D223" s="13" t="n">
        <v>20105.46461538442</v>
      </c>
      <c r="E223" s="13" t="n">
        <v>24362.59999999984</v>
      </c>
      <c r="F223" s="13" t="n">
        <v>32612.02702702797</v>
      </c>
      <c r="G223" s="13" t="n">
        <v>35876.84069767567</v>
      </c>
    </row>
    <row r="224">
      <c r="A224" s="11" t="inlineStr">
        <is>
          <t>Tax Benefit Carryforward, No Expiration</t>
        </is>
      </c>
      <c r="B224" s="13" t="n">
        <v>224125.466147859</v>
      </c>
      <c r="C224" s="13" t="n">
        <v>274848.1371093694</v>
      </c>
      <c r="D224" s="13" t="n">
        <v>289016.053846151</v>
      </c>
      <c r="E224" s="13" t="n">
        <v>400108.8538461512</v>
      </c>
      <c r="F224" s="13" t="n">
        <v>466817.8725868861</v>
      </c>
      <c r="G224" s="13" t="n">
        <v>508715.2027131961</v>
      </c>
    </row>
    <row r="225">
      <c r="A225" s="11" t="inlineStr">
        <is>
          <t>Total Tax Benefit Carryforward</t>
        </is>
      </c>
      <c r="B225" s="13" t="n">
        <v>234798.1073929952</v>
      </c>
      <c r="C225" s="13" t="n">
        <v>290858.7082031191</v>
      </c>
      <c r="D225" s="13" t="n">
        <v>309121.5184615355</v>
      </c>
      <c r="E225" s="13" t="n">
        <v>424471.4538461511</v>
      </c>
      <c r="F225" s="13" t="n">
        <v>499429.8996139141</v>
      </c>
      <c r="G225" s="13" t="n">
        <v>544592.0434108718</v>
      </c>
    </row>
    <row r="226">
      <c r="A226" s="11" t="inlineStr">
        <is>
          <t>Adoption of FIN 48 Related Items (€000)</t>
        </is>
      </c>
    </row>
    <row r="227">
      <c r="A227" s="11" t="inlineStr">
        <is>
          <t>Unrecog. Tax Benefits, Beginning of the Period</t>
        </is>
      </c>
      <c r="B227" s="13" t="n">
        <v>332630.6521400765</v>
      </c>
      <c r="C227" s="13" t="n">
        <v>751607.3652343597</v>
      </c>
      <c r="D227" s="13" t="n">
        <v>415512.9353846114</v>
      </c>
      <c r="E227" s="13" t="n">
        <v>503181.392307689</v>
      </c>
      <c r="F227" s="13" t="n">
        <v>464022.5559845694</v>
      </c>
      <c r="G227" s="13" t="n">
        <v>469158.686046528</v>
      </c>
    </row>
    <row r="228">
      <c r="A228" s="11" t="inlineStr">
        <is>
          <t>Additions Based on Tax Positions - Current Yr.</t>
        </is>
      </c>
      <c r="B228" s="13" t="n">
        <v>29349.7634241244</v>
      </c>
      <c r="C228" s="13" t="n">
        <v>39136.95156249921</v>
      </c>
      <c r="D228" s="13" t="n">
        <v>21780.91999999979</v>
      </c>
      <c r="E228" s="13" t="n">
        <v>24362.59999999984</v>
      </c>
      <c r="F228" s="13" t="n">
        <v>26089.62162162238</v>
      </c>
      <c r="G228" s="13" t="n">
        <v>22997.97480620236</v>
      </c>
    </row>
    <row r="229">
      <c r="A229" s="11" t="inlineStr">
        <is>
          <t>Additions for Tax Positions - Prior Yrs</t>
        </is>
      </c>
      <c r="B229" s="13" t="n">
        <v>392219.5657587533</v>
      </c>
      <c r="C229" s="13" t="n">
        <v>80942.33164062336</v>
      </c>
      <c r="D229" s="13" t="n">
        <v>19267.73692307674</v>
      </c>
      <c r="E229" s="13" t="n">
        <v>26236.64615384598</v>
      </c>
      <c r="F229" s="11" t="inlineStr">
        <is>
          <t>NA</t>
        </is>
      </c>
      <c r="G229" s="13" t="n">
        <v>11958.94689922523</v>
      </c>
    </row>
    <row r="230">
      <c r="A230" s="11" t="inlineStr">
        <is>
          <t>Reductions for Tax Positions - Prior Yrs</t>
        </is>
      </c>
      <c r="B230" s="11" t="inlineStr">
        <is>
          <t>NA</t>
        </is>
      </c>
      <c r="C230" s="13" t="n">
        <v>-31131.66601562437</v>
      </c>
      <c r="D230" s="13" t="n">
        <v>-3350.910769230737</v>
      </c>
      <c r="E230" s="13" t="n">
        <v>-63717.56923076881</v>
      </c>
      <c r="F230" s="13" t="n">
        <v>-14908.35521235564</v>
      </c>
      <c r="G230" s="13" t="n">
        <v>-3679.675968992377</v>
      </c>
    </row>
    <row r="231">
      <c r="A231" s="11" t="inlineStr">
        <is>
          <t>Settlements with Tax Authorities</t>
        </is>
      </c>
      <c r="B231" s="13" t="n">
        <v>-889.386770428012</v>
      </c>
      <c r="C231" s="13" t="n">
        <v>-396706.3726562419</v>
      </c>
      <c r="D231" s="11" t="inlineStr">
        <is>
          <t>NA</t>
        </is>
      </c>
      <c r="E231" s="13" t="n">
        <v>-23425.57692307677</v>
      </c>
      <c r="F231" s="11" t="inlineStr">
        <is>
          <t>NA</t>
        </is>
      </c>
      <c r="G231" s="11" t="inlineStr">
        <is>
          <t>NA</t>
        </is>
      </c>
    </row>
    <row r="232">
      <c r="A232" s="11" t="inlineStr">
        <is>
          <t>Lapse of Statute of Limitations</t>
        </is>
      </c>
      <c r="B232" s="13" t="n">
        <v>-1778.773540856024</v>
      </c>
      <c r="C232" s="13" t="n">
        <v>-2668.428515624946</v>
      </c>
      <c r="D232" s="13" t="n">
        <v>-3350.910769230737</v>
      </c>
      <c r="E232" s="11" t="inlineStr">
        <is>
          <t>NA</t>
        </is>
      </c>
      <c r="F232" s="11" t="inlineStr">
        <is>
          <t>NA</t>
        </is>
      </c>
      <c r="G232" s="11" t="inlineStr">
        <is>
          <t>NA</t>
        </is>
      </c>
    </row>
    <row r="233">
      <c r="A233" s="11" t="inlineStr">
        <is>
          <t>Unrecog. Tax Benefits, End of the Period</t>
        </is>
      </c>
      <c r="B233" s="13" t="n">
        <v>751531.8210116702</v>
      </c>
      <c r="C233" s="13" t="n">
        <v>441180.1812499911</v>
      </c>
      <c r="D233" s="13" t="n">
        <v>449859.7707692264</v>
      </c>
      <c r="E233" s="13" t="n">
        <v>466637.4923076892</v>
      </c>
      <c r="F233" s="13" t="n">
        <v>475203.8223938362</v>
      </c>
      <c r="G233" s="13" t="n">
        <v>500435.9317829633</v>
      </c>
    </row>
    <row r="234">
      <c r="A234" s="11" t="inlineStr">
        <is>
          <t>Interest and Penalties Recog. on BS - Before Tax</t>
        </is>
      </c>
      <c r="B234" s="13" t="n">
        <v>44469.3385214006</v>
      </c>
      <c r="C234" s="13" t="n">
        <v>65821.23671874867</v>
      </c>
      <c r="D234" s="13" t="n">
        <v>73720.0369230762</v>
      </c>
      <c r="E234" s="13" t="n">
        <v>96513.37692307628</v>
      </c>
      <c r="F234" s="13" t="n">
        <v>126721.019305023</v>
      </c>
      <c r="G234" s="13" t="n">
        <v>166505.3375969051</v>
      </c>
    </row>
    <row r="235">
      <c r="A235" s="11" t="inlineStr">
        <is>
          <t>Unrecog. Tax Benefit Impacting Effective Tax Rate</t>
        </is>
      </c>
      <c r="B235" s="13" t="n">
        <v>674155.1719844332</v>
      </c>
      <c r="C235" s="13" t="n">
        <v>364685.2304687426</v>
      </c>
      <c r="D235" s="13" t="n">
        <v>370275.6399999964</v>
      </c>
      <c r="E235" s="13" t="n">
        <v>363564.9538461515</v>
      </c>
      <c r="F235" s="13" t="n">
        <v>359664.0694980799</v>
      </c>
      <c r="G235" s="13" t="n">
        <v>365207.8399224934</v>
      </c>
    </row>
    <row r="236">
      <c r="A236" s="11" t="inlineStr">
        <is>
          <t>Fair Value Measurements (€000)</t>
        </is>
      </c>
    </row>
    <row r="237">
      <c r="A237" s="11" t="inlineStr">
        <is>
          <t>Level 1 Assets - Quoted Prices</t>
        </is>
      </c>
      <c r="B237" s="13" t="n">
        <v>1844181</v>
      </c>
      <c r="C237" s="13" t="n">
        <v>4007731.2</v>
      </c>
      <c r="D237" s="13" t="n">
        <v>3473036.8</v>
      </c>
      <c r="E237" s="13" t="n">
        <v>1298358.7</v>
      </c>
      <c r="F237" s="13" t="n">
        <v>4144599</v>
      </c>
      <c r="G237" s="13" t="n">
        <v>6393156</v>
      </c>
    </row>
    <row r="238">
      <c r="A238" s="11" t="inlineStr">
        <is>
          <t>Level 2 Assets - Observable Prices</t>
        </is>
      </c>
      <c r="B238" s="13" t="n">
        <v>1887467.4</v>
      </c>
      <c r="C238" s="13" t="n">
        <v>1159065.6</v>
      </c>
      <c r="D238" s="13" t="n">
        <v>1356006.4</v>
      </c>
      <c r="E238" s="13" t="n">
        <v>1535703.9</v>
      </c>
      <c r="F238" s="13" t="n">
        <v>3006014.4</v>
      </c>
      <c r="G238" s="13" t="n">
        <v>3535224</v>
      </c>
    </row>
    <row r="239">
      <c r="A239" s="11" t="inlineStr">
        <is>
          <t>Fair Value of Assets</t>
        </is>
      </c>
      <c r="B239" s="13" t="n">
        <v>3731648.4</v>
      </c>
      <c r="C239" s="13" t="n">
        <v>5166796.8</v>
      </c>
      <c r="D239" s="13" t="n">
        <v>4829043.2</v>
      </c>
      <c r="E239" s="13" t="n">
        <v>2834062.6</v>
      </c>
      <c r="F239" s="13" t="n">
        <v>7150613.4</v>
      </c>
      <c r="G239" s="13" t="n">
        <v>9928380</v>
      </c>
    </row>
    <row r="240">
      <c r="A240" s="11" t="inlineStr">
        <is>
          <t>Level 2 Liabilities - Observable Prices</t>
        </is>
      </c>
      <c r="B240" s="13" t="n">
        <v>4959900</v>
      </c>
      <c r="C240" s="13" t="n">
        <v>5575680</v>
      </c>
      <c r="D240" s="13" t="n">
        <v>5534720</v>
      </c>
      <c r="E240" s="13" t="n">
        <v>4827360</v>
      </c>
      <c r="F240" s="13" t="n">
        <v>4437270</v>
      </c>
      <c r="G240" s="13" t="n">
        <v>4712400</v>
      </c>
    </row>
    <row r="241">
      <c r="A241" s="11" t="inlineStr">
        <is>
          <t>Fair Value of Liabilities</t>
        </is>
      </c>
      <c r="B241" s="13" t="n">
        <v>4959900</v>
      </c>
      <c r="C241" s="13" t="n">
        <v>5575680</v>
      </c>
      <c r="D241" s="13" t="n">
        <v>5534720</v>
      </c>
      <c r="E241" s="13" t="n">
        <v>4827360</v>
      </c>
      <c r="F241" s="13" t="n">
        <v>4437270</v>
      </c>
      <c r="G241" s="13" t="n">
        <v>4712400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A2" s="11" t="inlineStr">
        <is>
          <t>Lam Research Corporation | Income Statement</t>
        </is>
      </c>
    </row>
    <row r="3">
      <c r="A3" s="11" t="inlineStr">
        <is>
          <t>NASDAQGS:LRCX (MI KEY: 4069378; SPCIQ KEY: 30655)</t>
        </is>
      </c>
    </row>
    <row r="5">
      <c r="A5" s="11" t="inlineStr">
        <is>
          <t>Source: Recommended</t>
        </is>
      </c>
    </row>
    <row r="6">
      <c r="A6" s="11" t="inlineStr">
        <is>
          <t>Period Category: Fiscal</t>
        </is>
      </c>
    </row>
    <row r="7">
      <c r="A7" s="11" t="inlineStr">
        <is>
          <t>Period Type: Years</t>
        </is>
      </c>
    </row>
    <row r="8">
      <c r="A8" s="11" t="inlineStr">
        <is>
          <t>Reporting Basis: Current/Restated</t>
        </is>
      </c>
    </row>
    <row r="9">
      <c r="A9" s="11" t="inlineStr">
        <is>
          <t>Sort Order: Latest on Right</t>
        </is>
      </c>
    </row>
    <row r="10">
      <c r="A10" s="11" t="inlineStr">
        <is>
          <t>Currency: Euro (EUR)</t>
        </is>
      </c>
    </row>
    <row r="11">
      <c r="A11" s="11" t="inlineStr">
        <is>
          <t>Magnitude: Thousands (K)</t>
        </is>
      </c>
    </row>
    <row r="13">
      <c r="A13" s="11" t="inlineStr">
        <is>
          <t>Recommended: S&amp;P Capital IQ - Standard</t>
        </is>
      </c>
      <c r="B13" s="11" t="inlineStr">
        <is>
          <t>2019 FY</t>
        </is>
      </c>
      <c r="C13" s="11" t="inlineStr">
        <is>
          <t>2020 FY</t>
        </is>
      </c>
      <c r="D13" s="11" t="inlineStr">
        <is>
          <t>2021 FY</t>
        </is>
      </c>
      <c r="E13" s="11" t="inlineStr">
        <is>
          <t>2022 FY</t>
        </is>
      </c>
      <c r="F13" s="11" t="inlineStr">
        <is>
          <t>2023 FY</t>
        </is>
      </c>
      <c r="G13" s="11" t="inlineStr">
        <is>
          <t>2024 FY</t>
        </is>
      </c>
    </row>
    <row r="14">
      <c r="A14" s="11" t="inlineStr">
        <is>
          <t xml:space="preserve"> </t>
        </is>
      </c>
      <c r="B14" s="11" t="inlineStr">
        <is>
          <t>Current/Restated</t>
        </is>
      </c>
      <c r="C14" s="11" t="inlineStr">
        <is>
          <t>Current/Restated</t>
        </is>
      </c>
      <c r="D14" s="11" t="inlineStr">
        <is>
          <t>Current/Restated</t>
        </is>
      </c>
      <c r="E14" s="11" t="inlineStr">
        <is>
          <t>Current/Restated</t>
        </is>
      </c>
      <c r="F14" s="11" t="inlineStr">
        <is>
          <t>Current/Restated</t>
        </is>
      </c>
      <c r="G14" s="11" t="inlineStr">
        <is>
          <t>Current/Restated</t>
        </is>
      </c>
    </row>
    <row r="15">
      <c r="A15" s="11" t="inlineStr">
        <is>
          <t>Period Ended</t>
        </is>
      </c>
      <c r="B15" s="12" t="n">
        <v>43646</v>
      </c>
      <c r="C15" s="12" t="n">
        <v>44010</v>
      </c>
      <c r="D15" s="12" t="n">
        <v>44374</v>
      </c>
      <c r="E15" s="12" t="n">
        <v>44738</v>
      </c>
      <c r="F15" s="12" t="n">
        <v>45102</v>
      </c>
      <c r="G15" s="12" t="n">
        <v>45473</v>
      </c>
    </row>
    <row r="16">
      <c r="A16" s="11" t="inlineStr">
        <is>
          <t>Financial Filing Date</t>
        </is>
      </c>
      <c r="B16" s="12" t="n">
        <v>44425</v>
      </c>
      <c r="C16" s="12" t="n">
        <v>44797</v>
      </c>
      <c r="D16" s="12" t="n">
        <v>45153</v>
      </c>
      <c r="E16" s="12" t="n">
        <v>45533</v>
      </c>
      <c r="F16" s="12" t="n">
        <v>45880</v>
      </c>
      <c r="G16" s="12" t="n">
        <v>45880</v>
      </c>
    </row>
    <row r="17">
      <c r="A17" s="11" t="inlineStr">
        <is>
          <t>Spot Exchange Rate</t>
        </is>
      </c>
      <c r="B17" s="13" t="n">
        <v>0.8788</v>
      </c>
      <c r="C17" s="13" t="n">
        <v>0.8921</v>
      </c>
      <c r="D17" s="13" t="n">
        <v>0.8373</v>
      </c>
      <c r="E17" s="13" t="n">
        <v>0.948</v>
      </c>
      <c r="F17" s="13" t="n">
        <v>0.9189000000000001</v>
      </c>
      <c r="G17" s="13" t="n">
        <v>0.9333</v>
      </c>
    </row>
    <row r="18">
      <c r="A18" s="11" t="inlineStr">
        <is>
          <t>Average Exchange Rate</t>
        </is>
      </c>
      <c r="B18" s="13" t="n">
        <v>0.8766496153845974</v>
      </c>
      <c r="C18" s="13" t="n">
        <v>0.9045853846153687</v>
      </c>
      <c r="D18" s="13" t="n">
        <v>0.8385271317829039</v>
      </c>
      <c r="E18" s="13" t="n">
        <v>0.8873112840467376</v>
      </c>
      <c r="F18" s="13" t="n">
        <v>0.9568542968750151</v>
      </c>
      <c r="G18" s="13" t="n">
        <v>0.9246680769230736</v>
      </c>
    </row>
    <row r="19">
      <c r="A19" s="11" t="inlineStr">
        <is>
          <t xml:space="preserve"> </t>
        </is>
      </c>
    </row>
    <row r="20">
      <c r="A20" s="11" t="inlineStr">
        <is>
          <t>(€000)</t>
        </is>
      </c>
    </row>
    <row r="21">
      <c r="A21" s="11" t="inlineStr">
        <is>
          <t>Revenue</t>
        </is>
      </c>
      <c r="B21" s="13" t="n">
        <v>8462788.784442518</v>
      </c>
      <c r="C21" s="13" t="n">
        <v>9086321.37791984</v>
      </c>
      <c r="D21" s="13" t="n">
        <v>12264423.60852652</v>
      </c>
      <c r="E21" s="13" t="n">
        <v>15285746.09541323</v>
      </c>
      <c r="F21" s="13" t="n">
        <v>16676550.42275495</v>
      </c>
      <c r="G21" s="13" t="n">
        <v>13782534.6084161</v>
      </c>
    </row>
    <row r="22">
      <c r="A22" s="11" t="inlineStr">
        <is>
          <t xml:space="preserve">        Total Revenue</t>
        </is>
      </c>
      <c r="B22" s="13" t="n">
        <v>8462788.784442518</v>
      </c>
      <c r="C22" s="13" t="n">
        <v>9086321.37791984</v>
      </c>
      <c r="D22" s="13" t="n">
        <v>12264423.60852652</v>
      </c>
      <c r="E22" s="13" t="n">
        <v>15285746.09541323</v>
      </c>
      <c r="F22" s="13" t="n">
        <v>16676550.42275495</v>
      </c>
      <c r="G22" s="13" t="n">
        <v>13782534.6084161</v>
      </c>
    </row>
    <row r="23">
      <c r="A23" s="11" t="inlineStr">
        <is>
          <t>Cost Of Goods Sold</t>
        </is>
      </c>
      <c r="B23" s="13" t="n">
        <v>4641947.378422982</v>
      </c>
      <c r="C23" s="13" t="n">
        <v>4917365.047940683</v>
      </c>
      <c r="D23" s="13" t="n">
        <v>6557989.887441534</v>
      </c>
      <c r="E23" s="13" t="n">
        <v>8301002.91847513</v>
      </c>
      <c r="F23" s="13" t="n">
        <v>9160372.847060692</v>
      </c>
      <c r="G23" s="13" t="n">
        <v>7220936.439669205</v>
      </c>
    </row>
    <row r="24">
      <c r="A24" s="11" t="inlineStr">
        <is>
          <t xml:space="preserve">        Gross Profit</t>
        </is>
      </c>
      <c r="B24" s="13" t="n">
        <v>3820841.406019537</v>
      </c>
      <c r="C24" s="13" t="n">
        <v>4168956.329979158</v>
      </c>
      <c r="D24" s="13" t="n">
        <v>5706433.721084987</v>
      </c>
      <c r="E24" s="13" t="n">
        <v>6984743.176938098</v>
      </c>
      <c r="F24" s="13" t="n">
        <v>7516177.575694259</v>
      </c>
      <c r="G24" s="13" t="n">
        <v>6561598.1687469</v>
      </c>
    </row>
    <row r="25">
      <c r="A25" s="11" t="inlineStr">
        <is>
          <t xml:space="preserve"> </t>
        </is>
      </c>
    </row>
    <row r="26">
      <c r="A26" s="11" t="inlineStr">
        <is>
          <t>Selling General &amp; Admin Exp.</t>
        </is>
      </c>
      <c r="B26" s="13" t="n">
        <v>615764.8263934489</v>
      </c>
      <c r="C26" s="13" t="n">
        <v>617360.5287069123</v>
      </c>
      <c r="D26" s="13" t="n">
        <v>695872.7034883375</v>
      </c>
      <c r="E26" s="13" t="n">
        <v>785924.4347977053</v>
      </c>
      <c r="F26" s="13" t="n">
        <v>796823.2862855594</v>
      </c>
      <c r="G26" s="13" t="n">
        <v>802840.2837842279</v>
      </c>
    </row>
    <row r="27">
      <c r="A27" s="11" t="inlineStr">
        <is>
          <t>R &amp; D Exp.</t>
        </is>
      </c>
      <c r="B27" s="13" t="n">
        <v>1044370.219799979</v>
      </c>
      <c r="C27" s="13" t="n">
        <v>1132913.590716903</v>
      </c>
      <c r="D27" s="13" t="n">
        <v>1252263.126821643</v>
      </c>
      <c r="E27" s="13" t="n">
        <v>1423467.352809411</v>
      </c>
      <c r="F27" s="13" t="n">
        <v>1652642.381099245</v>
      </c>
      <c r="G27" s="13" t="n">
        <v>1759129.23493384</v>
      </c>
    </row>
    <row r="28">
      <c r="A28" s="11" t="inlineStr">
        <is>
          <t xml:space="preserve">        Other Operating Exp., Total</t>
        </is>
      </c>
      <c r="B28" s="13" t="n">
        <v>1660135.046193427</v>
      </c>
      <c r="C28" s="13" t="n">
        <v>1750274.119423816</v>
      </c>
      <c r="D28" s="13" t="n">
        <v>1948135.83030998</v>
      </c>
      <c r="E28" s="13" t="n">
        <v>2209391.787607116</v>
      </c>
      <c r="F28" s="13" t="n">
        <v>2449465.667384804</v>
      </c>
      <c r="G28" s="13" t="n">
        <v>2561969.518718068</v>
      </c>
    </row>
    <row r="29">
      <c r="A29" s="11" t="inlineStr">
        <is>
          <t xml:space="preserve">        Operating Income</t>
        </is>
      </c>
      <c r="B29" s="13" t="n">
        <v>2160706.359826109</v>
      </c>
      <c r="C29" s="13" t="n">
        <v>2418682.210555342</v>
      </c>
      <c r="D29" s="13" t="n">
        <v>3758297.890775006</v>
      </c>
      <c r="E29" s="13" t="n">
        <v>4775351.389330981</v>
      </c>
      <c r="F29" s="13" t="n">
        <v>5066711.908309455</v>
      </c>
      <c r="G29" s="13" t="n">
        <v>3999628.650028832</v>
      </c>
    </row>
    <row r="30">
      <c r="A30" s="11" t="inlineStr">
        <is>
          <t xml:space="preserve"> </t>
        </is>
      </c>
    </row>
    <row r="31">
      <c r="A31" s="11" t="inlineStr">
        <is>
          <t>Interest Expense</t>
        </is>
      </c>
      <c r="B31" s="13" t="n">
        <v>-102798.563848844</v>
      </c>
      <c r="C31" s="13" t="n">
        <v>-160509.630646151</v>
      </c>
      <c r="D31" s="13" t="n">
        <v>-174914.2441085184</v>
      </c>
      <c r="E31" s="13" t="n">
        <v>-163938.7455291912</v>
      </c>
      <c r="F31" s="13" t="n">
        <v>-178416.9659039091</v>
      </c>
      <c r="G31" s="13" t="n">
        <v>-171281.8158969225</v>
      </c>
    </row>
    <row r="32">
      <c r="A32" s="11" t="inlineStr">
        <is>
          <t>Interest and Invest. Income</t>
        </is>
      </c>
      <c r="B32" s="13" t="n">
        <v>86587.55916115206</v>
      </c>
      <c r="C32" s="13" t="n">
        <v>77281.4431638448</v>
      </c>
      <c r="D32" s="13" t="n">
        <v>16508.08364341003</v>
      </c>
      <c r="E32" s="13" t="n">
        <v>13495.11731906683</v>
      </c>
      <c r="F32" s="13" t="n">
        <v>132987.4375968771</v>
      </c>
      <c r="G32" s="13" t="n">
        <v>232959.0259638453</v>
      </c>
    </row>
    <row r="33">
      <c r="A33" s="11" t="inlineStr">
        <is>
          <t xml:space="preserve">        Net Interest Exp.</t>
        </is>
      </c>
      <c r="B33" s="13" t="n">
        <v>-16211.00468769198</v>
      </c>
      <c r="C33" s="13" t="n">
        <v>-83228.18748230624</v>
      </c>
      <c r="D33" s="13" t="n">
        <v>-158406.1604651084</v>
      </c>
      <c r="E33" s="13" t="n">
        <v>-150443.6282101244</v>
      </c>
      <c r="F33" s="13" t="n">
        <v>-45429.52830703196</v>
      </c>
      <c r="G33" s="13" t="n">
        <v>61677.21006692286</v>
      </c>
    </row>
    <row r="34">
      <c r="A34" s="11" t="inlineStr">
        <is>
          <t>Currency Exchange Gains</t>
        </is>
      </c>
      <c r="B34" s="13" t="n">
        <v>724.1125823076775</v>
      </c>
      <c r="C34" s="13" t="n">
        <v>-3000.509720769178</v>
      </c>
      <c r="D34" s="13" t="n">
        <v>-5837.825891472577</v>
      </c>
      <c r="E34" s="13" t="n">
        <v>-641.5260583657913</v>
      </c>
      <c r="F34" s="13" t="n">
        <v>-6772.614713281357</v>
      </c>
      <c r="G34" s="13" t="n">
        <v>-4472.619488076907</v>
      </c>
    </row>
    <row r="35">
      <c r="A35" s="11" t="inlineStr">
        <is>
          <t>Other Non-Operating Inc.</t>
        </is>
      </c>
      <c r="B35" s="13" t="n">
        <v>-433.9415596153757</v>
      </c>
      <c r="C35" s="13" t="n">
        <v>-3166.048846153791</v>
      </c>
      <c r="D35" s="13" t="n">
        <v>70983.83728681816</v>
      </c>
      <c r="E35" s="13" t="n">
        <v>-16357.58352140161</v>
      </c>
      <c r="F35" s="13" t="n">
        <v>-10615.34156953142</v>
      </c>
      <c r="G35" s="13" t="n">
        <v>31849.26724153835</v>
      </c>
    </row>
    <row r="36">
      <c r="A36" s="11" t="inlineStr">
        <is>
          <t xml:space="preserve">        EBT Excl Unusual Items</t>
        </is>
      </c>
      <c r="B36" s="13" t="n">
        <v>2144785.52616111</v>
      </c>
      <c r="C36" s="13" t="n">
        <v>2329287.464506113</v>
      </c>
      <c r="D36" s="13" t="n">
        <v>3665037.741705243</v>
      </c>
      <c r="E36" s="13" t="n">
        <v>4607908.65154109</v>
      </c>
      <c r="F36" s="13" t="n">
        <v>5003894.42371961</v>
      </c>
      <c r="G36" s="13" t="n">
        <v>4088682.507849216</v>
      </c>
    </row>
    <row r="37">
      <c r="A37" s="11" t="inlineStr">
        <is>
          <t>Restructuring Charges</t>
        </is>
      </c>
      <c r="B37" s="11" t="inlineStr">
        <is>
          <t>NA</t>
        </is>
      </c>
      <c r="C37" s="11" t="inlineStr">
        <is>
          <t>NA</t>
        </is>
      </c>
      <c r="D37" s="11" t="inlineStr">
        <is>
          <t>NA</t>
        </is>
      </c>
      <c r="E37" s="11" t="inlineStr">
        <is>
          <t>NA</t>
        </is>
      </c>
      <c r="F37" s="13" t="n">
        <v>-115124.8815828143</v>
      </c>
      <c r="G37" s="13" t="n">
        <v>-56924.41615153826</v>
      </c>
    </row>
    <row r="38">
      <c r="A38" s="11" t="inlineStr">
        <is>
          <t xml:space="preserve">        EBT Incl. Unusual Items</t>
        </is>
      </c>
      <c r="B38" s="13" t="n">
        <v>2144785.52616111</v>
      </c>
      <c r="C38" s="13" t="n">
        <v>2329287.464506113</v>
      </c>
      <c r="D38" s="13" t="n">
        <v>3665037.741705243</v>
      </c>
      <c r="E38" s="13" t="n">
        <v>4607908.65154109</v>
      </c>
      <c r="F38" s="13" t="n">
        <v>4888769.542136796</v>
      </c>
      <c r="G38" s="13" t="n">
        <v>4031758.091697678</v>
      </c>
    </row>
    <row r="39">
      <c r="A39" s="11" t="inlineStr">
        <is>
          <t xml:space="preserve"> </t>
        </is>
      </c>
    </row>
    <row r="40">
      <c r="A40" s="11" t="inlineStr">
        <is>
          <t>Income Tax Expense</t>
        </is>
      </c>
      <c r="B40" s="13" t="n">
        <v>223669.2595188416</v>
      </c>
      <c r="C40" s="13" t="n">
        <v>292384.6109423026</v>
      </c>
      <c r="D40" s="13" t="n">
        <v>387689.6652712985</v>
      </c>
      <c r="E40" s="13" t="n">
        <v>521586.4174786257</v>
      </c>
      <c r="F40" s="13" t="n">
        <v>572465.8318800871</v>
      </c>
      <c r="G40" s="13" t="n">
        <v>492339.5175576906</v>
      </c>
    </row>
    <row r="41">
      <c r="A41" s="11" t="inlineStr">
        <is>
          <t xml:space="preserve">        Earnings from Cont. Ops.</t>
        </is>
      </c>
      <c r="B41" s="13" t="n">
        <v>1921116.266642268</v>
      </c>
      <c r="C41" s="13" t="n">
        <v>2036902.85356381</v>
      </c>
      <c r="D41" s="13" t="n">
        <v>3277348.076433945</v>
      </c>
      <c r="E41" s="13" t="n">
        <v>4086322.234062464</v>
      </c>
      <c r="F41" s="13" t="n">
        <v>4316303.710256709</v>
      </c>
      <c r="G41" s="13" t="n">
        <v>3539418.574139988</v>
      </c>
    </row>
    <row r="42">
      <c r="A42" s="11" t="inlineStr">
        <is>
          <t xml:space="preserve">        Net Income to Company</t>
        </is>
      </c>
      <c r="B42" s="13" t="n">
        <v>1921116.266642268</v>
      </c>
      <c r="C42" s="13" t="n">
        <v>2036902.85356381</v>
      </c>
      <c r="D42" s="13" t="n">
        <v>3277348.076433945</v>
      </c>
      <c r="E42" s="13" t="n">
        <v>4086322.234062464</v>
      </c>
      <c r="F42" s="13" t="n">
        <v>4316303.710256709</v>
      </c>
      <c r="G42" s="13" t="n">
        <v>3539418.574139988</v>
      </c>
    </row>
    <row r="43">
      <c r="A43" s="11" t="inlineStr">
        <is>
          <t xml:space="preserve">        Net Income</t>
        </is>
      </c>
      <c r="B43" s="13" t="n">
        <v>1921116.266642268</v>
      </c>
      <c r="C43" s="13" t="n">
        <v>2036902.85356381</v>
      </c>
      <c r="D43" s="13" t="n">
        <v>3277348.076433945</v>
      </c>
      <c r="E43" s="13" t="n">
        <v>4086322.234062464</v>
      </c>
      <c r="F43" s="13" t="n">
        <v>4316303.710256709</v>
      </c>
      <c r="G43" s="13" t="n">
        <v>3539418.574139988</v>
      </c>
    </row>
    <row r="44">
      <c r="A44" s="11" t="inlineStr">
        <is>
          <t xml:space="preserve">        NI to Common Incl Extra Items</t>
        </is>
      </c>
      <c r="B44" s="13" t="n">
        <v>1921116.266642268</v>
      </c>
      <c r="C44" s="13" t="n">
        <v>2036902.85356381</v>
      </c>
      <c r="D44" s="13" t="n">
        <v>3277348.076433945</v>
      </c>
      <c r="E44" s="13" t="n">
        <v>4086322.234062464</v>
      </c>
      <c r="F44" s="13" t="n">
        <v>4316303.710256709</v>
      </c>
      <c r="G44" s="13" t="n">
        <v>3539418.574139988</v>
      </c>
    </row>
    <row r="45">
      <c r="A45" s="11" t="inlineStr">
        <is>
          <t xml:space="preserve">        NI to Common Excl. Extra Items</t>
        </is>
      </c>
      <c r="B45" s="13" t="n">
        <v>1921116.266642268</v>
      </c>
      <c r="C45" s="13" t="n">
        <v>2036902.85356381</v>
      </c>
      <c r="D45" s="13" t="n">
        <v>3277348.076433945</v>
      </c>
      <c r="E45" s="13" t="n">
        <v>4086322.234062464</v>
      </c>
      <c r="F45" s="13" t="n">
        <v>4316303.710256709</v>
      </c>
      <c r="G45" s="13" t="n">
        <v>3539418.574139988</v>
      </c>
    </row>
    <row r="46">
      <c r="A46" s="11" t="inlineStr">
        <is>
          <t>Per Share Items (€)</t>
        </is>
      </c>
    </row>
    <row r="47">
      <c r="A47" s="11" t="inlineStr">
        <is>
          <t>Basic EPS</t>
        </is>
      </c>
      <c r="B47" s="13" t="n">
        <v>1.259745497307666</v>
      </c>
      <c r="C47" s="13" t="n">
        <v>1.406630273076898</v>
      </c>
      <c r="D47" s="13" t="n">
        <v>2.282470852713065</v>
      </c>
      <c r="E47" s="13" t="n">
        <v>2.92102874708186</v>
      </c>
      <c r="F47" s="13" t="n">
        <v>3.1863248085938</v>
      </c>
      <c r="G47" s="13" t="n">
        <v>2.693558108076913</v>
      </c>
    </row>
    <row r="48">
      <c r="A48" s="11" t="inlineStr">
        <is>
          <t>Basic EPS Excl. Extra Items</t>
        </is>
      </c>
      <c r="B48" s="13" t="n">
        <v>1.259745497307666</v>
      </c>
      <c r="C48" s="13" t="n">
        <v>1.406630273076898</v>
      </c>
      <c r="D48" s="13" t="n">
        <v>2.282470852713065</v>
      </c>
      <c r="E48" s="13" t="n">
        <v>2.92102874708186</v>
      </c>
      <c r="F48" s="13" t="n">
        <v>3.1863248085938</v>
      </c>
      <c r="G48" s="13" t="n">
        <v>2.693558108076913</v>
      </c>
    </row>
    <row r="49">
      <c r="A49" s="11" t="inlineStr">
        <is>
          <t>Weighted Avg. Basic Shares Out. (actual)</t>
        </is>
      </c>
      <c r="B49" s="13" t="n">
        <v>1524780000</v>
      </c>
      <c r="C49" s="13" t="n">
        <v>1448140000</v>
      </c>
      <c r="D49" s="13" t="n">
        <v>1436090000</v>
      </c>
      <c r="E49" s="13" t="n">
        <v>1398990000</v>
      </c>
      <c r="F49" s="13" t="n">
        <v>1354715000</v>
      </c>
      <c r="G49" s="13" t="n">
        <v>1314102000</v>
      </c>
    </row>
    <row r="50">
      <c r="A50" s="11" t="inlineStr">
        <is>
          <t>Diluted EPS Incl. Extra Items</t>
        </is>
      </c>
      <c r="B50" s="13" t="n">
        <v>1.201009973076899</v>
      </c>
      <c r="C50" s="13" t="n">
        <v>1.365923930769207</v>
      </c>
      <c r="D50" s="13" t="n">
        <v>2.255637984496011</v>
      </c>
      <c r="E50" s="13" t="n">
        <v>2.905944455253066</v>
      </c>
      <c r="F50" s="13" t="n">
        <v>3.17675626562505</v>
      </c>
      <c r="G50" s="13" t="n">
        <v>2.681537423076914</v>
      </c>
    </row>
    <row r="51">
      <c r="A51" s="11" t="inlineStr">
        <is>
          <t>Diluted EPS Excl. Extra Items</t>
        </is>
      </c>
      <c r="B51" s="13" t="n">
        <v>1.201009973076899</v>
      </c>
      <c r="C51" s="13" t="n">
        <v>1.365923930769207</v>
      </c>
      <c r="D51" s="13" t="n">
        <v>2.255637984496011</v>
      </c>
      <c r="E51" s="13" t="n">
        <v>2.905944455253066</v>
      </c>
      <c r="F51" s="13" t="n">
        <v>3.17675626562505</v>
      </c>
      <c r="G51" s="13" t="n">
        <v>2.681537423076914</v>
      </c>
    </row>
    <row r="52">
      <c r="A52" s="11" t="inlineStr">
        <is>
          <t>Weighted Avg. Diluted Shares Out. (actual)</t>
        </is>
      </c>
      <c r="B52" s="13" t="n">
        <v>1599150000</v>
      </c>
      <c r="C52" s="13" t="n">
        <v>1490900000</v>
      </c>
      <c r="D52" s="13" t="n">
        <v>1453200000</v>
      </c>
      <c r="E52" s="13" t="n">
        <v>1406280000</v>
      </c>
      <c r="F52" s="13" t="n">
        <v>1358336000</v>
      </c>
      <c r="G52" s="13" t="n">
        <v>1319949000</v>
      </c>
    </row>
    <row r="53">
      <c r="A53" s="11" t="inlineStr">
        <is>
          <t>Normalized Basic EPS</t>
        </is>
      </c>
      <c r="B53" s="13" t="n">
        <v>0.8792795642307512</v>
      </c>
      <c r="C53" s="13" t="n">
        <v>1.004994362307675</v>
      </c>
      <c r="D53" s="13" t="n">
        <v>1.594878604651083</v>
      </c>
      <c r="E53" s="13" t="n">
        <v>2.058562178988431</v>
      </c>
      <c r="F53" s="13" t="n">
        <v>2.308889418359411</v>
      </c>
      <c r="G53" s="13" t="n">
        <v>1.944576965769224</v>
      </c>
    </row>
    <row r="54">
      <c r="A54" s="11" t="inlineStr">
        <is>
          <t>Normalized Diluted EPS</t>
        </is>
      </c>
      <c r="B54" s="13" t="n">
        <v>0.8380770323076751</v>
      </c>
      <c r="C54" s="13" t="n">
        <v>0.9760476299999828</v>
      </c>
      <c r="D54" s="13" t="n">
        <v>1.576431007751859</v>
      </c>
      <c r="E54" s="13" t="n">
        <v>2.04791444357987</v>
      </c>
      <c r="F54" s="13" t="n">
        <v>2.302191438281286</v>
      </c>
      <c r="G54" s="13" t="n">
        <v>1.936254953076916</v>
      </c>
    </row>
    <row r="55">
      <c r="A55" s="11" t="inlineStr">
        <is>
          <t>Dividends per Share</t>
        </is>
      </c>
      <c r="B55" s="13" t="n">
        <v>0.3857258307692228</v>
      </c>
      <c r="C55" s="13" t="n">
        <v>0.4161092769230696</v>
      </c>
      <c r="D55" s="13" t="n">
        <v>0.4360341085271101</v>
      </c>
      <c r="E55" s="13" t="n">
        <v>0.5323867704280426</v>
      </c>
      <c r="F55" s="13" t="n">
        <v>0.6602294648437603</v>
      </c>
      <c r="G55" s="13" t="n">
        <v>0.7397344615384589</v>
      </c>
    </row>
    <row r="56">
      <c r="A56" s="11" t="inlineStr">
        <is>
          <t>Payout Ratio (%)</t>
        </is>
      </c>
      <c r="B56" s="13" t="n">
        <v>30.955</v>
      </c>
      <c r="C56" s="13" t="n">
        <v>29.17</v>
      </c>
      <c r="D56" s="13" t="n">
        <v>18.6</v>
      </c>
      <c r="E56" s="13" t="n">
        <v>17.703</v>
      </c>
      <c r="F56" s="13" t="n">
        <v>20.127</v>
      </c>
      <c r="G56" s="13" t="n">
        <v>26.619</v>
      </c>
    </row>
    <row r="57">
      <c r="A57" s="11" t="inlineStr">
        <is>
          <t>Shares per Depositary Receipt (actual)</t>
        </is>
      </c>
      <c r="B57" s="13" t="n">
        <v>0.25</v>
      </c>
      <c r="C57" s="13" t="n">
        <v>0.25</v>
      </c>
      <c r="D57" s="13" t="n">
        <v>0.25</v>
      </c>
      <c r="E57" s="13" t="n">
        <v>0.25</v>
      </c>
      <c r="F57" s="13" t="n">
        <v>0.25</v>
      </c>
      <c r="G57" s="13" t="n">
        <v>0.25</v>
      </c>
    </row>
    <row r="58">
      <c r="A58" s="11" t="inlineStr">
        <is>
          <t>Supplemental Items (€000)</t>
        </is>
      </c>
    </row>
    <row r="59">
      <c r="A59" s="11" t="inlineStr">
        <is>
          <t>EBITDA</t>
        </is>
      </c>
      <c r="B59" s="13" t="n">
        <v>2431837.429521873</v>
      </c>
      <c r="C59" s="13" t="n">
        <v>2661586.000959184</v>
      </c>
      <c r="D59" s="13" t="n">
        <v>4015852.337829257</v>
      </c>
      <c r="E59" s="13" t="n">
        <v>5071481.769957456</v>
      </c>
      <c r="F59" s="13" t="n">
        <v>5394369.438896961</v>
      </c>
      <c r="G59" s="13" t="n">
        <v>4332230.832629984</v>
      </c>
    </row>
    <row r="60">
      <c r="A60" s="11" t="inlineStr">
        <is>
          <t>EBITA</t>
        </is>
      </c>
      <c r="B60" s="13" t="n">
        <v>2272303.855864569</v>
      </c>
      <c r="C60" s="13" t="n">
        <v>2478565.76301688</v>
      </c>
      <c r="D60" s="13" t="n">
        <v>3817497.906278879</v>
      </c>
      <c r="E60" s="13" t="n">
        <v>4844561.669486627</v>
      </c>
      <c r="F60" s="13" t="n">
        <v>5066711.908309455</v>
      </c>
      <c r="G60" s="13" t="n">
        <v>3999628.650028832</v>
      </c>
    </row>
    <row r="61">
      <c r="A61" s="11" t="inlineStr">
        <is>
          <t>EBIT</t>
        </is>
      </c>
      <c r="B61" s="13" t="n">
        <v>2160706.359826109</v>
      </c>
      <c r="C61" s="13" t="n">
        <v>2418682.210555342</v>
      </c>
      <c r="D61" s="13" t="n">
        <v>3758297.890775006</v>
      </c>
      <c r="E61" s="13" t="n">
        <v>4775351.389330981</v>
      </c>
      <c r="F61" s="13" t="n">
        <v>5066711.908309455</v>
      </c>
      <c r="G61" s="13" t="n">
        <v>3999628.650028832</v>
      </c>
    </row>
    <row r="62">
      <c r="A62" s="11" t="inlineStr">
        <is>
          <t>EBITDAR</t>
        </is>
      </c>
      <c r="B62" s="13" t="n">
        <v>2456471.28371418</v>
      </c>
      <c r="C62" s="13" t="n">
        <v>2786375.363937643</v>
      </c>
      <c r="D62" s="13" t="n">
        <v>4242723.400077308</v>
      </c>
      <c r="E62" s="13" t="n">
        <v>5362778.078708444</v>
      </c>
      <c r="F62" s="13" t="n">
        <v>5612245.162295401</v>
      </c>
      <c r="G62" s="13" t="n">
        <v>4495527.215014599</v>
      </c>
    </row>
    <row r="63">
      <c r="A63" s="11" t="inlineStr">
        <is>
          <t>Effective Tax Rate (%)</t>
        </is>
      </c>
      <c r="B63" s="13" t="n">
        <v>10.429</v>
      </c>
      <c r="C63" s="13" t="n">
        <v>12.553</v>
      </c>
      <c r="D63" s="13" t="n">
        <v>10.578</v>
      </c>
      <c r="E63" s="13" t="n">
        <v>11.319</v>
      </c>
      <c r="F63" s="13" t="n">
        <v>11.71</v>
      </c>
      <c r="G63" s="13" t="n">
        <v>12.212</v>
      </c>
    </row>
    <row r="64">
      <c r="A64" s="11" t="inlineStr">
        <is>
          <t>Current Domestic Taxes</t>
        </is>
      </c>
      <c r="B64" s="13" t="n">
        <v>131356.3017196127</v>
      </c>
      <c r="C64" s="13" t="n">
        <v>200127.7567361503</v>
      </c>
      <c r="D64" s="13" t="n">
        <v>378247.0112402912</v>
      </c>
      <c r="E64" s="13" t="n">
        <v>568857.9261362157</v>
      </c>
      <c r="F64" s="13" t="n">
        <v>548754.0255492274</v>
      </c>
      <c r="G64" s="13" t="n">
        <v>542028.4060073057</v>
      </c>
    </row>
    <row r="65">
      <c r="A65" s="11" t="inlineStr">
        <is>
          <t>Current Foreign Taxes</t>
        </is>
      </c>
      <c r="B65" s="13" t="n">
        <v>96679.54953345956</v>
      </c>
      <c r="C65" s="13" t="n">
        <v>108338.5731738443</v>
      </c>
      <c r="D65" s="13" t="n">
        <v>136460.2283720862</v>
      </c>
      <c r="E65" s="13" t="n">
        <v>181156.1336848341</v>
      </c>
      <c r="F65" s="13" t="n">
        <v>188349.1135054717</v>
      </c>
      <c r="G65" s="13" t="n">
        <v>132777.7125057688</v>
      </c>
    </row>
    <row r="66">
      <c r="A66" s="11" t="inlineStr">
        <is>
          <t>Total Current Taxes</t>
        </is>
      </c>
      <c r="B66" s="13" t="n">
        <v>228035.8512530722</v>
      </c>
      <c r="C66" s="13" t="n">
        <v>308466.3299099946</v>
      </c>
      <c r="D66" s="13" t="n">
        <v>514707.2396123774</v>
      </c>
      <c r="E66" s="13" t="n">
        <v>750014.0598210498</v>
      </c>
      <c r="F66" s="13" t="n">
        <v>737103.1390546991</v>
      </c>
      <c r="G66" s="13" t="n">
        <v>674806.1185130745</v>
      </c>
    </row>
    <row r="67">
      <c r="A67" s="11" t="inlineStr">
        <is>
          <t>Deferred Domestic Taxes</t>
        </is>
      </c>
      <c r="B67" s="13" t="n">
        <v>-5065.281477692204</v>
      </c>
      <c r="C67" s="13" t="n">
        <v>-10795.32197999981</v>
      </c>
      <c r="D67" s="13" t="n">
        <v>-123980.4290697613</v>
      </c>
      <c r="E67" s="13" t="n">
        <v>-218270.590073941</v>
      </c>
      <c r="F67" s="13" t="n">
        <v>-132994.1355769552</v>
      </c>
      <c r="G67" s="13" t="n">
        <v>-186187.4652969224</v>
      </c>
    </row>
    <row r="68">
      <c r="A68" s="11" t="inlineStr">
        <is>
          <t>Deferred Foreign Taxes</t>
        </is>
      </c>
      <c r="B68" s="13" t="n">
        <v>698.6897434615241</v>
      </c>
      <c r="C68" s="13" t="n">
        <v>-5286.396987692215</v>
      </c>
      <c r="D68" s="13" t="n">
        <v>-3037.145271317678</v>
      </c>
      <c r="E68" s="13" t="n">
        <v>-10157.05226848301</v>
      </c>
      <c r="F68" s="13" t="n">
        <v>-31643.17159765675</v>
      </c>
      <c r="G68" s="13" t="n">
        <v>3720.864341538448</v>
      </c>
    </row>
    <row r="69">
      <c r="A69" s="11" t="inlineStr">
        <is>
          <t>Total Deferred Taxes</t>
        </is>
      </c>
      <c r="B69" s="13" t="n">
        <v>-4366.591734230679</v>
      </c>
      <c r="C69" s="13" t="n">
        <v>-16081.71896769203</v>
      </c>
      <c r="D69" s="13" t="n">
        <v>-127017.5743410789</v>
      </c>
      <c r="E69" s="13" t="n">
        <v>-228427.642342424</v>
      </c>
      <c r="F69" s="13" t="n">
        <v>-164637.307174612</v>
      </c>
      <c r="G69" s="13" t="n">
        <v>-182466.600955384</v>
      </c>
    </row>
    <row r="70">
      <c r="A70" s="11" t="inlineStr">
        <is>
          <t>Normalized Net Income</t>
        </is>
      </c>
      <c r="B70" s="13" t="n">
        <v>1340490.953850694</v>
      </c>
      <c r="C70" s="13" t="n">
        <v>1455804.665316321</v>
      </c>
      <c r="D70" s="13" t="n">
        <v>2290648.588565778</v>
      </c>
      <c r="E70" s="13" t="n">
        <v>2879942.907213181</v>
      </c>
      <c r="F70" s="13" t="n">
        <v>3127434.014824756</v>
      </c>
      <c r="G70" s="13" t="n">
        <v>2555426.56740576</v>
      </c>
    </row>
    <row r="71">
      <c r="A71" s="11" t="inlineStr">
        <is>
          <t>Interest on Long-term Debt</t>
        </is>
      </c>
      <c r="B71" s="13" t="n">
        <v>92990.60795192116</v>
      </c>
      <c r="C71" s="13" t="n">
        <v>159117.473739228</v>
      </c>
      <c r="D71" s="13" t="n">
        <v>170755.1495348752</v>
      </c>
      <c r="E71" s="13" t="n">
        <v>159630.8492451443</v>
      </c>
      <c r="F71" s="13" t="n">
        <v>171627.127813284</v>
      </c>
      <c r="G71" s="13" t="n">
        <v>166338.5403576917</v>
      </c>
    </row>
    <row r="72">
      <c r="A72" s="11" t="inlineStr">
        <is>
          <t>Supplemental Operating Expense Items (€000)</t>
        </is>
      </c>
    </row>
    <row r="73">
      <c r="A73" s="11" t="inlineStr">
        <is>
          <t>R&amp;D Expense</t>
        </is>
      </c>
      <c r="B73" s="13" t="n">
        <v>1044370.219799979</v>
      </c>
      <c r="C73" s="13" t="n">
        <v>1132913.590716903</v>
      </c>
      <c r="D73" s="13" t="n">
        <v>1252263.126821643</v>
      </c>
      <c r="E73" s="13" t="n">
        <v>1423467.352809411</v>
      </c>
      <c r="F73" s="13" t="n">
        <v>1652642.381099245</v>
      </c>
      <c r="G73" s="13" t="n">
        <v>1759129.23493384</v>
      </c>
    </row>
    <row r="74">
      <c r="A74" s="11" t="inlineStr">
        <is>
          <t>Net Rental Expense, Total</t>
        </is>
      </c>
      <c r="B74" s="13" t="n">
        <v>24633.85419230719</v>
      </c>
      <c r="C74" s="13" t="n">
        <v>124789.3629784594</v>
      </c>
      <c r="D74" s="13" t="n">
        <v>226871.0622480507</v>
      </c>
      <c r="E74" s="13" t="n">
        <v>291296.3087509876</v>
      </c>
      <c r="F74" s="13" t="n">
        <v>217875.723398441</v>
      </c>
      <c r="G74" s="13" t="n">
        <v>163296.3823846148</v>
      </c>
    </row>
    <row r="75">
      <c r="A75" s="11" t="inlineStr">
        <is>
          <t>Imputed Oper. Lease Interest Exp.</t>
        </is>
      </c>
      <c r="B75" s="13" t="n">
        <v>6656.855510765633</v>
      </c>
      <c r="C75" s="13" t="n">
        <v>33807.93436285786</v>
      </c>
      <c r="D75" s="13" t="n">
        <v>67912.49100937646</v>
      </c>
      <c r="E75" s="13" t="n">
        <v>82879.62548189136</v>
      </c>
      <c r="F75" s="13" t="n">
        <v>62059.72105281192</v>
      </c>
      <c r="G75" s="13" t="n">
        <v>46003.85684539368</v>
      </c>
    </row>
    <row r="76">
      <c r="A76" s="11" t="inlineStr">
        <is>
          <t>Imputed Oper. Lease Depreciation</t>
        </is>
      </c>
      <c r="B76" s="13" t="n">
        <v>17976.99868154155</v>
      </c>
      <c r="C76" s="13" t="n">
        <v>90981.42861560147</v>
      </c>
      <c r="D76" s="13" t="n">
        <v>158958.5712386743</v>
      </c>
      <c r="E76" s="13" t="n">
        <v>208416.6832690962</v>
      </c>
      <c r="F76" s="13" t="n">
        <v>155816.002345629</v>
      </c>
      <c r="G76" s="13" t="n">
        <v>117292.5255392211</v>
      </c>
    </row>
    <row r="77">
      <c r="A77" s="11" t="inlineStr">
        <is>
          <t>Stock-Based Comp., Unallocated</t>
        </is>
      </c>
      <c r="B77" s="13" t="n">
        <v>164138.6140869197</v>
      </c>
      <c r="C77" s="13" t="n">
        <v>171144.8410130739</v>
      </c>
      <c r="D77" s="13" t="n">
        <v>184613.4874418513</v>
      </c>
      <c r="E77" s="13" t="n">
        <v>229870.410490284</v>
      </c>
      <c r="F77" s="13" t="n">
        <v>274234.4414843793</v>
      </c>
      <c r="G77" s="13" t="n">
        <v>270981.3772869221</v>
      </c>
    </row>
    <row r="78">
      <c r="A78" s="11" t="inlineStr">
        <is>
          <t xml:space="preserve">        Stock-Based Comp., Total</t>
        </is>
      </c>
      <c r="B78" s="13" t="n">
        <v>164138.6140869197</v>
      </c>
      <c r="C78" s="13" t="n">
        <v>171144.8410130739</v>
      </c>
      <c r="D78" s="13" t="n">
        <v>184613.4874418513</v>
      </c>
      <c r="E78" s="13" t="n">
        <v>229870.410490284</v>
      </c>
      <c r="F78" s="13" t="n">
        <v>274234.4414843793</v>
      </c>
      <c r="G78" s="13" t="n">
        <v>270981.3772869221</v>
      </c>
    </row>
    <row r="79">
      <c r="A79" s="11" t="inlineStr">
        <is>
          <t>CIQ Restatement Type Code</t>
        </is>
      </c>
      <c r="B79" s="11" t="inlineStr">
        <is>
          <t>NC</t>
        </is>
      </c>
      <c r="C79" s="11" t="inlineStr">
        <is>
          <t>NC</t>
        </is>
      </c>
      <c r="D79" s="11" t="inlineStr">
        <is>
          <t>NC</t>
        </is>
      </c>
      <c r="E79" s="11" t="inlineStr">
        <is>
          <t>NC</t>
        </is>
      </c>
      <c r="F79" s="11" t="inlineStr">
        <is>
          <t>NC</t>
        </is>
      </c>
      <c r="G79" s="11" t="inlineStr">
        <is>
          <t>NC</t>
        </is>
      </c>
    </row>
    <row r="80">
      <c r="A80" s="11" t="inlineStr">
        <is>
          <t>CIQ Calculation Type Code</t>
        </is>
      </c>
      <c r="B80" s="11" t="inlineStr">
        <is>
          <t>REP</t>
        </is>
      </c>
      <c r="C80" s="11" t="inlineStr">
        <is>
          <t>REP</t>
        </is>
      </c>
      <c r="D80" s="11" t="inlineStr">
        <is>
          <t>REP</t>
        </is>
      </c>
      <c r="E80" s="11" t="inlineStr">
        <is>
          <t>REP</t>
        </is>
      </c>
      <c r="F80" s="11" t="inlineStr">
        <is>
          <t>REP</t>
        </is>
      </c>
      <c r="G80" s="11" t="inlineStr">
        <is>
          <t>REP</t>
        </is>
      </c>
    </row>
    <row r="81">
      <c r="A81" s="11" t="inlineStr">
        <is>
          <t>Stock Based Compensation (€000)</t>
        </is>
      </c>
    </row>
    <row r="82">
      <c r="A82" s="11" t="inlineStr">
        <is>
          <t>Stock Based Comp. Exp., Before Tax</t>
        </is>
      </c>
      <c r="B82" s="13" t="n">
        <v>164138.6140869197</v>
      </c>
      <c r="C82" s="13" t="n">
        <v>171144.8410130739</v>
      </c>
      <c r="D82" s="13" t="n">
        <v>184613.4874418513</v>
      </c>
      <c r="E82" s="13" t="n">
        <v>229870.410490284</v>
      </c>
      <c r="F82" s="13" t="n">
        <v>274234.4414843793</v>
      </c>
      <c r="G82" s="13" t="n">
        <v>270981.3772869221</v>
      </c>
    </row>
    <row r="83">
      <c r="A83" s="11" t="inlineStr">
        <is>
          <t>Stock Based Comp. Exp. Tax Effect</t>
        </is>
      </c>
      <c r="B83" s="13" t="n">
        <v>-41549.68517076838</v>
      </c>
      <c r="C83" s="13" t="n">
        <v>-32687.19287307635</v>
      </c>
      <c r="D83" s="13" t="n">
        <v>-41350.28844961034</v>
      </c>
      <c r="E83" s="13" t="n">
        <v>-33244.00456809507</v>
      </c>
      <c r="F83" s="13" t="n">
        <v>-24681.09973359414</v>
      </c>
      <c r="G83" s="13" t="n">
        <v>-35282.55981115372</v>
      </c>
    </row>
    <row r="84">
      <c r="A84" s="11" t="inlineStr">
        <is>
          <t>Stock Based Comp. Exp., After Tax</t>
        </is>
      </c>
      <c r="B84" s="13" t="n">
        <v>122588.9289161513</v>
      </c>
      <c r="C84" s="13" t="n">
        <v>138457.6481399976</v>
      </c>
      <c r="D84" s="13" t="n">
        <v>143263.1989922409</v>
      </c>
      <c r="E84" s="13" t="n">
        <v>196626.405922189</v>
      </c>
      <c r="F84" s="13" t="n">
        <v>249553.3417507852</v>
      </c>
      <c r="G84" s="13" t="n">
        <v>235698.8174757684</v>
      </c>
    </row>
    <row r="87">
      <c r="A87" s="11" t="inlineStr">
        <is>
          <t>Recommended: S&amp;P Capital IQ - Standard</t>
        </is>
      </c>
      <c r="B87" s="11" t="inlineStr">
        <is>
          <t>2019 FY</t>
        </is>
      </c>
      <c r="C87" s="11" t="inlineStr">
        <is>
          <t>2020 FY</t>
        </is>
      </c>
      <c r="D87" s="11" t="inlineStr">
        <is>
          <t>2021 FY</t>
        </is>
      </c>
      <c r="E87" s="11" t="inlineStr">
        <is>
          <t>2022 FY</t>
        </is>
      </c>
      <c r="F87" s="11" t="inlineStr">
        <is>
          <t>2023 FY</t>
        </is>
      </c>
      <c r="G87" s="11" t="inlineStr">
        <is>
          <t>2024 FY</t>
        </is>
      </c>
    </row>
    <row r="88">
      <c r="A88" s="11" t="inlineStr">
        <is>
          <t xml:space="preserve"> </t>
        </is>
      </c>
      <c r="B88" s="11" t="inlineStr">
        <is>
          <t>Current/Restated</t>
        </is>
      </c>
      <c r="C88" s="11" t="inlineStr">
        <is>
          <t>Current/Restated</t>
        </is>
      </c>
      <c r="D88" s="11" t="inlineStr">
        <is>
          <t>Current/Restated</t>
        </is>
      </c>
      <c r="E88" s="11" t="inlineStr">
        <is>
          <t>Current/Restated</t>
        </is>
      </c>
      <c r="F88" s="11" t="inlineStr">
        <is>
          <t>Current/Restated</t>
        </is>
      </c>
      <c r="G88" s="11" t="inlineStr">
        <is>
          <t>Current/Restated</t>
        </is>
      </c>
    </row>
    <row r="89">
      <c r="A89" s="11" t="inlineStr">
        <is>
          <t>Period Ended</t>
        </is>
      </c>
      <c r="B89" s="12" t="n">
        <v>43646</v>
      </c>
      <c r="C89" s="12" t="n">
        <v>44010</v>
      </c>
      <c r="D89" s="12" t="n">
        <v>44374</v>
      </c>
      <c r="E89" s="12" t="n">
        <v>44738</v>
      </c>
      <c r="F89" s="12" t="n">
        <v>45102</v>
      </c>
      <c r="G89" s="12" t="n">
        <v>45473</v>
      </c>
    </row>
    <row r="90">
      <c r="A90" s="11" t="inlineStr">
        <is>
          <t>Financial Filing Date</t>
        </is>
      </c>
      <c r="B90" s="12" t="n">
        <v>44425</v>
      </c>
      <c r="C90" s="12" t="n">
        <v>44797</v>
      </c>
      <c r="D90" s="12" t="n">
        <v>45153</v>
      </c>
      <c r="E90" s="12" t="n">
        <v>45533</v>
      </c>
      <c r="F90" s="12" t="n">
        <v>45880</v>
      </c>
      <c r="G90" s="12" t="n">
        <v>45880</v>
      </c>
    </row>
    <row r="91">
      <c r="A91" s="11" t="inlineStr">
        <is>
          <t>Spot Exchange Rate</t>
        </is>
      </c>
      <c r="B91" s="13" t="n">
        <v>0.8788</v>
      </c>
      <c r="C91" s="13" t="n">
        <v>0.8921</v>
      </c>
      <c r="D91" s="13" t="n">
        <v>0.8373</v>
      </c>
      <c r="E91" s="13" t="n">
        <v>0.948</v>
      </c>
      <c r="F91" s="13" t="n">
        <v>0.9189000000000001</v>
      </c>
      <c r="G91" s="13" t="n">
        <v>0.9333</v>
      </c>
    </row>
    <row r="92">
      <c r="A92" s="11" t="inlineStr">
        <is>
          <t>Average Exchange Rate</t>
        </is>
      </c>
      <c r="B92" s="13" t="n">
        <v>0.8766496153845974</v>
      </c>
      <c r="C92" s="13" t="n">
        <v>0.9045853846153687</v>
      </c>
      <c r="D92" s="13" t="n">
        <v>0.8385271317829039</v>
      </c>
      <c r="E92" s="13" t="n">
        <v>0.8873112840467376</v>
      </c>
      <c r="F92" s="13" t="n">
        <v>0.9568542968750151</v>
      </c>
      <c r="G92" s="13" t="n">
        <v>0.9246680769230736</v>
      </c>
    </row>
    <row r="93">
      <c r="A93" s="11" t="inlineStr">
        <is>
          <t xml:space="preserve"> </t>
        </is>
      </c>
    </row>
    <row r="94">
      <c r="A94" s="11" t="inlineStr">
        <is>
          <t>Operating Activities (€000)</t>
        </is>
      </c>
    </row>
    <row r="95">
      <c r="A95" s="11" t="inlineStr">
        <is>
          <t>Net Income - CF</t>
        </is>
      </c>
      <c r="B95" s="13" t="n">
        <v>1921116.266642268</v>
      </c>
      <c r="C95" s="13" t="n">
        <v>2036902.85356381</v>
      </c>
      <c r="D95" s="13" t="n">
        <v>3277348.076433945</v>
      </c>
      <c r="E95" s="13" t="n">
        <v>4086322.234062464</v>
      </c>
      <c r="F95" s="13" t="n">
        <v>4316303.710256709</v>
      </c>
      <c r="G95" s="13" t="n">
        <v>3539418.574139988</v>
      </c>
    </row>
    <row r="96">
      <c r="A96" s="11" t="inlineStr">
        <is>
          <t>Depreciation &amp; Amort.</t>
        </is>
      </c>
      <c r="B96" s="13" t="n">
        <v>159533.5736573044</v>
      </c>
      <c r="C96" s="13" t="n">
        <v>183020.2379423045</v>
      </c>
      <c r="D96" s="13" t="n">
        <v>198354.4315503777</v>
      </c>
      <c r="E96" s="13" t="n">
        <v>226920.1004708286</v>
      </c>
      <c r="F96" s="13" t="n">
        <v>327657.5305875052</v>
      </c>
      <c r="G96" s="13" t="n">
        <v>332602.1826011527</v>
      </c>
    </row>
    <row r="97">
      <c r="A97" s="11" t="inlineStr">
        <is>
          <t>Amort. of Goodwill and Intangibles</t>
        </is>
      </c>
      <c r="B97" s="13" t="n">
        <v>111597.4960384593</v>
      </c>
      <c r="C97" s="13" t="n">
        <v>59883.55246153741</v>
      </c>
      <c r="D97" s="13" t="n">
        <v>59200.01550387302</v>
      </c>
      <c r="E97" s="13" t="n">
        <v>69210.28015564554</v>
      </c>
      <c r="F97" s="11" t="inlineStr">
        <is>
          <t>NA</t>
        </is>
      </c>
      <c r="G97" s="11" t="inlineStr">
        <is>
          <t>NA</t>
        </is>
      </c>
    </row>
    <row r="98">
      <c r="A98" s="11" t="inlineStr">
        <is>
          <t xml:space="preserve">        Depreciation &amp; Amort., Total</t>
        </is>
      </c>
      <c r="B98" s="13" t="n">
        <v>271131.0696957637</v>
      </c>
      <c r="C98" s="13" t="n">
        <v>242903.7904038419</v>
      </c>
      <c r="D98" s="13" t="n">
        <v>257554.4470542507</v>
      </c>
      <c r="E98" s="13" t="n">
        <v>296130.3806264742</v>
      </c>
      <c r="F98" s="13" t="n">
        <v>327657.5305875052</v>
      </c>
      <c r="G98" s="13" t="n">
        <v>332602.1826011527</v>
      </c>
    </row>
    <row r="99">
      <c r="A99" s="11" t="inlineStr">
        <is>
          <t>Stock-Based Compensation</t>
        </is>
      </c>
      <c r="B99" s="13" t="n">
        <v>164138.6140869197</v>
      </c>
      <c r="C99" s="13" t="n">
        <v>171144.8410130739</v>
      </c>
      <c r="D99" s="13" t="n">
        <v>184613.4874418513</v>
      </c>
      <c r="E99" s="13" t="n">
        <v>229870.410490284</v>
      </c>
      <c r="F99" s="13" t="n">
        <v>274234.4414843793</v>
      </c>
      <c r="G99" s="13" t="n">
        <v>270981.3772869221</v>
      </c>
    </row>
    <row r="100">
      <c r="A100" s="11" t="inlineStr">
        <is>
          <t>Other Operating Activities</t>
        </is>
      </c>
      <c r="B100" s="13" t="n">
        <v>-3029.701070769169</v>
      </c>
      <c r="C100" s="13" t="n">
        <v>-10085.22245307675</v>
      </c>
      <c r="D100" s="13" t="n">
        <v>-141601.2382170472</v>
      </c>
      <c r="E100" s="13" t="n">
        <v>-268135.7096147996</v>
      </c>
      <c r="F100" s="13" t="n">
        <v>-114595.7411566424</v>
      </c>
      <c r="G100" s="13" t="n">
        <v>-174520.0035023071</v>
      </c>
    </row>
    <row r="101">
      <c r="A101" s="11" t="inlineStr">
        <is>
          <t>Change in Acc. Receivable</t>
        </is>
      </c>
      <c r="B101" s="13" t="n">
        <v>641828.4961084484</v>
      </c>
      <c r="C101" s="13" t="n">
        <v>-580587.3236515283</v>
      </c>
      <c r="D101" s="13" t="n">
        <v>-778931.3314728294</v>
      </c>
      <c r="E101" s="13" t="n">
        <v>-1142572.994241303</v>
      </c>
      <c r="F101" s="13" t="n">
        <v>1389597.393762522</v>
      </c>
      <c r="G101" s="13" t="n">
        <v>280584.0552657683</v>
      </c>
    </row>
    <row r="102">
      <c r="A102" s="11" t="inlineStr">
        <is>
          <t>Change In Inventories</t>
        </is>
      </c>
      <c r="B102" s="13" t="n">
        <v>246649.7525365334</v>
      </c>
      <c r="C102" s="13" t="n">
        <v>-372334.5809907627</v>
      </c>
      <c r="D102" s="13" t="n">
        <v>-664609.0579069436</v>
      </c>
      <c r="E102" s="13" t="n">
        <v>-1199062.779828855</v>
      </c>
      <c r="F102" s="13" t="n">
        <v>-920463.2142562645</v>
      </c>
      <c r="G102" s="13" t="n">
        <v>488893.2796349982</v>
      </c>
    </row>
    <row r="103">
      <c r="A103" s="11" t="inlineStr">
        <is>
          <t>Change in Acc. Payable</t>
        </is>
      </c>
      <c r="B103" s="13" t="n">
        <v>-115254.8782338438</v>
      </c>
      <c r="C103" s="13" t="n">
        <v>188586.1518138429</v>
      </c>
      <c r="D103" s="13" t="n">
        <v>154804.6864341008</v>
      </c>
      <c r="E103" s="13" t="n">
        <v>148965.3676109025</v>
      </c>
      <c r="F103" s="13" t="n">
        <v>-499669.3138281329</v>
      </c>
      <c r="G103" s="13" t="n">
        <v>116451.772939615</v>
      </c>
    </row>
    <row r="104">
      <c r="A104" s="11" t="inlineStr">
        <is>
          <t>Change in Unearned Rev.</t>
        </is>
      </c>
      <c r="B104" s="13" t="n">
        <v>-156108.5036099968</v>
      </c>
      <c r="C104" s="13" t="n">
        <v>68935.73840538341</v>
      </c>
      <c r="D104" s="13" t="n">
        <v>425978.4911627694</v>
      </c>
      <c r="E104" s="13" t="n">
        <v>536444.4449299884</v>
      </c>
      <c r="F104" s="13" t="n">
        <v>156414.1013472681</v>
      </c>
      <c r="G104" s="13" t="n">
        <v>-256539.9112615375</v>
      </c>
    </row>
    <row r="105">
      <c r="A105" s="11" t="inlineStr">
        <is>
          <t>Change in Other Net Operating Assets</t>
        </is>
      </c>
      <c r="B105" s="13" t="n">
        <v>-186220.5412488423</v>
      </c>
      <c r="C105" s="13" t="n">
        <v>178090.2475961507</v>
      </c>
      <c r="D105" s="13" t="n">
        <v>293614.4678294428</v>
      </c>
      <c r="E105" s="13" t="n">
        <v>62414.36303113157</v>
      </c>
      <c r="F105" s="13" t="n">
        <v>26010.17035195354</v>
      </c>
      <c r="G105" s="13" t="n">
        <v>-296066.6975457682</v>
      </c>
    </row>
    <row r="106">
      <c r="A106" s="11" t="inlineStr">
        <is>
          <t xml:space="preserve">        Cash from Ops.</t>
        </is>
      </c>
      <c r="B106" s="13" t="n">
        <v>2784250.574906481</v>
      </c>
      <c r="C106" s="13" t="n">
        <v>1923556.495700736</v>
      </c>
      <c r="D106" s="13" t="n">
        <v>3008772.02875954</v>
      </c>
      <c r="E106" s="13" t="n">
        <v>2750375.717066288</v>
      </c>
      <c r="F106" s="13" t="n">
        <v>4955489.078549297</v>
      </c>
      <c r="G106" s="13" t="n">
        <v>4301804.629558831</v>
      </c>
    </row>
    <row r="107">
      <c r="A107" s="11" t="inlineStr">
        <is>
          <t>Investing Activity (€000)</t>
        </is>
      </c>
    </row>
    <row r="108">
      <c r="A108" s="11" t="inlineStr">
        <is>
          <t>Capital Expenditure</t>
        </is>
      </c>
      <c r="B108" s="13" t="n">
        <v>-266055.2684226868</v>
      </c>
      <c r="C108" s="13" t="n">
        <v>-183847.0289838429</v>
      </c>
      <c r="D108" s="13" t="n">
        <v>-292726.4675968846</v>
      </c>
      <c r="E108" s="13" t="n">
        <v>-484502.1296731763</v>
      </c>
      <c r="F108" s="13" t="n">
        <v>-479927.4959750076</v>
      </c>
      <c r="G108" s="13" t="n">
        <v>-366788.0860730756</v>
      </c>
    </row>
    <row r="109">
      <c r="A109" s="11" t="inlineStr">
        <is>
          <t>Cash Acquisitions</t>
        </is>
      </c>
      <c r="B109" s="11" t="inlineStr">
        <is>
          <t>NA</t>
        </is>
      </c>
      <c r="C109" s="11" t="inlineStr">
        <is>
          <t>NA</t>
        </is>
      </c>
      <c r="D109" s="11" t="inlineStr">
        <is>
          <t>NA</t>
        </is>
      </c>
      <c r="E109" s="11" t="inlineStr">
        <is>
          <t>NA</t>
        </is>
      </c>
      <c r="F109" s="13" t="n">
        <v>-114779.4571816424</v>
      </c>
      <c r="G109" s="11" t="inlineStr">
        <is>
          <t>NA</t>
        </is>
      </c>
    </row>
    <row r="110">
      <c r="A110" s="11" t="inlineStr">
        <is>
          <t>Invest. in Marketable &amp; Equity Securt.</t>
        </is>
      </c>
      <c r="B110" s="13" t="n">
        <v>-1162619.733119976</v>
      </c>
      <c r="C110" s="13" t="n">
        <v>-13568.78076923053</v>
      </c>
      <c r="D110" s="13" t="n">
        <v>389514.3003100581</v>
      </c>
      <c r="E110" s="13" t="n">
        <v>1034502.029089547</v>
      </c>
      <c r="F110" s="13" t="n">
        <v>93898.02586093899</v>
      </c>
      <c r="G110" s="13" t="n">
        <v>34921.0145930768</v>
      </c>
    </row>
    <row r="111">
      <c r="A111" s="11" t="inlineStr">
        <is>
          <t>Other Investing Activities</t>
        </is>
      </c>
      <c r="B111" s="13" t="n">
        <v>-6447.757921153714</v>
      </c>
      <c r="C111" s="13" t="n">
        <v>-23379.0092653842</v>
      </c>
      <c r="D111" s="13" t="n">
        <v>-35348.11124030832</v>
      </c>
      <c r="E111" s="13" t="n">
        <v>-6721.382976654038</v>
      </c>
      <c r="F111" s="13" t="n">
        <v>-10689.01935039079</v>
      </c>
      <c r="G111" s="13" t="n">
        <v>-10827.86318076919</v>
      </c>
    </row>
    <row r="112">
      <c r="A112" s="11" t="inlineStr">
        <is>
          <t xml:space="preserve">        Cash from Investing</t>
        </is>
      </c>
      <c r="B112" s="13" t="n">
        <v>-1435122.759463817</v>
      </c>
      <c r="C112" s="13" t="n">
        <v>-220794.8190184577</v>
      </c>
      <c r="D112" s="13" t="n">
        <v>61439.72147286515</v>
      </c>
      <c r="E112" s="13" t="n">
        <v>543278.5164397163</v>
      </c>
      <c r="F112" s="13" t="n">
        <v>-511497.9466461018</v>
      </c>
      <c r="G112" s="13" t="n">
        <v>-342694.934660768</v>
      </c>
    </row>
    <row r="113">
      <c r="A113" s="11" t="inlineStr">
        <is>
          <t>Financing Activity (€000)</t>
        </is>
      </c>
    </row>
    <row r="114">
      <c r="A114" s="11" t="inlineStr">
        <is>
          <t>Short-term Debt Issued</t>
        </is>
      </c>
      <c r="B114" s="11" t="inlineStr">
        <is>
          <t>NA</t>
        </is>
      </c>
      <c r="C114" s="13" t="n">
        <v>1130731.730769211</v>
      </c>
      <c r="D114" s="11" t="inlineStr">
        <is>
          <t>NA</t>
        </is>
      </c>
      <c r="E114" s="11" t="inlineStr">
        <is>
          <t>NA</t>
        </is>
      </c>
      <c r="F114" s="11" t="inlineStr">
        <is>
          <t>NA</t>
        </is>
      </c>
      <c r="G114" s="11" t="inlineStr">
        <is>
          <t>NA</t>
        </is>
      </c>
    </row>
    <row r="115">
      <c r="A115" s="11" t="inlineStr">
        <is>
          <t>Long-term Debt Issued</t>
        </is>
      </c>
      <c r="B115" s="13" t="n">
        <v>2171215.63541534</v>
      </c>
      <c r="C115" s="13" t="n">
        <v>1786240.434316122</v>
      </c>
      <c r="D115" s="11" t="inlineStr">
        <is>
          <t>NA</t>
        </is>
      </c>
      <c r="E115" s="13" t="n">
        <v>57171.2406536994</v>
      </c>
      <c r="F115" s="13" t="n">
        <v>63320.789950001</v>
      </c>
      <c r="G115" s="13" t="n">
        <v>89727.94084846122</v>
      </c>
    </row>
    <row r="116">
      <c r="A116" s="11" t="inlineStr">
        <is>
          <t xml:space="preserve">        Total Debt Issued</t>
        </is>
      </c>
      <c r="B116" s="13" t="n">
        <v>2171215.63541534</v>
      </c>
      <c r="C116" s="13" t="n">
        <v>2916972.165085333</v>
      </c>
      <c r="D116" s="11" t="inlineStr">
        <is>
          <t>NA</t>
        </is>
      </c>
      <c r="E116" s="13" t="n">
        <v>57171.2406536994</v>
      </c>
      <c r="F116" s="13" t="n">
        <v>63320.789950001</v>
      </c>
      <c r="G116" s="13" t="n">
        <v>89727.94084846122</v>
      </c>
    </row>
    <row r="117">
      <c r="A117" s="11" t="inlineStr">
        <is>
          <t>Short-term Debt Repaid</t>
        </is>
      </c>
      <c r="B117" s="13" t="n">
        <v>-317131.5049638397</v>
      </c>
      <c r="C117" s="13" t="n">
        <v>-1130731.730769211</v>
      </c>
      <c r="D117" s="11" t="inlineStr">
        <is>
          <t>NA</t>
        </is>
      </c>
      <c r="E117" s="11" t="inlineStr">
        <is>
          <t>NA</t>
        </is>
      </c>
      <c r="F117" s="11" t="inlineStr">
        <is>
          <t>NA</t>
        </is>
      </c>
      <c r="G117" s="11" t="inlineStr">
        <is>
          <t>NA</t>
        </is>
      </c>
    </row>
    <row r="118">
      <c r="A118" s="11" t="inlineStr">
        <is>
          <t>Long-term Debt Repaid</t>
        </is>
      </c>
      <c r="B118" s="13" t="n">
        <v>-103140.457198844</v>
      </c>
      <c r="C118" s="13" t="n">
        <v>-603844.2138899894</v>
      </c>
      <c r="D118" s="13" t="n">
        <v>-722860.6992247702</v>
      </c>
      <c r="E118" s="13" t="n">
        <v>-67720.48450973106</v>
      </c>
      <c r="F118" s="13" t="n">
        <v>-85525.5507632826</v>
      </c>
      <c r="G118" s="13" t="n">
        <v>-326539.134020768</v>
      </c>
    </row>
    <row r="119">
      <c r="A119" s="11" t="inlineStr">
        <is>
          <t xml:space="preserve">        Total Debt Repaid</t>
        </is>
      </c>
      <c r="B119" s="13" t="n">
        <v>-420271.9621626837</v>
      </c>
      <c r="C119" s="13" t="n">
        <v>-1734575.9446592</v>
      </c>
      <c r="D119" s="13" t="n">
        <v>-722860.6992247702</v>
      </c>
      <c r="E119" s="13" t="n">
        <v>-67720.48450973106</v>
      </c>
      <c r="F119" s="13" t="n">
        <v>-85525.5507632826</v>
      </c>
      <c r="G119" s="13" t="n">
        <v>-326539.134020768</v>
      </c>
    </row>
    <row r="120">
      <c r="A120" s="11" t="inlineStr">
        <is>
          <t>Issuance of Common Stock</t>
        </is>
      </c>
      <c r="B120" s="13" t="n">
        <v>74317.09449461386</v>
      </c>
      <c r="C120" s="13" t="n">
        <v>84599.53892538314</v>
      </c>
      <c r="D120" s="13" t="n">
        <v>102205.5565116228</v>
      </c>
      <c r="E120" s="13" t="n">
        <v>101029.2628015615</v>
      </c>
      <c r="F120" s="13" t="n">
        <v>115788.9384648456</v>
      </c>
      <c r="G120" s="13" t="n">
        <v>125310.093116538</v>
      </c>
    </row>
    <row r="121">
      <c r="A121" s="11" t="inlineStr">
        <is>
          <t>Repurchase of Common Stock</t>
        </is>
      </c>
      <c r="B121" s="13" t="n">
        <v>-3314271.179068778</v>
      </c>
      <c r="C121" s="13" t="n">
        <v>-1238964.467453055</v>
      </c>
      <c r="D121" s="13" t="n">
        <v>-2262097.997519267</v>
      </c>
      <c r="E121" s="13" t="n">
        <v>-3430046.400221964</v>
      </c>
      <c r="F121" s="13" t="n">
        <v>-1929986.599048468</v>
      </c>
      <c r="G121" s="13" t="n">
        <v>-2628652.881753452</v>
      </c>
    </row>
    <row r="122">
      <c r="A122" s="11" t="inlineStr">
        <is>
          <t>Common Dividends Paid</t>
        </is>
      </c>
      <c r="B122" s="13" t="n">
        <v>-594673.5132969109</v>
      </c>
      <c r="C122" s="13" t="n">
        <v>-594166.0548599896</v>
      </c>
      <c r="D122" s="13" t="n">
        <v>-609602.5165891169</v>
      </c>
      <c r="E122" s="13" t="n">
        <v>-723416.0167704647</v>
      </c>
      <c r="F122" s="13" t="n">
        <v>-868734.7141129044</v>
      </c>
      <c r="G122" s="13" t="n">
        <v>-942158.1735980735</v>
      </c>
    </row>
    <row r="123">
      <c r="A123" s="11" t="inlineStr">
        <is>
          <t xml:space="preserve">        Total Dividends Paid</t>
        </is>
      </c>
      <c r="B123" s="13" t="n">
        <v>-594673.5132969109</v>
      </c>
      <c r="C123" s="13" t="n">
        <v>-594166.0548599896</v>
      </c>
      <c r="D123" s="13" t="n">
        <v>-609602.5165891169</v>
      </c>
      <c r="E123" s="13" t="n">
        <v>-723416.0167704647</v>
      </c>
      <c r="F123" s="13" t="n">
        <v>-868734.7141129044</v>
      </c>
      <c r="G123" s="13" t="n">
        <v>-942158.1735980735</v>
      </c>
    </row>
    <row r="124">
      <c r="A124" s="11" t="inlineStr">
        <is>
          <t>Other Financing Activities</t>
        </is>
      </c>
      <c r="B124" s="13" t="n">
        <v>-11578.78811999976</v>
      </c>
      <c r="C124" s="13" t="n">
        <v>1736.803938461508</v>
      </c>
      <c r="D124" s="13" t="n">
        <v>-1771.807829457276</v>
      </c>
      <c r="E124" s="13" t="n">
        <v>39.92900778210319</v>
      </c>
      <c r="F124" s="13" t="n">
        <v>-3398.746462500054</v>
      </c>
      <c r="G124" s="13" t="n">
        <v>-12522.77976576919</v>
      </c>
    </row>
    <row r="125">
      <c r="A125" s="11" t="inlineStr">
        <is>
          <t xml:space="preserve">        Cash from Financing</t>
        </is>
      </c>
      <c r="B125" s="13" t="n">
        <v>-2095262.712738418</v>
      </c>
      <c r="C125" s="13" t="n">
        <v>-564397.959023067</v>
      </c>
      <c r="D125" s="13" t="n">
        <v>-3494127.464650989</v>
      </c>
      <c r="E125" s="13" t="n">
        <v>-4062942.469039117</v>
      </c>
      <c r="F125" s="13" t="n">
        <v>-2708535.881972308</v>
      </c>
      <c r="G125" s="13" t="n">
        <v>-3694834.935173064</v>
      </c>
    </row>
    <row r="126">
      <c r="A126" s="11" t="inlineStr">
        <is>
          <t>Other Cash Flow (€000)</t>
        </is>
      </c>
    </row>
    <row r="127">
      <c r="A127" s="11" t="inlineStr">
        <is>
          <t>Foreign Exchange Rate Adj.</t>
        </is>
      </c>
      <c r="B127" s="13" t="n">
        <v>-3542.541095769158</v>
      </c>
      <c r="C127" s="13" t="n">
        <v>-2487.609807692264</v>
      </c>
      <c r="D127" s="13" t="n">
        <v>6049.973255813652</v>
      </c>
      <c r="E127" s="13" t="n">
        <v>-26820.75818288074</v>
      </c>
      <c r="F127" s="13" t="n">
        <v>122.4773500000019</v>
      </c>
      <c r="G127" s="13" t="n">
        <v>-20688.52355307685</v>
      </c>
    </row>
    <row r="128">
      <c r="A128" s="11" t="inlineStr">
        <is>
          <t xml:space="preserve">        Net Change in Cash</t>
        </is>
      </c>
      <c r="B128" s="13" t="n">
        <v>-749677.4383915231</v>
      </c>
      <c r="C128" s="13" t="n">
        <v>1135876.107851519</v>
      </c>
      <c r="D128" s="13" t="n">
        <v>-417865.7411627698</v>
      </c>
      <c r="E128" s="13" t="n">
        <v>-796108.9937159937</v>
      </c>
      <c r="F128" s="13" t="n">
        <v>1735577.727280887</v>
      </c>
      <c r="G128" s="13" t="n">
        <v>243586.2361719222</v>
      </c>
    </row>
    <row r="129">
      <c r="A129" s="11" t="inlineStr">
        <is>
          <t>Supplemental Items (€000)</t>
        </is>
      </c>
    </row>
    <row r="130">
      <c r="A130" s="11" t="inlineStr">
        <is>
          <t>Cash Interest Paid</t>
        </is>
      </c>
      <c r="B130" s="13" t="n">
        <v>67443.28486038324</v>
      </c>
      <c r="C130" s="13" t="n">
        <v>155488.2771761511</v>
      </c>
      <c r="D130" s="13" t="n">
        <v>171002.5150387512</v>
      </c>
      <c r="E130" s="13" t="n">
        <v>155747.9750661558</v>
      </c>
      <c r="F130" s="13" t="n">
        <v>167205.5041074245</v>
      </c>
      <c r="G130" s="13" t="n">
        <v>160054.4961069225</v>
      </c>
    </row>
    <row r="131">
      <c r="A131" s="11" t="inlineStr">
        <is>
          <t>Cash Taxes Paid</t>
        </is>
      </c>
      <c r="B131" s="13" t="n">
        <v>263229.8267123023</v>
      </c>
      <c r="C131" s="13" t="n">
        <v>201640.2234992272</v>
      </c>
      <c r="D131" s="13" t="n">
        <v>434832.4991472652</v>
      </c>
      <c r="E131" s="13" t="n">
        <v>716653.8174747445</v>
      </c>
      <c r="F131" s="13" t="n">
        <v>774810.8531859497</v>
      </c>
      <c r="G131" s="13" t="n">
        <v>917105.2167219198</v>
      </c>
    </row>
    <row r="132">
      <c r="A132" s="11" t="inlineStr">
        <is>
          <t>Levered Free Cash Flow</t>
        </is>
      </c>
      <c r="B132" s="13" t="n">
        <v>1663760.101934245</v>
      </c>
      <c r="C132" s="13" t="n">
        <v>1243214.435736324</v>
      </c>
      <c r="D132" s="13" t="n">
        <v>1901162.588546417</v>
      </c>
      <c r="E132" s="13" t="n">
        <v>1439877.620438303</v>
      </c>
      <c r="F132" s="13" t="n">
        <v>3507031.031928083</v>
      </c>
      <c r="G132" s="13" t="n">
        <v>3104139.745691672</v>
      </c>
    </row>
    <row r="133">
      <c r="A133" s="11" t="inlineStr">
        <is>
          <t>Unlevered Free Cash Flow</t>
        </is>
      </c>
      <c r="B133" s="13" t="n">
        <v>1728009.204339772</v>
      </c>
      <c r="C133" s="13" t="n">
        <v>1343532.954890169</v>
      </c>
      <c r="D133" s="13" t="n">
        <v>2010483.991114241</v>
      </c>
      <c r="E133" s="13" t="n">
        <v>1542339.336394047</v>
      </c>
      <c r="F133" s="13" t="n">
        <v>3618541.635618026</v>
      </c>
      <c r="G133" s="13" t="n">
        <v>3211190.880627248</v>
      </c>
    </row>
    <row r="134">
      <c r="A134" s="11" t="inlineStr">
        <is>
          <t>Change in Net Working Capital</t>
        </is>
      </c>
      <c r="B134" s="13" t="n">
        <v>-208353.3140884573</v>
      </c>
      <c r="C134" s="13" t="n">
        <v>398345.029139993</v>
      </c>
      <c r="D134" s="13" t="n">
        <v>487893.6575193555</v>
      </c>
      <c r="E134" s="13" t="n">
        <v>1483753.943381398</v>
      </c>
      <c r="F134" s="13" t="n">
        <v>-329882.2168277396</v>
      </c>
      <c r="G134" s="13" t="n">
        <v>-474627.5005442291</v>
      </c>
    </row>
    <row r="135">
      <c r="A135" s="11" t="inlineStr">
        <is>
          <t>Net Debt Issued</t>
        </is>
      </c>
      <c r="B135" s="13" t="n">
        <v>1750943.673252656</v>
      </c>
      <c r="C135" s="13" t="n">
        <v>1182396.220426133</v>
      </c>
      <c r="D135" s="13" t="n">
        <v>-722860.6992247702</v>
      </c>
      <c r="E135" s="13" t="n">
        <v>-10549.24385603166</v>
      </c>
      <c r="F135" s="13" t="n">
        <v>-22204.7608132816</v>
      </c>
      <c r="G135" s="13" t="n">
        <v>-236811.1931723068</v>
      </c>
    </row>
    <row r="136">
      <c r="A136" s="11" t="inlineStr">
        <is>
          <t>CIQ Restatement Type Code</t>
        </is>
      </c>
      <c r="B136" s="11" t="inlineStr">
        <is>
          <t>NC</t>
        </is>
      </c>
      <c r="C136" s="11" t="inlineStr">
        <is>
          <t>NC</t>
        </is>
      </c>
      <c r="D136" s="11" t="inlineStr">
        <is>
          <t>NC</t>
        </is>
      </c>
      <c r="E136" s="11" t="inlineStr">
        <is>
          <t>NC</t>
        </is>
      </c>
      <c r="F136" s="11" t="inlineStr">
        <is>
          <t>NC</t>
        </is>
      </c>
      <c r="G136" s="11" t="inlineStr">
        <is>
          <t>NC</t>
        </is>
      </c>
    </row>
    <row r="137">
      <c r="A137" s="11" t="inlineStr">
        <is>
          <t>CIQ Calculation Type Code</t>
        </is>
      </c>
      <c r="B137" s="11" t="inlineStr">
        <is>
          <t>REP</t>
        </is>
      </c>
      <c r="C137" s="11" t="inlineStr">
        <is>
          <t>REP</t>
        </is>
      </c>
      <c r="D137" s="11" t="inlineStr">
        <is>
          <t>REP</t>
        </is>
      </c>
      <c r="E137" s="11" t="inlineStr">
        <is>
          <t>REP</t>
        </is>
      </c>
      <c r="F137" s="11" t="inlineStr">
        <is>
          <t>REP</t>
        </is>
      </c>
      <c r="G137" s="11" t="inlineStr">
        <is>
          <t>REP</t>
        </is>
      </c>
    </row>
    <row r="140">
      <c r="A140" s="11" t="inlineStr">
        <is>
          <t>Recommended: S&amp;P Capital IQ - Standard</t>
        </is>
      </c>
      <c r="B140" s="11" t="inlineStr">
        <is>
          <t>2019 FY</t>
        </is>
      </c>
      <c r="C140" s="11" t="inlineStr">
        <is>
          <t>2020 FY</t>
        </is>
      </c>
      <c r="D140" s="11" t="inlineStr">
        <is>
          <t>2021 FY</t>
        </is>
      </c>
      <c r="E140" s="11" t="inlineStr">
        <is>
          <t>2022 FY</t>
        </is>
      </c>
      <c r="F140" s="11" t="inlineStr">
        <is>
          <t>2023 FY</t>
        </is>
      </c>
      <c r="G140" s="11" t="inlineStr">
        <is>
          <t>2024 FY</t>
        </is>
      </c>
    </row>
    <row r="141">
      <c r="A141" s="11" t="inlineStr">
        <is>
          <t xml:space="preserve"> </t>
        </is>
      </c>
      <c r="B141" s="11" t="inlineStr">
        <is>
          <t>Current/Restated</t>
        </is>
      </c>
      <c r="C141" s="11" t="inlineStr">
        <is>
          <t>Current/Restated</t>
        </is>
      </c>
      <c r="D141" s="11" t="inlineStr">
        <is>
          <t>Current/Restated</t>
        </is>
      </c>
      <c r="E141" s="11" t="inlineStr">
        <is>
          <t>Current/Restated</t>
        </is>
      </c>
      <c r="F141" s="11" t="inlineStr">
        <is>
          <t>Current/Restated</t>
        </is>
      </c>
      <c r="G141" s="11" t="inlineStr">
        <is>
          <t>Current/Restated</t>
        </is>
      </c>
    </row>
    <row r="142">
      <c r="A142" s="11" t="inlineStr">
        <is>
          <t>Period Ended</t>
        </is>
      </c>
      <c r="B142" s="12" t="n">
        <v>43646</v>
      </c>
      <c r="C142" s="12" t="n">
        <v>44010</v>
      </c>
      <c r="D142" s="12" t="n">
        <v>44374</v>
      </c>
      <c r="E142" s="12" t="n">
        <v>44738</v>
      </c>
      <c r="F142" s="12" t="n">
        <v>45102</v>
      </c>
      <c r="G142" s="12" t="n">
        <v>45473</v>
      </c>
    </row>
    <row r="143">
      <c r="A143" s="11" t="inlineStr">
        <is>
          <t>Financial Filing Date</t>
        </is>
      </c>
      <c r="B143" s="12" t="n">
        <v>44425</v>
      </c>
      <c r="C143" s="12" t="n">
        <v>44797</v>
      </c>
      <c r="D143" s="12" t="n">
        <v>45153</v>
      </c>
      <c r="E143" s="12" t="n">
        <v>45533</v>
      </c>
      <c r="F143" s="12" t="n">
        <v>45880</v>
      </c>
      <c r="G143" s="12" t="n">
        <v>45880</v>
      </c>
    </row>
    <row r="144">
      <c r="A144" s="11" t="inlineStr">
        <is>
          <t>Spot Exchange Rate</t>
        </is>
      </c>
      <c r="B144" s="13" t="n">
        <v>0.8788</v>
      </c>
      <c r="C144" s="13" t="n">
        <v>0.8921</v>
      </c>
      <c r="D144" s="13" t="n">
        <v>0.8373</v>
      </c>
      <c r="E144" s="13" t="n">
        <v>0.948</v>
      </c>
      <c r="F144" s="13" t="n">
        <v>0.9189000000000001</v>
      </c>
      <c r="G144" s="13" t="n">
        <v>0.9333</v>
      </c>
    </row>
    <row r="145">
      <c r="A145" s="11" t="inlineStr">
        <is>
          <t>Average Exchange Rate</t>
        </is>
      </c>
      <c r="B145" s="13" t="n">
        <v>0.8766496153845974</v>
      </c>
      <c r="C145" s="13" t="n">
        <v>0.9045853846153687</v>
      </c>
      <c r="D145" s="13" t="n">
        <v>0.8385271317829039</v>
      </c>
      <c r="E145" s="13" t="n">
        <v>0.8873112840467376</v>
      </c>
      <c r="F145" s="13" t="n">
        <v>0.9568542968750151</v>
      </c>
      <c r="G145" s="13" t="n">
        <v>0.9246680769230736</v>
      </c>
    </row>
    <row r="146">
      <c r="A146" s="11" t="inlineStr">
        <is>
          <t>Reported Currency Code</t>
        </is>
      </c>
      <c r="B146" s="11" t="inlineStr">
        <is>
          <t>USD</t>
        </is>
      </c>
      <c r="C146" s="11" t="inlineStr">
        <is>
          <t>USD</t>
        </is>
      </c>
      <c r="D146" s="11" t="inlineStr">
        <is>
          <t>USD</t>
        </is>
      </c>
      <c r="E146" s="11" t="inlineStr">
        <is>
          <t>USD</t>
        </is>
      </c>
      <c r="F146" s="11" t="inlineStr">
        <is>
          <t>USD</t>
        </is>
      </c>
      <c r="G146" s="11" t="inlineStr">
        <is>
          <t>USD</t>
        </is>
      </c>
    </row>
    <row r="147">
      <c r="A147" s="11" t="inlineStr">
        <is>
          <t xml:space="preserve"> </t>
        </is>
      </c>
    </row>
    <row r="148">
      <c r="A148" s="11" t="inlineStr">
        <is>
          <t>Assets (€000)</t>
        </is>
      </c>
    </row>
    <row r="149">
      <c r="A149" s="11" t="inlineStr">
        <is>
          <t>Cash and Equivalents</t>
        </is>
      </c>
      <c r="B149" s="13" t="n">
        <v>3214842.8572</v>
      </c>
      <c r="C149" s="13" t="n">
        <v>4384824.9412</v>
      </c>
      <c r="D149" s="13" t="n">
        <v>3699411.6099</v>
      </c>
      <c r="E149" s="13" t="n">
        <v>3338856.948</v>
      </c>
      <c r="F149" s="13" t="n">
        <v>4904220.758400001</v>
      </c>
      <c r="G149" s="13" t="n">
        <v>5457804.0048</v>
      </c>
    </row>
    <row r="150">
      <c r="A150" s="11" t="inlineStr">
        <is>
          <t>Short-term Investments</t>
        </is>
      </c>
      <c r="B150" s="13" t="n">
        <v>1558098.3392</v>
      </c>
      <c r="C150" s="13" t="n">
        <v>1601390.868</v>
      </c>
      <c r="D150" s="13" t="n">
        <v>1097593.1256</v>
      </c>
      <c r="E150" s="13" t="n">
        <v>128672.988</v>
      </c>
      <c r="F150" s="11" t="inlineStr">
        <is>
          <t>NA</t>
        </is>
      </c>
      <c r="G150" s="11" t="inlineStr">
        <is>
          <t>NA</t>
        </is>
      </c>
    </row>
    <row r="151">
      <c r="A151" s="11" t="inlineStr">
        <is>
          <t xml:space="preserve">        Cash &amp; Short-term Investments</t>
        </is>
      </c>
      <c r="B151" s="13" t="n">
        <v>4772941.1964</v>
      </c>
      <c r="C151" s="13" t="n">
        <v>5986215.8092</v>
      </c>
      <c r="D151" s="13" t="n">
        <v>4797004.7355</v>
      </c>
      <c r="E151" s="13" t="n">
        <v>3467529.936</v>
      </c>
      <c r="F151" s="13" t="n">
        <v>4904220.758400001</v>
      </c>
      <c r="G151" s="13" t="n">
        <v>5457804.0048</v>
      </c>
    </row>
    <row r="152">
      <c r="A152" s="11" t="inlineStr">
        <is>
          <t>Accounts Receivable</t>
        </is>
      </c>
      <c r="B152" s="13" t="n">
        <v>1279112.7336</v>
      </c>
      <c r="C152" s="13" t="n">
        <v>1870822.0179</v>
      </c>
      <c r="D152" s="13" t="n">
        <v>2534029.839</v>
      </c>
      <c r="E152" s="13" t="n">
        <v>4089499.464</v>
      </c>
      <c r="F152" s="13" t="n">
        <v>2594400.2064</v>
      </c>
      <c r="G152" s="13" t="n">
        <v>2351216.025</v>
      </c>
    </row>
    <row r="153">
      <c r="A153" s="11" t="inlineStr">
        <is>
          <t xml:space="preserve">        Total Receivables</t>
        </is>
      </c>
      <c r="B153" s="13" t="n">
        <v>1279112.7336</v>
      </c>
      <c r="C153" s="13" t="n">
        <v>1870822.0179</v>
      </c>
      <c r="D153" s="13" t="n">
        <v>2534029.839</v>
      </c>
      <c r="E153" s="13" t="n">
        <v>4089499.464</v>
      </c>
      <c r="F153" s="13" t="n">
        <v>2594400.2064</v>
      </c>
      <c r="G153" s="13" t="n">
        <v>2351216.025</v>
      </c>
    </row>
    <row r="154">
      <c r="A154" s="11" t="inlineStr">
        <is>
          <t>Inventory</t>
        </is>
      </c>
      <c r="B154" s="13" t="n">
        <v>1353475.032</v>
      </c>
      <c r="C154" s="13" t="n">
        <v>1695011.4104</v>
      </c>
      <c r="D154" s="13" t="n">
        <v>2251745.8662</v>
      </c>
      <c r="E154" s="13" t="n">
        <v>3760046.712</v>
      </c>
      <c r="F154" s="13" t="n">
        <v>4425596.991</v>
      </c>
      <c r="G154" s="13" t="n">
        <v>3936588.4692</v>
      </c>
    </row>
    <row r="155">
      <c r="A155" s="11" t="inlineStr">
        <is>
          <t>Prepaid Exp.</t>
        </is>
      </c>
      <c r="B155" s="13" t="n">
        <v>116156.2688</v>
      </c>
      <c r="C155" s="13" t="n">
        <v>130389.336</v>
      </c>
      <c r="D155" s="13" t="n">
        <v>173763.1944</v>
      </c>
      <c r="E155" s="13" t="n">
        <v>329326.668</v>
      </c>
      <c r="F155" s="13" t="n">
        <v>231369.831</v>
      </c>
      <c r="G155" s="13" t="n">
        <v>278300.727</v>
      </c>
    </row>
    <row r="156">
      <c r="A156" s="11" t="inlineStr">
        <is>
          <t>Other Current Assets</t>
        </is>
      </c>
      <c r="B156" s="13" t="n">
        <v>1202.1984</v>
      </c>
      <c r="C156" s="11" t="inlineStr">
        <is>
          <t>NA</t>
        </is>
      </c>
      <c r="D156" s="11" t="inlineStr">
        <is>
          <t>NA</t>
        </is>
      </c>
      <c r="E156" s="11" t="inlineStr">
        <is>
          <t>NA</t>
        </is>
      </c>
      <c r="F156" s="11" t="inlineStr">
        <is>
          <t>NA</t>
        </is>
      </c>
      <c r="G156" s="11" t="inlineStr">
        <is>
          <t>NA</t>
        </is>
      </c>
    </row>
    <row r="157">
      <c r="A157" s="11" t="inlineStr">
        <is>
          <t xml:space="preserve">        Total Current Assets</t>
        </is>
      </c>
      <c r="B157" s="13" t="n">
        <v>7522887.4292</v>
      </c>
      <c r="C157" s="13" t="n">
        <v>9682438.5735</v>
      </c>
      <c r="D157" s="13" t="n">
        <v>9756543.6351</v>
      </c>
      <c r="E157" s="13" t="n">
        <v>11646402.78</v>
      </c>
      <c r="F157" s="13" t="n">
        <v>12155587.7868</v>
      </c>
      <c r="G157" s="13" t="n">
        <v>12023909.226</v>
      </c>
    </row>
    <row r="158">
      <c r="A158" s="11" t="inlineStr">
        <is>
          <t>Gross Property, Plant &amp; Equipment</t>
        </is>
      </c>
      <c r="B158" s="13" t="n">
        <v>1777600.6092</v>
      </c>
      <c r="C158" s="13" t="n">
        <v>2080842.8762</v>
      </c>
      <c r="D158" s="13" t="n">
        <v>2301418.6887</v>
      </c>
      <c r="E158" s="13" t="n">
        <v>3142202.88</v>
      </c>
      <c r="F158" s="13" t="n">
        <v>3438325.3176</v>
      </c>
      <c r="G158" s="13" t="n">
        <v>4035139.3494</v>
      </c>
    </row>
    <row r="159">
      <c r="A159" s="11" t="inlineStr">
        <is>
          <t>Accumulated Depreciation</t>
        </is>
      </c>
      <c r="B159" s="13" t="n">
        <v>-846883.7416000001</v>
      </c>
      <c r="C159" s="13" t="n">
        <v>-969213.124</v>
      </c>
      <c r="D159" s="13" t="n">
        <v>-1064506.3788</v>
      </c>
      <c r="E159" s="13" t="n">
        <v>-1365428.1</v>
      </c>
      <c r="F159" s="13" t="n">
        <v>-1509252.8184</v>
      </c>
      <c r="G159" s="13" t="n">
        <v>-1736557.7112</v>
      </c>
    </row>
    <row r="160">
      <c r="A160" s="11" t="inlineStr">
        <is>
          <t xml:space="preserve">        Net Property, Plant &amp; Equipment</t>
        </is>
      </c>
      <c r="B160" s="13" t="n">
        <v>930716.8676</v>
      </c>
      <c r="C160" s="13" t="n">
        <v>1111629.7522</v>
      </c>
      <c r="D160" s="13" t="n">
        <v>1236912.3099</v>
      </c>
      <c r="E160" s="13" t="n">
        <v>1776774.78</v>
      </c>
      <c r="F160" s="13" t="n">
        <v>1929072.4992</v>
      </c>
      <c r="G160" s="13" t="n">
        <v>2298581.6382</v>
      </c>
    </row>
    <row r="161">
      <c r="A161" s="11" t="inlineStr">
        <is>
          <t>Long-term Investments</t>
        </is>
      </c>
      <c r="B161" s="13" t="n">
        <v>1350.7156</v>
      </c>
      <c r="C161" s="11" t="inlineStr">
        <is>
          <t>NA</t>
        </is>
      </c>
      <c r="D161" s="13" t="n">
        <v>98215.29000000001</v>
      </c>
      <c r="E161" s="13" t="n">
        <v>118689.6</v>
      </c>
      <c r="F161" s="11" t="inlineStr">
        <is>
          <t>NA</t>
        </is>
      </c>
      <c r="G161" s="11" t="inlineStr">
        <is>
          <t>NA</t>
        </is>
      </c>
    </row>
    <row r="162">
      <c r="A162" s="11" t="inlineStr">
        <is>
          <t>Goodwill</t>
        </is>
      </c>
      <c r="B162" s="13" t="n">
        <v>1304663.8436</v>
      </c>
      <c r="C162" s="13" t="n">
        <v>1324265.3556</v>
      </c>
      <c r="D162" s="13" t="n">
        <v>1247689.1982</v>
      </c>
      <c r="E162" s="13" t="n">
        <v>1436327.124</v>
      </c>
      <c r="F162" s="13" t="n">
        <v>1490905.1421</v>
      </c>
      <c r="G162" s="13" t="n">
        <v>1518080.5809</v>
      </c>
    </row>
    <row r="163">
      <c r="A163" s="11" t="inlineStr">
        <is>
          <t>Other Intangibles</t>
        </is>
      </c>
      <c r="B163" s="13" t="n">
        <v>190655.66</v>
      </c>
      <c r="C163" s="13" t="n">
        <v>150347.3972</v>
      </c>
      <c r="D163" s="13" t="n">
        <v>110829.2145</v>
      </c>
      <c r="E163" s="13" t="n">
        <v>96553.79999999999</v>
      </c>
      <c r="F163" s="13" t="n">
        <v>127150.9497</v>
      </c>
      <c r="G163" s="13" t="n">
        <v>129262.05</v>
      </c>
    </row>
    <row r="164">
      <c r="A164" s="11" t="inlineStr">
        <is>
          <t>Deferred Charges, LT</t>
        </is>
      </c>
      <c r="B164" s="11" t="inlineStr">
        <is>
          <t>NA</t>
        </is>
      </c>
      <c r="C164" s="11" t="inlineStr">
        <is>
          <t>NA</t>
        </is>
      </c>
      <c r="D164" s="11" t="inlineStr">
        <is>
          <t>NA</t>
        </is>
      </c>
      <c r="E164" s="11" t="inlineStr">
        <is>
          <t>NA</t>
        </is>
      </c>
      <c r="F164" s="13" t="n">
        <v>27641.4309</v>
      </c>
      <c r="G164" s="11" t="inlineStr">
        <is>
          <t>NA</t>
        </is>
      </c>
    </row>
    <row r="165">
      <c r="A165" s="11" t="inlineStr">
        <is>
          <t>Other Long-term Assets</t>
        </is>
      </c>
      <c r="B165" s="13" t="n">
        <v>596496.9244</v>
      </c>
      <c r="C165" s="13" t="n">
        <v>719444.7502</v>
      </c>
      <c r="D165" s="13" t="n">
        <v>856309.2219</v>
      </c>
      <c r="E165" s="13" t="n">
        <v>1226711.052</v>
      </c>
      <c r="F165" s="13" t="n">
        <v>1528093.944</v>
      </c>
      <c r="G165" s="13" t="n">
        <v>1524621.1473</v>
      </c>
    </row>
    <row r="166">
      <c r="A166" s="11" t="inlineStr">
        <is>
          <t>Total Assets</t>
        </is>
      </c>
      <c r="B166" s="13" t="n">
        <v>10546771.4404</v>
      </c>
      <c r="C166" s="13" t="n">
        <v>12988125.8287</v>
      </c>
      <c r="D166" s="13" t="n">
        <v>13306498.8696</v>
      </c>
      <c r="E166" s="13" t="n">
        <v>16301459.136</v>
      </c>
      <c r="F166" s="13" t="n">
        <v>17258451.7527</v>
      </c>
      <c r="G166" s="13" t="n">
        <v>17494454.6424</v>
      </c>
    </row>
    <row r="167">
      <c r="A167" s="11" t="inlineStr">
        <is>
          <t>Liabilities (€000)</t>
        </is>
      </c>
    </row>
    <row r="168">
      <c r="A168" s="11" t="inlineStr">
        <is>
          <t>Accounts Payable</t>
        </is>
      </c>
      <c r="B168" s="13" t="n">
        <v>330921.8068</v>
      </c>
      <c r="C168" s="13" t="n">
        <v>528468.4427</v>
      </c>
      <c r="D168" s="13" t="n">
        <v>694716.1830000001</v>
      </c>
      <c r="E168" s="13" t="n">
        <v>958625.184</v>
      </c>
      <c r="F168" s="13" t="n">
        <v>432528.0678</v>
      </c>
      <c r="G168" s="13" t="n">
        <v>573014.4678</v>
      </c>
    </row>
    <row r="169">
      <c r="A169" s="11" t="inlineStr">
        <is>
          <t>Accrued Exp.</t>
        </is>
      </c>
      <c r="B169" s="13" t="n">
        <v>295355.892</v>
      </c>
      <c r="C169" s="13" t="n">
        <v>358981.9321</v>
      </c>
      <c r="D169" s="13" t="n">
        <v>462964.1025</v>
      </c>
      <c r="E169" s="13" t="n">
        <v>456054.36</v>
      </c>
      <c r="F169" s="13" t="n">
        <v>442316.1906</v>
      </c>
      <c r="G169" s="13" t="n">
        <v>482251.9761</v>
      </c>
    </row>
    <row r="170">
      <c r="A170" s="11" t="inlineStr">
        <is>
          <t>Curr. Port. of Long-term Debt</t>
        </is>
      </c>
      <c r="B170" s="13" t="n">
        <v>586561.2116</v>
      </c>
      <c r="C170" s="13" t="n">
        <v>745891.0547</v>
      </c>
      <c r="D170" s="11" t="inlineStr">
        <is>
          <t>NA</t>
        </is>
      </c>
      <c r="E170" s="11" t="inlineStr">
        <is>
          <t>NA</t>
        </is>
      </c>
      <c r="F170" s="13" t="n">
        <v>386.8569</v>
      </c>
      <c r="G170" s="13" t="n">
        <v>467878.2228</v>
      </c>
    </row>
    <row r="171">
      <c r="A171" s="11" t="inlineStr">
        <is>
          <t>Current Portion of Leases</t>
        </is>
      </c>
      <c r="B171" s="13" t="n">
        <v>4238.4524</v>
      </c>
      <c r="C171" s="13" t="n">
        <v>47504.325</v>
      </c>
      <c r="D171" s="13" t="n">
        <v>47440.58070000001</v>
      </c>
      <c r="E171" s="13" t="n">
        <v>58293.468</v>
      </c>
      <c r="F171" s="13" t="n">
        <v>66729.59910000001</v>
      </c>
      <c r="G171" s="13" t="n">
        <v>63409.3353</v>
      </c>
    </row>
    <row r="172">
      <c r="A172" s="11" t="inlineStr">
        <is>
          <t>Curr. Income Taxes Payable</t>
        </is>
      </c>
      <c r="B172" s="13" t="n">
        <v>43874.9688</v>
      </c>
      <c r="C172" s="13" t="n">
        <v>192383.1492</v>
      </c>
      <c r="D172" s="13" t="n">
        <v>291552.8838</v>
      </c>
      <c r="E172" s="13" t="n">
        <v>441389.748</v>
      </c>
      <c r="F172" s="13" t="n">
        <v>423272.907</v>
      </c>
      <c r="G172" s="13" t="n">
        <v>174247.11</v>
      </c>
    </row>
    <row r="173">
      <c r="A173" s="11" t="inlineStr">
        <is>
          <t>Unearned Revenue, Current</t>
        </is>
      </c>
      <c r="B173" s="13" t="n">
        <v>335101.3796</v>
      </c>
      <c r="C173" s="13" t="n">
        <v>408156.2683</v>
      </c>
      <c r="D173" s="13" t="n">
        <v>809941.2225</v>
      </c>
      <c r="E173" s="13" t="n">
        <v>1490159.304</v>
      </c>
      <c r="F173" s="13" t="n">
        <v>1557738.5769</v>
      </c>
      <c r="G173" s="13" t="n">
        <v>1323215.0073</v>
      </c>
    </row>
    <row r="174">
      <c r="A174" s="11" t="inlineStr">
        <is>
          <t>Other Current Liabilities</t>
        </is>
      </c>
      <c r="B174" s="13" t="n">
        <v>488152.3088</v>
      </c>
      <c r="C174" s="13" t="n">
        <v>539829.3362</v>
      </c>
      <c r="D174" s="13" t="n">
        <v>647268.0666</v>
      </c>
      <c r="E174" s="13" t="n">
        <v>922869.468</v>
      </c>
      <c r="F174" s="13" t="n">
        <v>922548.9519000001</v>
      </c>
      <c r="G174" s="13" t="n">
        <v>965048.0661000001</v>
      </c>
    </row>
    <row r="175">
      <c r="A175" s="11" t="inlineStr">
        <is>
          <t xml:space="preserve">        Total Current Liabilities</t>
        </is>
      </c>
      <c r="B175" s="13" t="n">
        <v>2084206.02</v>
      </c>
      <c r="C175" s="13" t="n">
        <v>2821214.5082</v>
      </c>
      <c r="D175" s="13" t="n">
        <v>2953883.0391</v>
      </c>
      <c r="E175" s="13" t="n">
        <v>4327391.532</v>
      </c>
      <c r="F175" s="13" t="n">
        <v>3845521.1502</v>
      </c>
      <c r="G175" s="13" t="n">
        <v>4049064.1854</v>
      </c>
    </row>
    <row r="176">
      <c r="A176" s="11" t="inlineStr">
        <is>
          <t>Long-term Debt</t>
        </is>
      </c>
      <c r="B176" s="13" t="n">
        <v>3311057.3964</v>
      </c>
      <c r="C176" s="13" t="n">
        <v>4424254.8691</v>
      </c>
      <c r="D176" s="13" t="n">
        <v>4153790.8755</v>
      </c>
      <c r="E176" s="13" t="n">
        <v>4704411.132</v>
      </c>
      <c r="F176" s="13" t="n">
        <v>4562287.0416</v>
      </c>
      <c r="G176" s="13" t="n">
        <v>4168159.7985</v>
      </c>
    </row>
    <row r="177">
      <c r="A177" s="11" t="inlineStr">
        <is>
          <t>Long-term Leases</t>
        </is>
      </c>
      <c r="B177" s="13" t="n">
        <v>48391.122</v>
      </c>
      <c r="C177" s="13" t="n">
        <v>120760.0086</v>
      </c>
      <c r="D177" s="13" t="n">
        <v>123738.7059</v>
      </c>
      <c r="E177" s="13" t="n">
        <v>190171.644</v>
      </c>
      <c r="F177" s="13" t="n">
        <v>194002.7625</v>
      </c>
      <c r="G177" s="13" t="n">
        <v>220023.6084</v>
      </c>
    </row>
    <row r="178">
      <c r="A178" s="11" t="inlineStr">
        <is>
          <t>Other Non-Current Liabilities</t>
        </is>
      </c>
      <c r="B178" s="13" t="n">
        <v>995724.3400000001</v>
      </c>
      <c r="C178" s="13" t="n">
        <v>1007514.5454</v>
      </c>
      <c r="D178" s="13" t="n">
        <v>1028521.7367</v>
      </c>
      <c r="E178" s="13" t="n">
        <v>1127593.86</v>
      </c>
      <c r="F178" s="13" t="n">
        <v>1112313.7476</v>
      </c>
      <c r="G178" s="13" t="n">
        <v>1087334.6319</v>
      </c>
    </row>
    <row r="179">
      <c r="A179" s="11" t="inlineStr">
        <is>
          <t>Total Liabilities</t>
        </is>
      </c>
      <c r="B179" s="13" t="n">
        <v>6439378.8784</v>
      </c>
      <c r="C179" s="13" t="n">
        <v>8373743.9313</v>
      </c>
      <c r="D179" s="13" t="n">
        <v>8259934.3572</v>
      </c>
      <c r="E179" s="13" t="n">
        <v>10349568.168</v>
      </c>
      <c r="F179" s="13" t="n">
        <v>9714124.7019</v>
      </c>
      <c r="G179" s="13" t="n">
        <v>9524582.224200001</v>
      </c>
    </row>
    <row r="180">
      <c r="A180" s="11" t="inlineStr">
        <is>
          <t>Equity (€000)</t>
        </is>
      </c>
    </row>
    <row r="181">
      <c r="A181" s="11" t="inlineStr">
        <is>
          <t>Common Stock</t>
        </is>
      </c>
      <c r="B181" s="13" t="n">
        <v>126.5472</v>
      </c>
      <c r="C181" s="13" t="n">
        <v>129.3545</v>
      </c>
      <c r="D181" s="13" t="n">
        <v>119.7339</v>
      </c>
      <c r="E181" s="13" t="n">
        <v>129.876</v>
      </c>
      <c r="F181" s="13" t="n">
        <v>122.2137</v>
      </c>
      <c r="G181" s="13" t="n">
        <v>1217.0232</v>
      </c>
    </row>
    <row r="182">
      <c r="A182" s="11" t="inlineStr">
        <is>
          <t>Additional Paid In Capital</t>
        </is>
      </c>
      <c r="B182" s="13" t="n">
        <v>5632585.114</v>
      </c>
      <c r="C182" s="13" t="n">
        <v>5973374.9218</v>
      </c>
      <c r="D182" s="13" t="n">
        <v>5905445.0826</v>
      </c>
      <c r="E182" s="13" t="n">
        <v>7029340.368</v>
      </c>
      <c r="F182" s="13" t="n">
        <v>7175691.9378</v>
      </c>
      <c r="G182" s="13" t="n">
        <v>7674568.8318</v>
      </c>
    </row>
    <row r="183">
      <c r="A183" s="11" t="inlineStr">
        <is>
          <t>Retained Earnings</t>
        </is>
      </c>
      <c r="B183" s="13" t="n">
        <v>8727291.6172</v>
      </c>
      <c r="C183" s="13" t="n">
        <v>10277519.2311</v>
      </c>
      <c r="D183" s="13" t="n">
        <v>12295676.8176</v>
      </c>
      <c r="E183" s="13" t="n">
        <v>17495078.352</v>
      </c>
      <c r="F183" s="13" t="n">
        <v>20245293.0144</v>
      </c>
      <c r="G183" s="13" t="n">
        <v>23156400.2895</v>
      </c>
    </row>
    <row r="184">
      <c r="A184" s="11" t="inlineStr">
        <is>
          <t>Treasury Stock</t>
        </is>
      </c>
      <c r="B184" s="13" t="n">
        <v>-10196341.1524</v>
      </c>
      <c r="C184" s="13" t="n">
        <v>-11552595.9769</v>
      </c>
      <c r="D184" s="13" t="n">
        <v>-13100982.7473</v>
      </c>
      <c r="E184" s="13" t="n">
        <v>-18468394.692</v>
      </c>
      <c r="F184" s="13" t="n">
        <v>-19784241.3717</v>
      </c>
      <c r="G184" s="13" t="n">
        <v>-22740585.2739</v>
      </c>
    </row>
    <row r="185">
      <c r="A185" s="11" t="inlineStr">
        <is>
          <t>Comprehensive Inc. and Other</t>
        </is>
      </c>
      <c r="B185" s="13" t="n">
        <v>-56269.564</v>
      </c>
      <c r="C185" s="13" t="n">
        <v>-84045.63310000001</v>
      </c>
      <c r="D185" s="13" t="n">
        <v>-53694.3744</v>
      </c>
      <c r="E185" s="13" t="n">
        <v>-104262.936</v>
      </c>
      <c r="F185" s="13" t="n">
        <v>-92538.74340000001</v>
      </c>
      <c r="G185" s="13" t="n">
        <v>-121728.4524</v>
      </c>
    </row>
    <row r="186">
      <c r="A186" s="11" t="inlineStr">
        <is>
          <t xml:space="preserve">        Total Common Equity</t>
        </is>
      </c>
      <c r="B186" s="13" t="n">
        <v>4107392.562</v>
      </c>
      <c r="C186" s="13" t="n">
        <v>4614381.8974</v>
      </c>
      <c r="D186" s="13" t="n">
        <v>5046564.5124</v>
      </c>
      <c r="E186" s="13" t="n">
        <v>5951890.967999999</v>
      </c>
      <c r="F186" s="13" t="n">
        <v>7544327.0508</v>
      </c>
      <c r="G186" s="13" t="n">
        <v>7969872.4182</v>
      </c>
    </row>
    <row r="187">
      <c r="A187" s="11" t="inlineStr">
        <is>
          <t>Total Equity</t>
        </is>
      </c>
      <c r="B187" s="13" t="n">
        <v>4107392.562</v>
      </c>
      <c r="C187" s="13" t="n">
        <v>4614381.8974</v>
      </c>
      <c r="D187" s="13" t="n">
        <v>5046564.5124</v>
      </c>
      <c r="E187" s="13" t="n">
        <v>5951890.967999999</v>
      </c>
      <c r="F187" s="13" t="n">
        <v>7544327.0508</v>
      </c>
      <c r="G187" s="13" t="n">
        <v>7969872.4182</v>
      </c>
    </row>
    <row r="188">
      <c r="A188" s="11" t="inlineStr">
        <is>
          <t>Total Liabilities And Equity</t>
        </is>
      </c>
      <c r="B188" s="13" t="n">
        <v>10546771.4404</v>
      </c>
      <c r="C188" s="13" t="n">
        <v>12988125.8287</v>
      </c>
      <c r="D188" s="13" t="n">
        <v>13306498.8696</v>
      </c>
      <c r="E188" s="13" t="n">
        <v>16301459.136</v>
      </c>
      <c r="F188" s="13" t="n">
        <v>17258451.7527</v>
      </c>
      <c r="G188" s="13" t="n">
        <v>17494454.6424</v>
      </c>
    </row>
    <row r="189">
      <c r="A189" s="11" t="inlineStr">
        <is>
          <t>Supplemental Items (€)</t>
        </is>
      </c>
    </row>
    <row r="190">
      <c r="A190" s="11" t="inlineStr">
        <is>
          <t>ECS Total Shares Outstanding on Filing Date (actual)</t>
        </is>
      </c>
      <c r="B190" s="13" t="n">
        <v>1445329980</v>
      </c>
      <c r="C190" s="13" t="n">
        <v>1456252250</v>
      </c>
      <c r="D190" s="13" t="n">
        <v>1419536810</v>
      </c>
      <c r="E190" s="13" t="n">
        <v>1369877920</v>
      </c>
      <c r="F190" s="13" t="n">
        <v>1325117010</v>
      </c>
      <c r="G190" s="13" t="n">
        <v>1298760000</v>
      </c>
    </row>
    <row r="191">
      <c r="A191" s="11" t="inlineStr">
        <is>
          <t>ECS Total Common Shares Outstanding (actual)</t>
        </is>
      </c>
      <c r="B191" s="13" t="n">
        <v>1444330000</v>
      </c>
      <c r="C191" s="13" t="n">
        <v>1453310000</v>
      </c>
      <c r="D191" s="13" t="n">
        <v>1425010000</v>
      </c>
      <c r="E191" s="13" t="n">
        <v>1369750000</v>
      </c>
      <c r="F191" s="13" t="n">
        <v>1332970000</v>
      </c>
      <c r="G191" s="13" t="n">
        <v>1303770000</v>
      </c>
    </row>
    <row r="192">
      <c r="A192" s="11" t="inlineStr">
        <is>
          <t>Book Value per Share</t>
        </is>
      </c>
      <c r="B192" s="13" t="n">
        <v>2.8437968</v>
      </c>
      <c r="C192" s="13" t="n">
        <v>3.1749839</v>
      </c>
      <c r="D192" s="13" t="n">
        <v>3.541779</v>
      </c>
      <c r="E192" s="13" t="n">
        <v>4.345631999999999</v>
      </c>
      <c r="F192" s="13" t="n">
        <v>5.659505100000001</v>
      </c>
      <c r="G192" s="13" t="n">
        <v>6.113115</v>
      </c>
    </row>
    <row r="193">
      <c r="A193" s="11" t="inlineStr">
        <is>
          <t>Tangible Book Value</t>
        </is>
      </c>
      <c r="B193" s="13" t="n">
        <v>2612073.0584</v>
      </c>
      <c r="C193" s="13" t="n">
        <v>3139769.1446</v>
      </c>
      <c r="D193" s="13" t="n">
        <v>3688046.0997</v>
      </c>
      <c r="E193" s="13" t="n">
        <v>4419010.044</v>
      </c>
      <c r="F193" s="13" t="n">
        <v>5926270.959000001</v>
      </c>
      <c r="G193" s="13" t="n">
        <v>6322529.7873</v>
      </c>
    </row>
    <row r="194">
      <c r="A194" s="11" t="inlineStr">
        <is>
          <t>Tangible Book Value per Share</t>
        </is>
      </c>
      <c r="B194" s="13" t="n">
        <v>1.8085704</v>
      </c>
      <c r="C194" s="13" t="n">
        <v>2.1606662</v>
      </c>
      <c r="D194" s="13" t="n">
        <v>2.5880943</v>
      </c>
      <c r="E194" s="13" t="n">
        <v>3.226044</v>
      </c>
      <c r="F194" s="13" t="n">
        <v>4.4456382</v>
      </c>
      <c r="G194" s="13" t="n">
        <v>4.8494268</v>
      </c>
    </row>
    <row r="195">
      <c r="A195" s="11" t="inlineStr">
        <is>
          <t>Total Debt</t>
        </is>
      </c>
      <c r="B195" s="13" t="n">
        <v>3950248.1824</v>
      </c>
      <c r="C195" s="13" t="n">
        <v>5338410.2574</v>
      </c>
      <c r="D195" s="13" t="n">
        <v>4324970.1621</v>
      </c>
      <c r="E195" s="13" t="n">
        <v>4952876.244</v>
      </c>
      <c r="F195" s="13" t="n">
        <v>4823406.260100001</v>
      </c>
      <c r="G195" s="13" t="n">
        <v>4919470.965</v>
      </c>
    </row>
    <row r="196">
      <c r="A196" s="11" t="inlineStr">
        <is>
          <t>Net Debt</t>
        </is>
      </c>
      <c r="B196" s="13" t="n">
        <v>-822693.014</v>
      </c>
      <c r="C196" s="13" t="n">
        <v>-647805.5518</v>
      </c>
      <c r="D196" s="13" t="n">
        <v>-472034.5734000001</v>
      </c>
      <c r="E196" s="13" t="n">
        <v>1485346.308</v>
      </c>
      <c r="F196" s="13" t="n">
        <v>-80814.49830000001</v>
      </c>
      <c r="G196" s="13" t="n">
        <v>-538333.0398</v>
      </c>
    </row>
    <row r="197">
      <c r="A197" s="11" t="inlineStr">
        <is>
          <t>Debt Equiv. of Unfunded Proj. Benefit Obligation</t>
        </is>
      </c>
      <c r="B197" s="13" t="n">
        <v>181911.6</v>
      </c>
      <c r="C197" s="13" t="n">
        <v>196262</v>
      </c>
      <c r="D197" s="13" t="n">
        <v>248929.29</v>
      </c>
      <c r="E197" s="13" t="n">
        <v>265440</v>
      </c>
      <c r="F197" s="13" t="n">
        <v>292210.2</v>
      </c>
      <c r="G197" s="13" t="n">
        <v>359787.15</v>
      </c>
    </row>
    <row r="198">
      <c r="A198" s="11" t="inlineStr">
        <is>
          <t>Debt Equivalent Oper. Leases</t>
        </is>
      </c>
      <c r="B198" s="13" t="n">
        <v>197070.8335384575</v>
      </c>
      <c r="C198" s="13" t="n">
        <v>998314.9038276748</v>
      </c>
      <c r="D198" s="13" t="n">
        <v>1814968.497984406</v>
      </c>
      <c r="E198" s="13" t="n">
        <v>2330370.470007901</v>
      </c>
      <c r="F198" s="13" t="n">
        <v>1743005.787187528</v>
      </c>
      <c r="G198" s="13" t="n">
        <v>1306371.059076919</v>
      </c>
    </row>
    <row r="199">
      <c r="A199" s="11" t="inlineStr">
        <is>
          <t>Raw Materials Inventory</t>
        </is>
      </c>
      <c r="B199" s="13" t="n">
        <v>874175.7544</v>
      </c>
      <c r="C199" s="13" t="n">
        <v>1036585.4081</v>
      </c>
      <c r="D199" s="13" t="n">
        <v>1272240.5088</v>
      </c>
      <c r="E199" s="13" t="n">
        <v>2276612.52</v>
      </c>
      <c r="F199" s="13" t="n">
        <v>2937712.2732</v>
      </c>
      <c r="G199" s="13" t="n">
        <v>2726299.0287</v>
      </c>
    </row>
    <row r="200">
      <c r="A200" s="11" t="inlineStr">
        <is>
          <t>Work in Progress Inventory</t>
        </is>
      </c>
      <c r="B200" s="13" t="n">
        <v>153103.6572</v>
      </c>
      <c r="C200" s="13" t="n">
        <v>224094.6279</v>
      </c>
      <c r="D200" s="13" t="n">
        <v>327958.6878</v>
      </c>
      <c r="E200" s="13" t="n">
        <v>446837.904</v>
      </c>
      <c r="F200" s="13" t="n">
        <v>299203.9479</v>
      </c>
      <c r="G200" s="13" t="n">
        <v>265129.9974</v>
      </c>
    </row>
    <row r="201">
      <c r="A201" s="11" t="inlineStr">
        <is>
          <t>Finished Goods Inventory</t>
        </is>
      </c>
      <c r="B201" s="13" t="n">
        <v>326195.6204</v>
      </c>
      <c r="C201" s="13" t="n">
        <v>434331.3744</v>
      </c>
      <c r="D201" s="13" t="n">
        <v>651546.6696</v>
      </c>
      <c r="E201" s="13" t="n">
        <v>1036596.288</v>
      </c>
      <c r="F201" s="13" t="n">
        <v>1188680.7699</v>
      </c>
      <c r="G201" s="13" t="n">
        <v>945159.4431</v>
      </c>
    </row>
    <row r="202">
      <c r="A202" s="11" t="inlineStr">
        <is>
          <t>Land</t>
        </is>
      </c>
      <c r="B202" s="13" t="n">
        <v>40561.014</v>
      </c>
      <c r="C202" s="13" t="n">
        <v>52459.9405</v>
      </c>
      <c r="D202" s="13" t="n">
        <v>70903.4013</v>
      </c>
      <c r="E202" s="13" t="n">
        <v>80326.88399999999</v>
      </c>
      <c r="F202" s="13" t="n">
        <v>90731.26710000001</v>
      </c>
      <c r="G202" s="13" t="n">
        <v>152870.8068</v>
      </c>
    </row>
    <row r="203">
      <c r="A203" s="11" t="inlineStr">
        <is>
          <t>Buildings</t>
        </is>
      </c>
      <c r="B203" s="13" t="n">
        <v>583576.8068</v>
      </c>
      <c r="C203" s="13" t="n">
        <v>589557.6665000001</v>
      </c>
      <c r="D203" s="13" t="n">
        <v>703885.4553</v>
      </c>
      <c r="E203" s="13" t="n">
        <v>1065913.188</v>
      </c>
      <c r="F203" s="13" t="n">
        <v>1182485.5461</v>
      </c>
      <c r="G203" s="13" t="n">
        <v>1498695.0066</v>
      </c>
    </row>
    <row r="204">
      <c r="A204" s="11" t="inlineStr">
        <is>
          <t>Machinery</t>
        </is>
      </c>
      <c r="B204" s="13" t="n">
        <v>1153462.7884</v>
      </c>
      <c r="C204" s="13" t="n">
        <v>1263433.9487</v>
      </c>
      <c r="D204" s="13" t="n">
        <v>1344234.0747</v>
      </c>
      <c r="E204" s="13" t="n">
        <v>1741139.46</v>
      </c>
      <c r="F204" s="13" t="n">
        <v>1892767.6791</v>
      </c>
      <c r="G204" s="13" t="n">
        <v>2072904.0984</v>
      </c>
    </row>
    <row r="205">
      <c r="A205" s="11" t="inlineStr">
        <is>
          <t>Full Time Employees (actual)</t>
        </is>
      </c>
      <c r="B205" s="13" t="n">
        <v>10700</v>
      </c>
      <c r="C205" s="13" t="n">
        <v>11300</v>
      </c>
      <c r="D205" s="13" t="n">
        <v>14100</v>
      </c>
      <c r="E205" s="13" t="n">
        <v>17700</v>
      </c>
      <c r="F205" s="13" t="n">
        <v>17200</v>
      </c>
      <c r="G205" s="13" t="n">
        <v>17450</v>
      </c>
    </row>
    <row r="206">
      <c r="A206" s="11" t="inlineStr">
        <is>
          <t>Accumulated Allowance for Doubtful Accounts</t>
        </is>
      </c>
      <c r="B206" s="13" t="n">
        <v>4412.4548</v>
      </c>
      <c r="C206" s="13" t="n">
        <v>4875.3265</v>
      </c>
      <c r="D206" s="13" t="n">
        <v>4400.011500000001</v>
      </c>
      <c r="E206" s="13" t="n">
        <v>5314.487999999999</v>
      </c>
      <c r="F206" s="13" t="n">
        <v>4910.6016</v>
      </c>
      <c r="G206" s="13" t="n">
        <v>4925.024100000001</v>
      </c>
    </row>
    <row r="207">
      <c r="A207" s="11" t="inlineStr">
        <is>
          <t>CIQ Restatement Type Code</t>
        </is>
      </c>
      <c r="B207" s="11" t="inlineStr">
        <is>
          <t>NC</t>
        </is>
      </c>
      <c r="C207" s="11" t="inlineStr">
        <is>
          <t>NC</t>
        </is>
      </c>
      <c r="D207" s="11" t="inlineStr">
        <is>
          <t>NC</t>
        </is>
      </c>
      <c r="E207" s="11" t="inlineStr">
        <is>
          <t>NC</t>
        </is>
      </c>
      <c r="F207" s="11" t="inlineStr">
        <is>
          <t>NC</t>
        </is>
      </c>
      <c r="G207" s="11" t="inlineStr">
        <is>
          <t>NC</t>
        </is>
      </c>
    </row>
    <row r="208">
      <c r="A208" s="11" t="inlineStr">
        <is>
          <t>CIQ Calculation Type Code</t>
        </is>
      </c>
      <c r="B208" s="11" t="inlineStr">
        <is>
          <t>RUP</t>
        </is>
      </c>
      <c r="C208" s="11" t="inlineStr">
        <is>
          <t>RUP</t>
        </is>
      </c>
      <c r="D208" s="11" t="inlineStr">
        <is>
          <t>RUP</t>
        </is>
      </c>
      <c r="E208" s="11" t="inlineStr">
        <is>
          <t>RUP</t>
        </is>
      </c>
      <c r="F208" s="11" t="inlineStr">
        <is>
          <t>RUP</t>
        </is>
      </c>
      <c r="G208" s="11" t="inlineStr">
        <is>
          <t>REP</t>
        </is>
      </c>
    </row>
    <row r="209">
      <c r="A209" s="11" t="inlineStr">
        <is>
          <t>Loss Carry Forward Related Items (€000)</t>
        </is>
      </c>
    </row>
    <row r="210">
      <c r="A210" s="11" t="inlineStr">
        <is>
          <t>NOL Carryforward, After Five Years</t>
        </is>
      </c>
      <c r="B210" s="13" t="n">
        <v>147540.1302692278</v>
      </c>
      <c r="C210" s="13" t="n">
        <v>109002.5388461519</v>
      </c>
      <c r="D210" s="13" t="n">
        <v>100371.6976744136</v>
      </c>
      <c r="E210" s="13" t="n">
        <v>142590.9233463107</v>
      </c>
      <c r="F210" s="13" t="n">
        <v>176348.2469140653</v>
      </c>
      <c r="G210" s="13" t="n">
        <v>117062.9785384611</v>
      </c>
    </row>
    <row r="211">
      <c r="A211" s="11" t="inlineStr">
        <is>
          <t>NOL Carryforward, No Expiration</t>
        </is>
      </c>
      <c r="B211" s="11" t="inlineStr">
        <is>
          <t>NA</t>
        </is>
      </c>
      <c r="C211" s="11" t="inlineStr">
        <is>
          <t>NA</t>
        </is>
      </c>
      <c r="D211" s="11" t="inlineStr">
        <is>
          <t>NA</t>
        </is>
      </c>
      <c r="E211" s="11" t="inlineStr">
        <is>
          <t>NA</t>
        </is>
      </c>
      <c r="F211" s="13" t="n">
        <v>18754.3442187503</v>
      </c>
      <c r="G211" s="13" t="n">
        <v>21452.29938461531</v>
      </c>
    </row>
    <row r="212">
      <c r="A212" s="11" t="inlineStr">
        <is>
          <t>Total NOL Carryforward</t>
        </is>
      </c>
      <c r="B212" s="13" t="n">
        <v>147540.1302692278</v>
      </c>
      <c r="C212" s="13" t="n">
        <v>109002.5388461519</v>
      </c>
      <c r="D212" s="13" t="n">
        <v>100371.6976744136</v>
      </c>
      <c r="E212" s="13" t="n">
        <v>142590.9233463107</v>
      </c>
      <c r="F212" s="13" t="n">
        <v>195102.5911328156</v>
      </c>
      <c r="G212" s="13" t="n">
        <v>138515.2779230764</v>
      </c>
    </row>
    <row r="213">
      <c r="A213" s="11" t="inlineStr">
        <is>
          <t>Tax Benefit Carryforward, No Expiration</t>
        </is>
      </c>
      <c r="B213" s="13" t="n">
        <v>282631.8359999942</v>
      </c>
      <c r="C213" s="13" t="n">
        <v>325650.7384615327</v>
      </c>
      <c r="D213" s="13" t="n">
        <v>342873.7441860294</v>
      </c>
      <c r="E213" s="13" t="n">
        <v>414818.0252918499</v>
      </c>
      <c r="F213" s="13" t="n">
        <v>507419.8336328205</v>
      </c>
      <c r="G213" s="13" t="n">
        <v>543242.4951923058</v>
      </c>
    </row>
    <row r="214">
      <c r="A214" s="11" t="inlineStr">
        <is>
          <t>Total Tax Benefit Carryforward</t>
        </is>
      </c>
      <c r="B214" s="13" t="n">
        <v>282631.8359999942</v>
      </c>
      <c r="C214" s="13" t="n">
        <v>325650.7384615327</v>
      </c>
      <c r="D214" s="13" t="n">
        <v>342873.7441860294</v>
      </c>
      <c r="E214" s="13" t="n">
        <v>414818.0252918499</v>
      </c>
      <c r="F214" s="13" t="n">
        <v>507419.8336328205</v>
      </c>
      <c r="G214" s="13" t="n">
        <v>543242.4951923058</v>
      </c>
    </row>
    <row r="215">
      <c r="A215" s="11" t="inlineStr">
        <is>
          <t>Adoption of FIN 48 Related Items (€000)</t>
        </is>
      </c>
    </row>
    <row r="216">
      <c r="A216" s="11" t="inlineStr">
        <is>
          <t>Unrecog. Tax Benefits, Beginning of the Period</t>
        </is>
      </c>
      <c r="B216" s="13" t="n">
        <v>267740.1889834561</v>
      </c>
      <c r="C216" s="13" t="n">
        <v>380624.2014553779</v>
      </c>
      <c r="D216" s="13" t="n">
        <v>399721.6910852514</v>
      </c>
      <c r="E216" s="13" t="n">
        <v>502902.3037704536</v>
      </c>
      <c r="F216" s="13" t="n">
        <v>590736.0078246187</v>
      </c>
      <c r="G216" s="13" t="n">
        <v>591946.6121399979</v>
      </c>
    </row>
    <row r="217">
      <c r="A217" s="11" t="inlineStr">
        <is>
          <t>Additions Based on Tax Positions - Current Yr.</t>
        </is>
      </c>
      <c r="B217" s="13" t="n">
        <v>61269.04161922952</v>
      </c>
      <c r="C217" s="13" t="n">
        <v>60216.43988307587</v>
      </c>
      <c r="D217" s="13" t="n">
        <v>72729.65077519018</v>
      </c>
      <c r="E217" s="13" t="n">
        <v>84268.83995720273</v>
      </c>
      <c r="F217" s="13" t="n">
        <v>89575.91500195453</v>
      </c>
      <c r="G217" s="13" t="n">
        <v>106891.6296923073</v>
      </c>
    </row>
    <row r="218">
      <c r="A218" s="11" t="inlineStr">
        <is>
          <t>Additions for Tax Positions - Prior Yrs</t>
        </is>
      </c>
      <c r="B218" s="13" t="n">
        <v>69191.32419346012</v>
      </c>
      <c r="C218" s="13" t="n">
        <v>2900.100743076872</v>
      </c>
      <c r="D218" s="13" t="n">
        <v>13404.6947286815</v>
      </c>
      <c r="E218" s="13" t="n">
        <v>5739.129385214299</v>
      </c>
      <c r="F218" s="13" t="n">
        <v>5588.985948046963</v>
      </c>
      <c r="G218" s="11" t="inlineStr">
        <is>
          <t>NA</t>
        </is>
      </c>
    </row>
    <row r="219">
      <c r="A219" s="11" t="inlineStr">
        <is>
          <t>Reductions for Tax Positions - Prior Yrs</t>
        </is>
      </c>
      <c r="B219" s="13" t="n">
        <v>-1382.47644346151</v>
      </c>
      <c r="C219" s="13" t="n">
        <v>-3608.391099230706</v>
      </c>
      <c r="D219" s="13" t="n">
        <v>-2302.595503875854</v>
      </c>
      <c r="E219" s="13" t="n">
        <v>-25178.34499611023</v>
      </c>
      <c r="F219" s="13" t="n">
        <v>-4129.783145312565</v>
      </c>
      <c r="G219" s="13" t="n">
        <v>-11397.45871615381</v>
      </c>
    </row>
    <row r="220">
      <c r="A220" s="11" t="inlineStr">
        <is>
          <t>Settlements with Tax Authorities</t>
        </is>
      </c>
      <c r="B220" s="13" t="n">
        <v>-3247.986824999934</v>
      </c>
      <c r="C220" s="13" t="n">
        <v>-1660.818766153817</v>
      </c>
      <c r="D220" s="13" t="n">
        <v>-1209.99465116273</v>
      </c>
      <c r="E220" s="13" t="n">
        <v>-12812.77494163489</v>
      </c>
      <c r="F220" s="13" t="n">
        <v>-48070.44616640701</v>
      </c>
      <c r="G220" s="13" t="n">
        <v>-8828.730798461507</v>
      </c>
    </row>
    <row r="221">
      <c r="A221" s="11" t="inlineStr">
        <is>
          <t>Lapse of Statute of Limitations</t>
        </is>
      </c>
      <c r="B221" s="13" t="n">
        <v>-24700.47956307642</v>
      </c>
      <c r="C221" s="13" t="n">
        <v>-7260.202296922949</v>
      </c>
      <c r="D221" s="13" t="n">
        <v>-7090.585426356236</v>
      </c>
      <c r="E221" s="13" t="n">
        <v>-7117.123809338883</v>
      </c>
      <c r="F221" s="13" t="n">
        <v>-21149.35052382846</v>
      </c>
      <c r="G221" s="13" t="n">
        <v>-9352.092929999966</v>
      </c>
    </row>
    <row r="222">
      <c r="A222" s="11" t="inlineStr">
        <is>
          <t>Unrecog. Tax Benefits, End of the Period</t>
        </is>
      </c>
      <c r="B222" s="13" t="n">
        <v>368869.6119646078</v>
      </c>
      <c r="C222" s="13" t="n">
        <v>431211.3299192232</v>
      </c>
      <c r="D222" s="13" t="n">
        <v>475252.8610077283</v>
      </c>
      <c r="E222" s="13" t="n">
        <v>547802.0293657866</v>
      </c>
      <c r="F222" s="13" t="n">
        <v>612551.3289390722</v>
      </c>
      <c r="G222" s="13" t="n">
        <v>669259.9593876899</v>
      </c>
    </row>
    <row r="223">
      <c r="A223" s="11" t="inlineStr">
        <is>
          <t>Interest and Penalties Recog. on BS - Before Tax</t>
        </is>
      </c>
      <c r="B223" s="13" t="n">
        <v>16744.00765384581</v>
      </c>
      <c r="C223" s="13" t="n">
        <v>36364.33246153782</v>
      </c>
      <c r="D223" s="13" t="n">
        <v>45783.58139534655</v>
      </c>
      <c r="E223" s="13" t="n">
        <v>54303.45058366034</v>
      </c>
      <c r="F223" s="13" t="n">
        <v>71189.95968750112</v>
      </c>
      <c r="G223" s="13" t="n">
        <v>97737.41573076889</v>
      </c>
    </row>
    <row r="224">
      <c r="A224" s="11" t="inlineStr">
        <is>
          <t>Unrecog. Tax Benefit Impacting Effective Tax Rate</t>
        </is>
      </c>
      <c r="B224" s="13" t="n">
        <v>329620.2553846086</v>
      </c>
      <c r="C224" s="13" t="n">
        <v>383363.2859999933</v>
      </c>
      <c r="D224" s="13" t="n">
        <v>422953.0852712967</v>
      </c>
      <c r="E224" s="13" t="n">
        <v>478793.1688716196</v>
      </c>
      <c r="F224" s="13" t="n">
        <v>526365.5487109458</v>
      </c>
      <c r="G224" s="13" t="n">
        <v>575698.3446923057</v>
      </c>
    </row>
    <row r="225">
      <c r="A225" s="11" t="inlineStr">
        <is>
          <t>Fair Value Measurements (€000)</t>
        </is>
      </c>
    </row>
    <row r="226">
      <c r="A226" s="11" t="inlineStr">
        <is>
          <t>Level 1 Assets - Quoted Prices</t>
        </is>
      </c>
      <c r="B226" s="13" t="n">
        <v>1923090.3432</v>
      </c>
      <c r="C226" s="13" t="n">
        <v>2082365.6909</v>
      </c>
      <c r="D226" s="13" t="n">
        <v>2132687.6673</v>
      </c>
      <c r="E226" s="13" t="n">
        <v>765315.6599999999</v>
      </c>
      <c r="F226" s="13" t="n">
        <v>2043304.6338</v>
      </c>
      <c r="G226" s="13" t="n">
        <v>2373813.0846</v>
      </c>
    </row>
    <row r="227">
      <c r="A227" s="11" t="inlineStr">
        <is>
          <t>Level 2 Assets - Observable Prices</t>
        </is>
      </c>
      <c r="B227" s="13" t="n">
        <v>1360001.0008</v>
      </c>
      <c r="C227" s="13" t="n">
        <v>1320168.8324</v>
      </c>
      <c r="D227" s="13" t="n">
        <v>926120.7840000001</v>
      </c>
      <c r="E227" s="13" t="n">
        <v>128672.988</v>
      </c>
      <c r="F227" s="11" t="inlineStr">
        <is>
          <t>NA</t>
        </is>
      </c>
      <c r="G227" s="11" t="inlineStr">
        <is>
          <t>NA</t>
        </is>
      </c>
    </row>
    <row r="228">
      <c r="A228" s="11" t="inlineStr">
        <is>
          <t>Fair Value of Assets</t>
        </is>
      </c>
      <c r="B228" s="13" t="n">
        <v>3283091.344</v>
      </c>
      <c r="C228" s="13" t="n">
        <v>3402534.5233</v>
      </c>
      <c r="D228" s="13" t="n">
        <v>3058808.4513</v>
      </c>
      <c r="E228" s="13" t="n">
        <v>893988.6479999999</v>
      </c>
      <c r="F228" s="13" t="n">
        <v>2043304.6338</v>
      </c>
      <c r="G228" s="13" t="n">
        <v>2373813.0846</v>
      </c>
    </row>
    <row r="229">
      <c r="A229" s="11" t="inlineStr">
        <is>
          <t>Level 2 Liabilities - Observable Prices</t>
        </is>
      </c>
      <c r="B229" s="13" t="n">
        <v>7604.2564</v>
      </c>
      <c r="C229" s="11" t="inlineStr">
        <is>
          <t>NA</t>
        </is>
      </c>
      <c r="D229" s="11" t="inlineStr">
        <is>
          <t>NA</t>
        </is>
      </c>
      <c r="E229" s="11" t="inlineStr">
        <is>
          <t>NA</t>
        </is>
      </c>
      <c r="F229" s="11" t="inlineStr">
        <is>
          <t>NA</t>
        </is>
      </c>
      <c r="G229" s="11" t="inlineStr">
        <is>
          <t>NA</t>
        </is>
      </c>
    </row>
    <row r="230">
      <c r="A230" s="11" t="inlineStr">
        <is>
          <t>Fair Value of Liabilities</t>
        </is>
      </c>
      <c r="B230" s="13" t="n">
        <v>7604.2564</v>
      </c>
      <c r="C230" s="11" t="inlineStr">
        <is>
          <t>NA</t>
        </is>
      </c>
      <c r="D230" s="11" t="inlineStr">
        <is>
          <t>NA</t>
        </is>
      </c>
      <c r="E230" s="11" t="inlineStr">
        <is>
          <t>NA</t>
        </is>
      </c>
      <c r="F230" s="11" t="inlineStr">
        <is>
          <t>NA</t>
        </is>
      </c>
      <c r="G230" s="11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ASM International NV</t>
        </is>
      </c>
    </row>
    <row r="2">
      <c r="A2" s="15" t="inlineStr">
        <is>
          <t>(EUR 000)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4"/>
    <row r="5">
      <c r="A5" s="11" t="inlineStr">
        <is>
          <t>Operating cash %</t>
        </is>
      </c>
      <c r="B5" s="17" t="n">
        <v>0.02</v>
      </c>
      <c r="C5" s="17" t="n">
        <v>0.02</v>
      </c>
      <c r="D5" s="17" t="n">
        <v>0.02</v>
      </c>
      <c r="E5" s="17" t="n">
        <v>0.02</v>
      </c>
      <c r="F5" s="17" t="n">
        <v>0.02</v>
      </c>
      <c r="G5" s="17" t="n">
        <v>0.02</v>
      </c>
    </row>
    <row r="6">
      <c r="A6" s="11" t="inlineStr">
        <is>
          <t>Tax rate (effective)</t>
        </is>
      </c>
      <c r="B6" s="18">
        <f>IF(ISNUMBER('Input ASM'!B68),'Input ASM'!B68,0)</f>
        <v/>
      </c>
      <c r="C6" s="18">
        <f>IF(ISNUMBER('Input ASM'!C68),'Input ASM'!C68,0)</f>
        <v/>
      </c>
      <c r="D6" s="18">
        <f>IF(ISNUMBER('Input ASM'!D68),'Input ASM'!D68,0)</f>
        <v/>
      </c>
      <c r="E6" s="18">
        <f>IF(ISNUMBER('Input ASM'!E68),'Input ASM'!E68,0)</f>
        <v/>
      </c>
      <c r="F6" s="18">
        <f>IF(ISNUMBER('Input ASM'!F68),'Input ASM'!F68,0)</f>
        <v/>
      </c>
      <c r="G6" s="18">
        <f>IF(ISNUMBER('Input ASM'!G68),'Input ASM'!G68,0)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IF(ISNUMBER('Input ASM'!B21),'Input ASM'!B21,0)</f>
        <v/>
      </c>
      <c r="C9" s="21">
        <f>IF(ISNUMBER('Input ASM'!C21),'Input ASM'!C21,0)</f>
        <v/>
      </c>
      <c r="D9" s="21">
        <f>IF(ISNUMBER('Input ASM'!D21),'Input ASM'!D21,0)</f>
        <v/>
      </c>
      <c r="E9" s="21">
        <f>IF(ISNUMBER('Input ASM'!E21),'Input ASM'!E21,0)</f>
        <v/>
      </c>
      <c r="F9" s="21">
        <f>IF(ISNUMBER('Input ASM'!F21),'Input ASM'!F21,0)</f>
        <v/>
      </c>
      <c r="G9" s="21">
        <f>IF(ISNUMBER('Input ASM'!G21),'Input ASM'!G21,0)</f>
        <v/>
      </c>
    </row>
    <row r="10">
      <c r="A10" s="11" t="inlineStr">
        <is>
          <t>Cost of Sales</t>
        </is>
      </c>
      <c r="B10" s="21">
        <f>IF(ISNUMBER('Input ASM'!B23),'Input ASM'!B23,0)</f>
        <v/>
      </c>
      <c r="C10" s="21">
        <f>IF(ISNUMBER('Input ASM'!C23),'Input ASM'!C23,0)</f>
        <v/>
      </c>
      <c r="D10" s="21">
        <f>IF(ISNUMBER('Input ASM'!D23),'Input ASM'!D23,0)</f>
        <v/>
      </c>
      <c r="E10" s="21">
        <f>IF(ISNUMBER('Input ASM'!E23),'Input ASM'!E23,0)</f>
        <v/>
      </c>
      <c r="F10" s="21">
        <f>IF(ISNUMBER('Input ASM'!F23),'Input ASM'!F23,0)</f>
        <v/>
      </c>
      <c r="G10" s="21">
        <f>IF(ISNUMBER('Input ASM'!G23),'Input ASM'!G23,0)</f>
        <v/>
      </c>
    </row>
    <row r="11">
      <c r="A11" s="22" t="inlineStr">
        <is>
          <t>Gross Profit</t>
        </is>
      </c>
      <c r="B11" s="23">
        <f>B9-B10</f>
        <v/>
      </c>
      <c r="C11" s="23">
        <f>C9-C10</f>
        <v/>
      </c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</row>
    <row r="12">
      <c r="A12" s="11" t="inlineStr">
        <is>
          <t xml:space="preserve">  SG&amp;A</t>
        </is>
      </c>
      <c r="B12" s="21">
        <f>IF(ISNUMBER('Input ASM'!B26),'Input ASM'!B26,0)</f>
        <v/>
      </c>
      <c r="C12" s="21">
        <f>IF(ISNUMBER('Input ASM'!C26),'Input ASM'!C26,0)</f>
        <v/>
      </c>
      <c r="D12" s="21">
        <f>IF(ISNUMBER('Input ASM'!D26),'Input ASM'!D26,0)</f>
        <v/>
      </c>
      <c r="E12" s="21">
        <f>IF(ISNUMBER('Input ASM'!E26),'Input ASM'!E26,0)</f>
        <v/>
      </c>
      <c r="F12" s="21">
        <f>IF(ISNUMBER('Input ASM'!F26),'Input ASM'!F26,0)</f>
        <v/>
      </c>
      <c r="G12" s="21">
        <f>IF(ISNUMBER('Input ASM'!G26),'Input ASM'!G26,0)</f>
        <v/>
      </c>
    </row>
    <row r="13">
      <c r="A13" s="11" t="inlineStr">
        <is>
          <t xml:space="preserve">  R&amp;D</t>
        </is>
      </c>
      <c r="B13" s="21">
        <f>IF(ISNUMBER('Input ASM'!B27),'Input ASM'!B27,0)</f>
        <v/>
      </c>
      <c r="C13" s="21">
        <f>IF(ISNUMBER('Input ASM'!C27),'Input ASM'!C27,0)</f>
        <v/>
      </c>
      <c r="D13" s="21">
        <f>IF(ISNUMBER('Input ASM'!D27),'Input ASM'!D27,0)</f>
        <v/>
      </c>
      <c r="E13" s="21">
        <f>IF(ISNUMBER('Input ASM'!E27),'Input ASM'!E27,0)</f>
        <v/>
      </c>
      <c r="F13" s="21">
        <f>IF(ISNUMBER('Input ASM'!F27),'Input ASM'!F27,0)</f>
        <v/>
      </c>
      <c r="G13" s="21">
        <f>IF(ISNUMBER('Input ASM'!G27),'Input ASM'!G27,0)</f>
        <v/>
      </c>
    </row>
    <row r="14">
      <c r="A14" s="11" t="inlineStr">
        <is>
          <t xml:space="preserve">  Depreciation &amp; Amortization</t>
        </is>
      </c>
      <c r="B14" s="21">
        <f>IF(ISNUMBER('Input ASM'!B113),'Input ASM'!B113,0)</f>
        <v/>
      </c>
      <c r="C14" s="21">
        <f>IF(ISNUMBER('Input ASM'!C113),'Input ASM'!C113,0)</f>
        <v/>
      </c>
      <c r="D14" s="21">
        <f>IF(ISNUMBER('Input ASM'!D113),'Input ASM'!D113,0)</f>
        <v/>
      </c>
      <c r="E14" s="21">
        <f>IF(ISNUMBER('Input ASM'!E113),'Input ASM'!E113,0)</f>
        <v/>
      </c>
      <c r="F14" s="21">
        <f>IF(ISNUMBER('Input ASM'!F113),'Input ASM'!F113,0)</f>
        <v/>
      </c>
      <c r="G14" s="21">
        <f>IF(ISNUMBER('Input ASM'!G113),'Input ASM'!G113,0)</f>
        <v/>
      </c>
    </row>
    <row r="15">
      <c r="A15" s="11" t="inlineStr">
        <is>
          <t xml:space="preserve">  Other Operating Expense</t>
        </is>
      </c>
      <c r="B15" s="21">
        <f>IF(ISNUMBER('Input ASM'!B29),'Input ASM'!B29,0)</f>
        <v/>
      </c>
      <c r="C15" s="21">
        <f>IF(ISNUMBER('Input ASM'!C29),'Input ASM'!C29,0)</f>
        <v/>
      </c>
      <c r="D15" s="21">
        <f>IF(ISNUMBER('Input ASM'!D29),'Input ASM'!D29,0)</f>
        <v/>
      </c>
      <c r="E15" s="21">
        <f>IF(ISNUMBER('Input ASM'!E29),'Input ASM'!E29,0)</f>
        <v/>
      </c>
      <c r="F15" s="21">
        <f>IF(ISNUMBER('Input ASM'!F29),'Input ASM'!F29,0)</f>
        <v/>
      </c>
      <c r="G15" s="21">
        <f>IF(ISNUMBER('Input ASM'!G29),'Input ASM'!G29,0)</f>
        <v/>
      </c>
    </row>
    <row r="16">
      <c r="A16" s="24" t="inlineStr">
        <is>
          <t>Total Operating Expense</t>
        </is>
      </c>
      <c r="B16" s="25">
        <f>B10+B12+B13+B14+B15</f>
        <v/>
      </c>
      <c r="C16" s="25">
        <f>C10+C12+C13+C14+C15</f>
        <v/>
      </c>
      <c r="D16" s="25">
        <f>D10+D12+D13+D14+D15</f>
        <v/>
      </c>
      <c r="E16" s="25">
        <f>E10+E12+E13+E14+E15</f>
        <v/>
      </c>
      <c r="F16" s="25">
        <f>F10+F12+F13+F14+F15</f>
        <v/>
      </c>
      <c r="G16" s="25">
        <f>G10+G12+G13+G14+G15</f>
        <v/>
      </c>
    </row>
    <row r="17">
      <c r="A17" s="24" t="inlineStr">
        <is>
          <t>Recurring Operating Profit</t>
        </is>
      </c>
      <c r="B17" s="25">
        <f>B9-B16</f>
        <v/>
      </c>
      <c r="C17" s="25">
        <f>C9-C16</f>
        <v/>
      </c>
      <c r="D17" s="25">
        <f>D9-D16</f>
        <v/>
      </c>
      <c r="E17" s="25">
        <f>E9-E16</f>
        <v/>
      </c>
      <c r="F17" s="25">
        <f>F9-F16</f>
        <v/>
      </c>
      <c r="G17" s="25">
        <f>G9-G16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IF(ISNUMBER('Input ASM'!B39),'Input ASM'!B39,0)</f>
        <v/>
      </c>
      <c r="C20" s="21">
        <f>IF(ISNUMBER('Input ASM'!C39),'Input ASM'!C39,0)</f>
        <v/>
      </c>
      <c r="D20" s="21">
        <f>IF(ISNUMBER('Input ASM'!D39),'Input ASM'!D39,0)</f>
        <v/>
      </c>
      <c r="E20" s="21">
        <f>IF(ISNUMBER('Input ASM'!E39),'Input ASM'!E39,0)</f>
        <v/>
      </c>
      <c r="F20" s="21">
        <f>IF(ISNUMBER('Input ASM'!F39),'Input ASM'!F39,0)</f>
        <v/>
      </c>
      <c r="G20" s="21">
        <f>IF(ISNUMBER('Input ASM'!G39),'Input ASM'!G39,0)</f>
        <v/>
      </c>
    </row>
    <row r="21">
      <c r="A21" s="11" t="inlineStr">
        <is>
          <t xml:space="preserve">  Gain/Loss on Sale of Assets</t>
        </is>
      </c>
      <c r="B21" s="21">
        <f>IF(ISNUMBER('Input ASM'!B40),'Input ASM'!B40,0)</f>
        <v/>
      </c>
      <c r="C21" s="21">
        <f>IF(ISNUMBER('Input ASM'!C40),'Input ASM'!C40,0)</f>
        <v/>
      </c>
      <c r="D21" s="21">
        <f>IF(ISNUMBER('Input ASM'!D40),'Input ASM'!D40,0)</f>
        <v/>
      </c>
      <c r="E21" s="21">
        <f>IF(ISNUMBER('Input ASM'!E40),'Input ASM'!E40,0)</f>
        <v/>
      </c>
      <c r="F21" s="21">
        <f>IF(ISNUMBER('Input ASM'!F40),'Input ASM'!F40,0)</f>
        <v/>
      </c>
      <c r="G21" s="21">
        <f>IF(ISNUMBER('Input ASM'!G40),'Input ASM'!G40,0)</f>
        <v/>
      </c>
    </row>
    <row r="22">
      <c r="A22" s="11" t="inlineStr">
        <is>
          <t xml:space="preserve">  Asset Writedown</t>
        </is>
      </c>
      <c r="B22" s="21">
        <f>IF(ISNUMBER('Input ASM'!B41),'Input ASM'!B41,0)</f>
        <v/>
      </c>
      <c r="C22" s="21">
        <f>IF(ISNUMBER('Input ASM'!C41),'Input ASM'!C41,0)</f>
        <v/>
      </c>
      <c r="D22" s="21">
        <f>IF(ISNUMBER('Input ASM'!D41),'Input ASM'!D41,0)</f>
        <v/>
      </c>
      <c r="E22" s="21">
        <f>IF(ISNUMBER('Input ASM'!E41),'Input ASM'!E41,0)</f>
        <v/>
      </c>
      <c r="F22" s="21">
        <f>IF(ISNUMBER('Input ASM'!F41),'Input ASM'!F41,0)</f>
        <v/>
      </c>
      <c r="G22" s="21">
        <f>IF(ISNUMBER('Input ASM'!G41),'Input ASM'!G41,0)</f>
        <v/>
      </c>
    </row>
    <row r="23">
      <c r="A23" s="11" t="inlineStr">
        <is>
          <t xml:space="preserve">  Other Unusual Items</t>
        </is>
      </c>
      <c r="B23" s="21">
        <f>IF(ISNUMBER('Input ASM'!B42),'Input ASM'!B42,0)</f>
        <v/>
      </c>
      <c r="C23" s="21">
        <f>IF(ISNUMBER('Input ASM'!C42),'Input ASM'!C42,0)</f>
        <v/>
      </c>
      <c r="D23" s="21">
        <f>IF(ISNUMBER('Input ASM'!D42),'Input ASM'!D42,0)</f>
        <v/>
      </c>
      <c r="E23" s="21">
        <f>IF(ISNUMBER('Input ASM'!E42),'Input ASM'!E42,0)</f>
        <v/>
      </c>
      <c r="F23" s="21">
        <f>IF(ISNUMBER('Input ASM'!F42),'Input ASM'!F42,0)</f>
        <v/>
      </c>
      <c r="G23" s="21">
        <f>IF(ISNUMBER('Input ASM'!G42),'Input ASM'!G42,0)</f>
        <v/>
      </c>
    </row>
    <row r="24">
      <c r="A24" s="22" t="inlineStr">
        <is>
          <t>Total Non-recurring</t>
        </is>
      </c>
      <c r="B24" s="23">
        <f>SUM(B20:B23)</f>
        <v/>
      </c>
      <c r="C24" s="23">
        <f>SUM(C20:C23)</f>
        <v/>
      </c>
      <c r="D24" s="23">
        <f>SUM(D20:D23)</f>
        <v/>
      </c>
      <c r="E24" s="23">
        <f>SUM(E20:E23)</f>
        <v/>
      </c>
      <c r="F24" s="23">
        <f>SUM(F20:F23)</f>
        <v/>
      </c>
      <c r="G24" s="23">
        <f>SUM(G20:G23)</f>
        <v/>
      </c>
    </row>
    <row r="25">
      <c r="A25" s="24" t="inlineStr">
        <is>
          <t>EBIT</t>
        </is>
      </c>
      <c r="B25" s="25">
        <f>B17+B24</f>
        <v/>
      </c>
      <c r="C25" s="25">
        <f>C17+C24</f>
        <v/>
      </c>
      <c r="D25" s="25">
        <f>D17+D24</f>
        <v/>
      </c>
      <c r="E25" s="25">
        <f>E17+E24</f>
        <v/>
      </c>
      <c r="F25" s="25">
        <f>F17+F24</f>
        <v/>
      </c>
      <c r="G25" s="25">
        <f>G17+G24</f>
        <v/>
      </c>
    </row>
    <row r="26"/>
    <row r="27">
      <c r="A27" s="11" t="inlineStr">
        <is>
          <t xml:space="preserve">  Investment Income (Equity Method)</t>
        </is>
      </c>
      <c r="B27" s="21">
        <f>IF(ISNUMBER('Input ASM'!B36),'Input ASM'!B36,0)</f>
        <v/>
      </c>
      <c r="C27" s="21">
        <f>IF(ISNUMBER('Input ASM'!C36),'Input ASM'!C36,0)</f>
        <v/>
      </c>
      <c r="D27" s="21">
        <f>IF(ISNUMBER('Input ASM'!D36),'Input ASM'!D36,0)</f>
        <v/>
      </c>
      <c r="E27" s="21">
        <f>IF(ISNUMBER('Input ASM'!E36),'Input ASM'!E36,0)</f>
        <v/>
      </c>
      <c r="F27" s="21">
        <f>IF(ISNUMBER('Input ASM'!F36),'Input ASM'!F36,0)</f>
        <v/>
      </c>
      <c r="G27" s="21">
        <f>IF(ISNUMBER('Input ASM'!G36),'Input ASM'!G36,0)</f>
        <v/>
      </c>
    </row>
    <row r="28">
      <c r="A28" s="11" t="inlineStr">
        <is>
          <t xml:space="preserve">  Interest Income</t>
        </is>
      </c>
      <c r="B28" s="21">
        <f>IF(ISNUMBER('Input ASM'!B34),'Input ASM'!B34,0)</f>
        <v/>
      </c>
      <c r="C28" s="21">
        <f>IF(ISNUMBER('Input ASM'!C34),'Input ASM'!C34,0)</f>
        <v/>
      </c>
      <c r="D28" s="21">
        <f>IF(ISNUMBER('Input ASM'!D34),'Input ASM'!D34,0)</f>
        <v/>
      </c>
      <c r="E28" s="21">
        <f>IF(ISNUMBER('Input ASM'!E34),'Input ASM'!E34,0)</f>
        <v/>
      </c>
      <c r="F28" s="21">
        <f>IF(ISNUMBER('Input ASM'!F34),'Input ASM'!F34,0)</f>
        <v/>
      </c>
      <c r="G28" s="21">
        <f>IF(ISNUMBER('Input ASM'!G34),'Input ASM'!G34,0)</f>
        <v/>
      </c>
    </row>
    <row r="29">
      <c r="A29" s="11" t="inlineStr">
        <is>
          <t xml:space="preserve">  Interest Expense</t>
        </is>
      </c>
      <c r="B29" s="21">
        <f>IF(ISNUMBER('Input ASM'!B33),'Input ASM'!B33,0)</f>
        <v/>
      </c>
      <c r="C29" s="21">
        <f>IF(ISNUMBER('Input ASM'!C33),'Input ASM'!C33,0)</f>
        <v/>
      </c>
      <c r="D29" s="21">
        <f>IF(ISNUMBER('Input ASM'!D33),'Input ASM'!D33,0)</f>
        <v/>
      </c>
      <c r="E29" s="21">
        <f>IF(ISNUMBER('Input ASM'!E33),'Input ASM'!E33,0)</f>
        <v/>
      </c>
      <c r="F29" s="21">
        <f>IF(ISNUMBER('Input ASM'!F33),'Input ASM'!F33,0)</f>
        <v/>
      </c>
      <c r="G29" s="21">
        <f>IF(ISNUMBER('Input ASM'!G33),'Input ASM'!G33,0)</f>
        <v/>
      </c>
    </row>
    <row r="30">
      <c r="A30" s="11" t="inlineStr">
        <is>
          <t xml:space="preserve">  FX Gains/(Losses)</t>
        </is>
      </c>
      <c r="B30" s="21">
        <f>IF(ISNUMBER('Input ASM'!B37),'Input ASM'!B37,0)</f>
        <v/>
      </c>
      <c r="C30" s="21">
        <f>IF(ISNUMBER('Input ASM'!C37),'Input ASM'!C37,0)</f>
        <v/>
      </c>
      <c r="D30" s="21">
        <f>IF(ISNUMBER('Input ASM'!D37),'Input ASM'!D37,0)</f>
        <v/>
      </c>
      <c r="E30" s="21">
        <f>IF(ISNUMBER('Input ASM'!E37),'Input ASM'!E37,0)</f>
        <v/>
      </c>
      <c r="F30" s="21">
        <f>IF(ISNUMBER('Input ASM'!F37),'Input ASM'!F37,0)</f>
        <v/>
      </c>
      <c r="G30" s="21">
        <f>IF(ISNUMBER('Input ASM'!G37),'Input ASM'!G37,0)</f>
        <v/>
      </c>
    </row>
    <row r="31">
      <c r="A31" s="22" t="inlineStr">
        <is>
          <t>Profit Before Tax</t>
        </is>
      </c>
      <c r="B31" s="23">
        <f>B25+B27+B28+B29+B30</f>
        <v/>
      </c>
      <c r="C31" s="23">
        <f>C25+C27+C28+C29+C30</f>
        <v/>
      </c>
      <c r="D31" s="23">
        <f>D25+D27+D28+D29+D30</f>
        <v/>
      </c>
      <c r="E31" s="23">
        <f>E25+E27+E28+E29+E30</f>
        <v/>
      </c>
      <c r="F31" s="23">
        <f>F25+F27+F28+F29+F30</f>
        <v/>
      </c>
      <c r="G31" s="23">
        <f>G25+G27+G28+G29+G30</f>
        <v/>
      </c>
    </row>
    <row r="32">
      <c r="A32" s="11" t="inlineStr">
        <is>
          <t xml:space="preserve">  Tax Expense</t>
        </is>
      </c>
      <c r="B32" s="21">
        <f>IF(ISNUMBER('Input ASM'!B45),'Input ASM'!B45,0)</f>
        <v/>
      </c>
      <c r="C32" s="21">
        <f>IF(ISNUMBER('Input ASM'!C45),'Input ASM'!C45,0)</f>
        <v/>
      </c>
      <c r="D32" s="21">
        <f>IF(ISNUMBER('Input ASM'!D45),'Input ASM'!D45,0)</f>
        <v/>
      </c>
      <c r="E32" s="21">
        <f>IF(ISNUMBER('Input ASM'!E45),'Input ASM'!E45,0)</f>
        <v/>
      </c>
      <c r="F32" s="21">
        <f>IF(ISNUMBER('Input ASM'!F45),'Input ASM'!F45,0)</f>
        <v/>
      </c>
      <c r="G32" s="21">
        <f>IF(ISNUMBER('Input ASM'!G45),'Input ASM'!G45,0)</f>
        <v/>
      </c>
    </row>
    <row r="33">
      <c r="A33" s="26" t="inlineStr">
        <is>
          <t>Net Income</t>
        </is>
      </c>
      <c r="B33" s="27">
        <f>B31-B32</f>
        <v/>
      </c>
      <c r="C33" s="27">
        <f>C31-C32</f>
        <v/>
      </c>
      <c r="D33" s="27">
        <f>D31-D32</f>
        <v/>
      </c>
      <c r="E33" s="27">
        <f>E31-E32</f>
        <v/>
      </c>
      <c r="F33" s="27">
        <f>F31-F32</f>
        <v/>
      </c>
      <c r="G33" s="27">
        <f>G31-G32</f>
        <v/>
      </c>
    </row>
    <row r="34"/>
    <row r="35">
      <c r="A35" s="11" t="inlineStr">
        <is>
          <t>Effective Tax Rate</t>
        </is>
      </c>
      <c r="B35" s="28">
        <f>IF(B31&lt;&gt;0,B32/B31,0)</f>
        <v/>
      </c>
      <c r="C35" s="28">
        <f>IF(C31&lt;&gt;0,C32/C31,0)</f>
        <v/>
      </c>
      <c r="D35" s="28">
        <f>IF(D31&lt;&gt;0,D32/D31,0)</f>
        <v/>
      </c>
      <c r="E35" s="28">
        <f>IF(E31&lt;&gt;0,E32/E31,0)</f>
        <v/>
      </c>
      <c r="F35" s="28">
        <f>IF(F31&lt;&gt;0,F32/F31,0)</f>
        <v/>
      </c>
      <c r="G35" s="28">
        <f>IF(G31&lt;&gt;0,G32/G31,0)</f>
        <v/>
      </c>
    </row>
    <row r="36">
      <c r="A36" s="22" t="inlineStr">
        <is>
          <t>NOPAT</t>
        </is>
      </c>
      <c r="B36" s="23">
        <f>B17*(1-B35)</f>
        <v/>
      </c>
      <c r="C36" s="23">
        <f>C17*(1-C35)</f>
        <v/>
      </c>
      <c r="D36" s="23">
        <f>D17*(1-D35)</f>
        <v/>
      </c>
      <c r="E36" s="23">
        <f>E17*(1-E35)</f>
        <v/>
      </c>
      <c r="F36" s="23">
        <f>F17*(1-F35)</f>
        <v/>
      </c>
      <c r="G36" s="23">
        <f>G17*(1-G35)</f>
        <v/>
      </c>
    </row>
    <row r="37"/>
    <row r="38">
      <c r="A38" s="11" t="inlineStr">
        <is>
          <t>Shares Outstanding (diluted)</t>
        </is>
      </c>
      <c r="B38" s="21">
        <f>IF(ISNUMBER('Input ASM'!B57),'Input ASM'!B57,0)</f>
        <v/>
      </c>
      <c r="C38" s="21">
        <f>IF(ISNUMBER('Input ASM'!C57),'Input ASM'!C57,0)</f>
        <v/>
      </c>
      <c r="D38" s="21">
        <f>IF(ISNUMBER('Input ASM'!D57),'Input ASM'!D57,0)</f>
        <v/>
      </c>
      <c r="E38" s="21">
        <f>IF(ISNUMBER('Input ASM'!E57),'Input ASM'!E57,0)</f>
        <v/>
      </c>
      <c r="F38" s="21">
        <f>IF(ISNUMBER('Input ASM'!F57),'Input ASM'!F57,0)</f>
        <v/>
      </c>
      <c r="G38" s="21">
        <f>IF(ISNUMBER('Input ASM'!G57),'Input ASM'!G57,0)</f>
        <v/>
      </c>
    </row>
    <row r="39">
      <c r="A39" s="11" t="inlineStr">
        <is>
          <t>EPS (diluted)</t>
        </is>
      </c>
      <c r="B39" s="29">
        <f>IF(B38&lt;&gt;0,B33/B38*1000,0)</f>
        <v/>
      </c>
      <c r="C39" s="29">
        <f>IF(C38&lt;&gt;0,C33/C38*1000,0)</f>
        <v/>
      </c>
      <c r="D39" s="29">
        <f>IF(D38&lt;&gt;0,D33/D38*1000,0)</f>
        <v/>
      </c>
      <c r="E39" s="29">
        <f>IF(E38&lt;&gt;0,E33/E38*1000,0)</f>
        <v/>
      </c>
      <c r="F39" s="29">
        <f>IF(F38&lt;&gt;0,F33/F38*1000,0)</f>
        <v/>
      </c>
      <c r="G39" s="29">
        <f>IF(G38&lt;&gt;0,G33/G38*1000,0)</f>
        <v/>
      </c>
    </row>
    <row r="40">
      <c r="A40" s="11" t="inlineStr">
        <is>
          <t>Dividends per Share</t>
        </is>
      </c>
      <c r="B40" s="30">
        <f>IF(ISNUMBER('Input ASM'!B60),'Input ASM'!B60,0)</f>
        <v/>
      </c>
      <c r="C40" s="30">
        <f>IF(ISNUMBER('Input ASM'!C60),'Input ASM'!C60,0)</f>
        <v/>
      </c>
      <c r="D40" s="30">
        <f>IF(ISNUMBER('Input ASM'!D60),'Input ASM'!D60,0)</f>
        <v/>
      </c>
      <c r="E40" s="30">
        <f>IF(ISNUMBER('Input ASM'!E60),'Input ASM'!E60,0)</f>
        <v/>
      </c>
      <c r="F40" s="30">
        <f>IF(ISNUMBER('Input ASM'!F60),'Input ASM'!F60,0)</f>
        <v/>
      </c>
      <c r="G40" s="30">
        <f>IF(ISNUMBER('Input ASM'!G60),'Input ASM'!G60,0)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IF(ISNUMBER('Input ASM'!B167),'Input ASM'!B167,0)</f>
        <v/>
      </c>
      <c r="C45" s="21">
        <f>IF(ISNUMBER('Input ASM'!C167),'Input ASM'!C167,0)</f>
        <v/>
      </c>
      <c r="D45" s="21">
        <f>IF(ISNUMBER('Input ASM'!D167),'Input ASM'!D167,0)</f>
        <v/>
      </c>
      <c r="E45" s="21">
        <f>IF(ISNUMBER('Input ASM'!E167),'Input ASM'!E167,0)</f>
        <v/>
      </c>
      <c r="F45" s="21">
        <f>IF(ISNUMBER('Input ASM'!F167),'Input ASM'!F167,0)</f>
        <v/>
      </c>
      <c r="G45" s="21">
        <f>IF(ISNUMBER('Input ASM'!G167),'Input ASM'!G167,0)</f>
        <v/>
      </c>
    </row>
    <row r="46">
      <c r="A46" s="11" t="inlineStr">
        <is>
          <t xml:space="preserve">  + Other Receivables</t>
        </is>
      </c>
      <c r="B46" s="21">
        <f>IF(ISNUMBER('Input ASM'!B168),'Input ASM'!B168,0)</f>
        <v/>
      </c>
      <c r="C46" s="21">
        <f>IF(ISNUMBER('Input ASM'!C168),'Input ASM'!C168,0)</f>
        <v/>
      </c>
      <c r="D46" s="21">
        <f>IF(ISNUMBER('Input ASM'!D168),'Input ASM'!D168,0)</f>
        <v/>
      </c>
      <c r="E46" s="21">
        <f>IF(ISNUMBER('Input ASM'!E168),'Input ASM'!E168,0)</f>
        <v/>
      </c>
      <c r="F46" s="21">
        <f>IF(ISNUMBER('Input ASM'!F168),'Input ASM'!F168,0)</f>
        <v/>
      </c>
      <c r="G46" s="21">
        <f>IF(ISNUMBER('Input ASM'!G168),'Input ASM'!G168,0)</f>
        <v/>
      </c>
    </row>
    <row r="47">
      <c r="A47" s="11" t="inlineStr">
        <is>
          <t xml:space="preserve">  + Inventories</t>
        </is>
      </c>
      <c r="B47" s="21">
        <f>IF(ISNUMBER('Input ASM'!B170),'Input ASM'!B170,0)</f>
        <v/>
      </c>
      <c r="C47" s="21">
        <f>IF(ISNUMBER('Input ASM'!C170),'Input ASM'!C170,0)</f>
        <v/>
      </c>
      <c r="D47" s="21">
        <f>IF(ISNUMBER('Input ASM'!D170),'Input ASM'!D170,0)</f>
        <v/>
      </c>
      <c r="E47" s="21">
        <f>IF(ISNUMBER('Input ASM'!E170),'Input ASM'!E170,0)</f>
        <v/>
      </c>
      <c r="F47" s="21">
        <f>IF(ISNUMBER('Input ASM'!F170),'Input ASM'!F170,0)</f>
        <v/>
      </c>
      <c r="G47" s="21">
        <f>IF(ISNUMBER('Input ASM'!G170),'Input ASM'!G170,0)</f>
        <v/>
      </c>
    </row>
    <row r="48">
      <c r="A48" s="11" t="inlineStr">
        <is>
          <t xml:space="preserve">  + Prepaid &amp; Other CA</t>
        </is>
      </c>
      <c r="B48" s="21">
        <f>IF(ISNUMBER('Input ASM'!B171),'Input ASM'!B171,0)+IF(ISNUMBER('Input ASM'!B172),'Input ASM'!B172,0)</f>
        <v/>
      </c>
      <c r="C48" s="21">
        <f>IF(ISNUMBER('Input ASM'!C171),'Input ASM'!C171,0)+IF(ISNUMBER('Input ASM'!C172),'Input ASM'!C172,0)</f>
        <v/>
      </c>
      <c r="D48" s="21">
        <f>IF(ISNUMBER('Input ASM'!D171),'Input ASM'!D171,0)+IF(ISNUMBER('Input ASM'!D172),'Input ASM'!D172,0)</f>
        <v/>
      </c>
      <c r="E48" s="21">
        <f>IF(ISNUMBER('Input ASM'!E171),'Input ASM'!E171,0)+IF(ISNUMBER('Input ASM'!E172),'Input ASM'!E172,0)</f>
        <v/>
      </c>
      <c r="F48" s="21">
        <f>IF(ISNUMBER('Input ASM'!F171),'Input ASM'!F171,0)+IF(ISNUMBER('Input ASM'!F172),'Input ASM'!F172,0)</f>
        <v/>
      </c>
      <c r="G48" s="21">
        <f>IF(ISNUMBER('Input ASM'!G171),'Input ASM'!G171,0)+IF(ISNUMBER('Input ASM'!G172),'Input ASM'!G172,0)</f>
        <v/>
      </c>
    </row>
    <row r="49">
      <c r="A49" s="11" t="inlineStr">
        <is>
          <t xml:space="preserve">  - Accounts Payable</t>
        </is>
      </c>
      <c r="B49" s="21">
        <f>IF(ISNUMBER('Input ASM'!B185),'Input ASM'!B185,0)</f>
        <v/>
      </c>
      <c r="C49" s="21">
        <f>IF(ISNUMBER('Input ASM'!C185),'Input ASM'!C185,0)</f>
        <v/>
      </c>
      <c r="D49" s="21">
        <f>IF(ISNUMBER('Input ASM'!D185),'Input ASM'!D185,0)</f>
        <v/>
      </c>
      <c r="E49" s="21">
        <f>IF(ISNUMBER('Input ASM'!E185),'Input ASM'!E185,0)</f>
        <v/>
      </c>
      <c r="F49" s="21">
        <f>IF(ISNUMBER('Input ASM'!F185),'Input ASM'!F185,0)</f>
        <v/>
      </c>
      <c r="G49" s="21">
        <f>IF(ISNUMBER('Input ASM'!G185),'Input ASM'!G185,0)</f>
        <v/>
      </c>
    </row>
    <row r="50">
      <c r="A50" s="11" t="inlineStr">
        <is>
          <t xml:space="preserve">  - Accrued Expenses</t>
        </is>
      </c>
      <c r="B50" s="21">
        <f>IF(ISNUMBER('Input ASM'!B186),'Input ASM'!B186,0)</f>
        <v/>
      </c>
      <c r="C50" s="21">
        <f>IF(ISNUMBER('Input ASM'!C186),'Input ASM'!C186,0)</f>
        <v/>
      </c>
      <c r="D50" s="21">
        <f>IF(ISNUMBER('Input ASM'!D186),'Input ASM'!D186,0)</f>
        <v/>
      </c>
      <c r="E50" s="21">
        <f>IF(ISNUMBER('Input ASM'!E186),'Input ASM'!E186,0)</f>
        <v/>
      </c>
      <c r="F50" s="21">
        <f>IF(ISNUMBER('Input ASM'!F186),'Input ASM'!F186,0)</f>
        <v/>
      </c>
      <c r="G50" s="21">
        <f>IF(ISNUMBER('Input ASM'!G186),'Input ASM'!G186,0)</f>
        <v/>
      </c>
    </row>
    <row r="51">
      <c r="A51" s="11" t="inlineStr">
        <is>
          <t xml:space="preserve">  - Unearned Revenue / Contract Liabilities</t>
        </is>
      </c>
      <c r="B51" s="21">
        <f>IF(ISNUMBER('Input ASM'!B189),'Input ASM'!B189,0)</f>
        <v/>
      </c>
      <c r="C51" s="21">
        <f>IF(ISNUMBER('Input ASM'!C189),'Input ASM'!C189,0)</f>
        <v/>
      </c>
      <c r="D51" s="21">
        <f>IF(ISNUMBER('Input ASM'!D189),'Input ASM'!D189,0)</f>
        <v/>
      </c>
      <c r="E51" s="21">
        <f>IF(ISNUMBER('Input ASM'!E189),'Input ASM'!E189,0)</f>
        <v/>
      </c>
      <c r="F51" s="21">
        <f>IF(ISNUMBER('Input ASM'!F189),'Input ASM'!F189,0)</f>
        <v/>
      </c>
      <c r="G51" s="21">
        <f>IF(ISNUMBER('Input ASM'!G189),'Input ASM'!G189,0)</f>
        <v/>
      </c>
    </row>
    <row r="52">
      <c r="A52" s="11" t="inlineStr">
        <is>
          <t xml:space="preserve">  - Income Taxes Payable</t>
        </is>
      </c>
      <c r="B52" s="21">
        <f>IF(ISNUMBER('Input ASM'!B188),'Input ASM'!B188,0)</f>
        <v/>
      </c>
      <c r="C52" s="21">
        <f>IF(ISNUMBER('Input ASM'!C188),'Input ASM'!C188,0)</f>
        <v/>
      </c>
      <c r="D52" s="21">
        <f>IF(ISNUMBER('Input ASM'!D188),'Input ASM'!D188,0)</f>
        <v/>
      </c>
      <c r="E52" s="21">
        <f>IF(ISNUMBER('Input ASM'!E188),'Input ASM'!E188,0)</f>
        <v/>
      </c>
      <c r="F52" s="21">
        <f>IF(ISNUMBER('Input ASM'!F188),'Input ASM'!F188,0)</f>
        <v/>
      </c>
      <c r="G52" s="21">
        <f>IF(ISNUMBER('Input ASM'!G188),'Input ASM'!G188,0)</f>
        <v/>
      </c>
    </row>
    <row r="53">
      <c r="A53" s="11" t="inlineStr">
        <is>
          <t xml:space="preserve">  - Other Current Liabilities</t>
        </is>
      </c>
      <c r="B53" s="21">
        <f>IF(ISNUMBER('Input ASM'!B190),'Input ASM'!B190,0)</f>
        <v/>
      </c>
      <c r="C53" s="21">
        <f>IF(ISNUMBER('Input ASM'!C190),'Input ASM'!C190,0)</f>
        <v/>
      </c>
      <c r="D53" s="21">
        <f>IF(ISNUMBER('Input ASM'!D190),'Input ASM'!D190,0)</f>
        <v/>
      </c>
      <c r="E53" s="21">
        <f>IF(ISNUMBER('Input ASM'!E190),'Input ASM'!E190,0)</f>
        <v/>
      </c>
      <c r="F53" s="21">
        <f>IF(ISNUMBER('Input ASM'!F190),'Input ASM'!F190,0)</f>
        <v/>
      </c>
      <c r="G53" s="21">
        <f>IF(ISNUMBER('Input ASM'!G190),'Input ASM'!G190,0)</f>
        <v/>
      </c>
    </row>
    <row r="54">
      <c r="A54" s="24">
        <f> Operating Working Capital</f>
        <v/>
      </c>
      <c r="B54" s="25">
        <f>B45+B46+B47+B48-B49-B50-B51-B52-B53</f>
        <v/>
      </c>
      <c r="C54" s="25">
        <f>C45+C46+C47+C48-C49-C50-C51-C52-C53</f>
        <v/>
      </c>
      <c r="D54" s="25">
        <f>D45+D46+D47+D48-D49-D50-D51-D52-D53</f>
        <v/>
      </c>
      <c r="E54" s="25">
        <f>E45+E46+E47+E48-E49-E50-E51-E52-E53</f>
        <v/>
      </c>
      <c r="F54" s="25">
        <f>F45+F46+F47+F48-F49-F50-F51-F52-F53</f>
        <v/>
      </c>
      <c r="G54" s="25">
        <f>G45+G46+G47+G48-G49-G50-G51-G52-G53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IF(ISNUMBER('Input ASM'!B176),'Input ASM'!B176,0)</f>
        <v/>
      </c>
      <c r="C57" s="21">
        <f>IF(ISNUMBER('Input ASM'!C176),'Input ASM'!C176,0)</f>
        <v/>
      </c>
      <c r="D57" s="21">
        <f>IF(ISNUMBER('Input ASM'!D176),'Input ASM'!D176,0)</f>
        <v/>
      </c>
      <c r="E57" s="21">
        <f>IF(ISNUMBER('Input ASM'!E176),'Input ASM'!E176,0)</f>
        <v/>
      </c>
      <c r="F57" s="21">
        <f>IF(ISNUMBER('Input ASM'!F176),'Input ASM'!F176,0)</f>
        <v/>
      </c>
      <c r="G57" s="21">
        <f>IF(ISNUMBER('Input ASM'!G176),'Input ASM'!G176,0)</f>
        <v/>
      </c>
    </row>
    <row r="58">
      <c r="A58" s="11" t="inlineStr">
        <is>
          <t xml:space="preserve">  + Goodwill</t>
        </is>
      </c>
      <c r="B58" s="21">
        <f>IF(ISNUMBER('Input ASM'!B178),'Input ASM'!B178,0)</f>
        <v/>
      </c>
      <c r="C58" s="21">
        <f>IF(ISNUMBER('Input ASM'!C178),'Input ASM'!C178,0)</f>
        <v/>
      </c>
      <c r="D58" s="21">
        <f>IF(ISNUMBER('Input ASM'!D178),'Input ASM'!D178,0)</f>
        <v/>
      </c>
      <c r="E58" s="21">
        <f>IF(ISNUMBER('Input ASM'!E178),'Input ASM'!E178,0)</f>
        <v/>
      </c>
      <c r="F58" s="21">
        <f>IF(ISNUMBER('Input ASM'!F178),'Input ASM'!F178,0)</f>
        <v/>
      </c>
      <c r="G58" s="21">
        <f>IF(ISNUMBER('Input ASM'!G178),'Input ASM'!G178,0)</f>
        <v/>
      </c>
    </row>
    <row r="59">
      <c r="A59" s="11" t="inlineStr">
        <is>
          <t xml:space="preserve">  + Other Intangible Assets</t>
        </is>
      </c>
      <c r="B59" s="21">
        <f>IF(ISNUMBER('Input ASM'!B179),'Input ASM'!B179,0)</f>
        <v/>
      </c>
      <c r="C59" s="21">
        <f>IF(ISNUMBER('Input ASM'!C179),'Input ASM'!C179,0)</f>
        <v/>
      </c>
      <c r="D59" s="21">
        <f>IF(ISNUMBER('Input ASM'!D179),'Input ASM'!D179,0)</f>
        <v/>
      </c>
      <c r="E59" s="21">
        <f>IF(ISNUMBER('Input ASM'!E179),'Input ASM'!E179,0)</f>
        <v/>
      </c>
      <c r="F59" s="21">
        <f>IF(ISNUMBER('Input ASM'!F179),'Input ASM'!F179,0)</f>
        <v/>
      </c>
      <c r="G59" s="21">
        <f>IF(ISNUMBER('Input ASM'!G179),'Input ASM'!G179,0)</f>
        <v/>
      </c>
    </row>
    <row r="60">
      <c r="A60" s="11" t="inlineStr">
        <is>
          <t xml:space="preserve">  + Deferred Tax Assets</t>
        </is>
      </c>
      <c r="B60" s="21">
        <f>IF(ISNUMBER('Input ASM'!B180),'Input ASM'!B180,0)</f>
        <v/>
      </c>
      <c r="C60" s="21">
        <f>IF(ISNUMBER('Input ASM'!C180),'Input ASM'!C180,0)</f>
        <v/>
      </c>
      <c r="D60" s="21">
        <f>IF(ISNUMBER('Input ASM'!D180),'Input ASM'!D180,0)</f>
        <v/>
      </c>
      <c r="E60" s="21">
        <f>IF(ISNUMBER('Input ASM'!E180),'Input ASM'!E180,0)</f>
        <v/>
      </c>
      <c r="F60" s="21">
        <f>IF(ISNUMBER('Input ASM'!F180),'Input ASM'!F180,0)</f>
        <v/>
      </c>
      <c r="G60" s="21">
        <f>IF(ISNUMBER('Input ASM'!G180),'Input ASM'!G180,0)</f>
        <v/>
      </c>
    </row>
    <row r="61">
      <c r="A61" s="11" t="inlineStr">
        <is>
          <t xml:space="preserve">  + Deferred Charges &amp; LT Intangibles</t>
        </is>
      </c>
      <c r="B61" s="21">
        <f>IF(ISNUMBER('Input ASM'!B181),'Input ASM'!B181,0)</f>
        <v/>
      </c>
      <c r="C61" s="21">
        <f>IF(ISNUMBER('Input ASM'!C181),'Input ASM'!C181,0)</f>
        <v/>
      </c>
      <c r="D61" s="21">
        <f>IF(ISNUMBER('Input ASM'!D181),'Input ASM'!D181,0)</f>
        <v/>
      </c>
      <c r="E61" s="21">
        <f>IF(ISNUMBER('Input ASM'!E181),'Input ASM'!E181,0)</f>
        <v/>
      </c>
      <c r="F61" s="21">
        <f>IF(ISNUMBER('Input ASM'!F181),'Input ASM'!F181,0)</f>
        <v/>
      </c>
      <c r="G61" s="21">
        <f>IF(ISNUMBER('Input ASM'!G181),'Input ASM'!G181,0)</f>
        <v/>
      </c>
    </row>
    <row r="62">
      <c r="A62" s="11" t="inlineStr">
        <is>
          <t xml:space="preserve">  + Other Non-Current Assets</t>
        </is>
      </c>
      <c r="B62" s="21">
        <f>IF(ISNUMBER('Input ASM'!B182),'Input ASM'!B182,0)</f>
        <v/>
      </c>
      <c r="C62" s="21">
        <f>IF(ISNUMBER('Input ASM'!C182),'Input ASM'!C182,0)</f>
        <v/>
      </c>
      <c r="D62" s="21">
        <f>IF(ISNUMBER('Input ASM'!D182),'Input ASM'!D182,0)</f>
        <v/>
      </c>
      <c r="E62" s="21">
        <f>IF(ISNUMBER('Input ASM'!E182),'Input ASM'!E182,0)</f>
        <v/>
      </c>
      <c r="F62" s="21">
        <f>IF(ISNUMBER('Input ASM'!F182),'Input ASM'!F182,0)</f>
        <v/>
      </c>
      <c r="G62" s="21">
        <f>IF(ISNUMBER('Input ASM'!G182),'Input ASM'!G182,0)</f>
        <v/>
      </c>
    </row>
    <row r="63">
      <c r="A63" s="11" t="inlineStr">
        <is>
          <t xml:space="preserve">  - Deferred Tax Liabilities</t>
        </is>
      </c>
      <c r="B63" s="21">
        <f>IF(ISNUMBER('Input ASM'!B193),'Input ASM'!B193,0)</f>
        <v/>
      </c>
      <c r="C63" s="21">
        <f>IF(ISNUMBER('Input ASM'!C193),'Input ASM'!C193,0)</f>
        <v/>
      </c>
      <c r="D63" s="21">
        <f>IF(ISNUMBER('Input ASM'!D193),'Input ASM'!D193,0)</f>
        <v/>
      </c>
      <c r="E63" s="21">
        <f>IF(ISNUMBER('Input ASM'!E193),'Input ASM'!E193,0)</f>
        <v/>
      </c>
      <c r="F63" s="21">
        <f>IF(ISNUMBER('Input ASM'!F193),'Input ASM'!F193,0)</f>
        <v/>
      </c>
      <c r="G63" s="21">
        <f>IF(ISNUMBER('Input ASM'!G193),'Input ASM'!G193,0)</f>
        <v/>
      </c>
    </row>
    <row r="64">
      <c r="A64" s="11" t="inlineStr">
        <is>
          <t xml:space="preserve">  - Other Non-Current Liabilities</t>
        </is>
      </c>
      <c r="B64" s="21">
        <f>IF(ISNUMBER('Input ASM'!B194),'Input ASM'!B194,0)</f>
        <v/>
      </c>
      <c r="C64" s="21">
        <f>IF(ISNUMBER('Input ASM'!C194),'Input ASM'!C194,0)</f>
        <v/>
      </c>
      <c r="D64" s="21">
        <f>IF(ISNUMBER('Input ASM'!D194),'Input ASM'!D194,0)</f>
        <v/>
      </c>
      <c r="E64" s="21">
        <f>IF(ISNUMBER('Input ASM'!E194),'Input ASM'!E194,0)</f>
        <v/>
      </c>
      <c r="F64" s="21">
        <f>IF(ISNUMBER('Input ASM'!F194),'Input ASM'!F194,0)</f>
        <v/>
      </c>
      <c r="G64" s="21">
        <f>IF(ISNUMBER('Input ASM'!G194),'Input ASM'!G194,0)</f>
        <v/>
      </c>
    </row>
    <row r="65">
      <c r="A65" s="24">
        <f> Net Non-Current Operating Assets</f>
        <v/>
      </c>
      <c r="B65" s="25">
        <f>B57+B58+B59+B60+B61+B62-B63-B64</f>
        <v/>
      </c>
      <c r="C65" s="25">
        <f>C57+C58+C59+C60+C61+C62-C63-C64</f>
        <v/>
      </c>
      <c r="D65" s="25">
        <f>D57+D58+D59+D60+D61+D62-D63-D64</f>
        <v/>
      </c>
      <c r="E65" s="25">
        <f>E57+E58+E59+E60+E61+E62-E63-E64</f>
        <v/>
      </c>
      <c r="F65" s="25">
        <f>F57+F58+F59+F60+F61+F62-F63-F64</f>
        <v/>
      </c>
      <c r="G65" s="25">
        <f>G57+G58+G59+G60+G61+G62-G63-G64</f>
        <v/>
      </c>
    </row>
    <row r="66"/>
    <row r="67">
      <c r="A67" s="24">
        <f> Net Operating Assets</f>
        <v/>
      </c>
      <c r="B67" s="25">
        <f>B54+B65</f>
        <v/>
      </c>
      <c r="C67" s="25">
        <f>C54+C65</f>
        <v/>
      </c>
      <c r="D67" s="25">
        <f>D54+D65</f>
        <v/>
      </c>
      <c r="E67" s="25">
        <f>E54+E65</f>
        <v/>
      </c>
      <c r="F67" s="25">
        <f>F54+F65</f>
        <v/>
      </c>
      <c r="G67" s="25">
        <f>G54+G65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IF(ISNUMBER('Input ASM'!B177),'Input ASM'!B177,0)</f>
        <v/>
      </c>
      <c r="C70" s="21">
        <f>IF(ISNUMBER('Input ASM'!C177),'Input ASM'!C177,0)</f>
        <v/>
      </c>
      <c r="D70" s="21">
        <f>IF(ISNUMBER('Input ASM'!D177),'Input ASM'!D177,0)</f>
        <v/>
      </c>
      <c r="E70" s="21">
        <f>IF(ISNUMBER('Input ASM'!E177),'Input ASM'!E177,0)</f>
        <v/>
      </c>
      <c r="F70" s="21">
        <f>IF(ISNUMBER('Input ASM'!F177),'Input ASM'!F177,0)</f>
        <v/>
      </c>
      <c r="G70" s="21">
        <f>IF(ISNUMBER('Input ASM'!G177),'Input ASM'!G177,0)</f>
        <v/>
      </c>
    </row>
    <row r="71">
      <c r="A71" s="24">
        <f> Total Investment Assets</f>
        <v/>
      </c>
      <c r="B71" s="25">
        <f>B70</f>
        <v/>
      </c>
      <c r="C71" s="25">
        <f>C70</f>
        <v/>
      </c>
      <c r="D71" s="25">
        <f>D70</f>
        <v/>
      </c>
      <c r="E71" s="25">
        <f>E70</f>
        <v/>
      </c>
      <c r="F71" s="25">
        <f>F70</f>
        <v/>
      </c>
      <c r="G71" s="25">
        <f>G70</f>
        <v/>
      </c>
    </row>
    <row r="72"/>
    <row r="73">
      <c r="A73" s="26">
        <f> Business Assets</f>
        <v/>
      </c>
      <c r="B73" s="27">
        <f>B67+B71</f>
        <v/>
      </c>
      <c r="C73" s="27">
        <f>C67+C71</f>
        <v/>
      </c>
      <c r="D73" s="27">
        <f>D67+D71</f>
        <v/>
      </c>
      <c r="E73" s="27">
        <f>E67+E71</f>
        <v/>
      </c>
      <c r="F73" s="27">
        <f>F67+F71</f>
        <v/>
      </c>
      <c r="G73" s="27">
        <f>G67+G71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IF(ISNUMBER('Input ASM'!B187),'Input ASM'!B187,0)</f>
        <v/>
      </c>
      <c r="C76" s="21">
        <f>IF(ISNUMBER('Input ASM'!C187),'Input ASM'!C187,0)</f>
        <v/>
      </c>
      <c r="D76" s="21">
        <f>IF(ISNUMBER('Input ASM'!D187),'Input ASM'!D187,0)</f>
        <v/>
      </c>
      <c r="E76" s="21">
        <f>IF(ISNUMBER('Input ASM'!E187),'Input ASM'!E187,0)</f>
        <v/>
      </c>
      <c r="F76" s="21">
        <f>IF(ISNUMBER('Input ASM'!F187),'Input ASM'!F187,0)</f>
        <v/>
      </c>
      <c r="G76" s="21">
        <f>IF(ISNUMBER('Input ASM'!G187),'Input ASM'!G187,0)</f>
        <v/>
      </c>
    </row>
    <row r="77">
      <c r="A77" s="11" t="inlineStr">
        <is>
          <t xml:space="preserve">  + Lease Liabilities (non-current)</t>
        </is>
      </c>
      <c r="B77" s="21">
        <f>IF(ISNUMBER('Input ASM'!B192),'Input ASM'!B192,0)</f>
        <v/>
      </c>
      <c r="C77" s="21">
        <f>IF(ISNUMBER('Input ASM'!C192),'Input ASM'!C192,0)</f>
        <v/>
      </c>
      <c r="D77" s="21">
        <f>IF(ISNUMBER('Input ASM'!D192),'Input ASM'!D192,0)</f>
        <v/>
      </c>
      <c r="E77" s="21">
        <f>IF(ISNUMBER('Input ASM'!E192),'Input ASM'!E192,0)</f>
        <v/>
      </c>
      <c r="F77" s="21">
        <f>IF(ISNUMBER('Input ASM'!F192),'Input ASM'!F192,0)</f>
        <v/>
      </c>
      <c r="G77" s="21">
        <f>IF(ISNUMBER('Input ASM'!G192),'Input ASM'!G192,0)</f>
        <v/>
      </c>
    </row>
    <row r="78">
      <c r="A78" s="24">
        <f> Total Debt</f>
        <v/>
      </c>
      <c r="B78" s="25">
        <f>B76+B77</f>
        <v/>
      </c>
      <c r="C78" s="25">
        <f>C76+C77</f>
        <v/>
      </c>
      <c r="D78" s="25">
        <f>D76+D77</f>
        <v/>
      </c>
      <c r="E78" s="25">
        <f>E76+E77</f>
        <v/>
      </c>
      <c r="F78" s="25">
        <f>F76+F77</f>
        <v/>
      </c>
      <c r="G78" s="25">
        <f>G76+G77</f>
        <v/>
      </c>
    </row>
    <row r="79">
      <c r="A79" s="11" t="inlineStr">
        <is>
          <t xml:space="preserve">  Cash &amp; Equivalents</t>
        </is>
      </c>
      <c r="B79" s="21">
        <f>IF(ISNUMBER('Input ASM'!B166),'Input ASM'!B166,0)</f>
        <v/>
      </c>
      <c r="C79" s="21">
        <f>IF(ISNUMBER('Input ASM'!C166),'Input ASM'!C166,0)</f>
        <v/>
      </c>
      <c r="D79" s="21">
        <f>IF(ISNUMBER('Input ASM'!D166),'Input ASM'!D166,0)</f>
        <v/>
      </c>
      <c r="E79" s="21">
        <f>IF(ISNUMBER('Input ASM'!E166),'Input ASM'!E166,0)</f>
        <v/>
      </c>
      <c r="F79" s="21">
        <f>IF(ISNUMBER('Input ASM'!F166),'Input ASM'!F166,0)</f>
        <v/>
      </c>
      <c r="G79" s="21">
        <f>IF(ISNUMBER('Input ASM'!G166),'Input ASM'!G166,0)</f>
        <v/>
      </c>
    </row>
    <row r="80">
      <c r="A80" s="22">
        <f> Net Debt</f>
        <v/>
      </c>
      <c r="B80" s="23">
        <f>B78-B79</f>
        <v/>
      </c>
      <c r="C80" s="23">
        <f>C78-C79</f>
        <v/>
      </c>
      <c r="D80" s="23">
        <f>D78-D79</f>
        <v/>
      </c>
      <c r="E80" s="23">
        <f>E78-E79</f>
        <v/>
      </c>
      <c r="F80" s="23">
        <f>F78-F79</f>
        <v/>
      </c>
      <c r="G80" s="23">
        <f>G78-G79</f>
        <v/>
      </c>
    </row>
    <row r="81">
      <c r="A81" s="11" t="inlineStr">
        <is>
          <t>Group Equity</t>
        </is>
      </c>
      <c r="B81" s="21">
        <f>IF(ISNUMBER('Input ASM'!B203),'Input ASM'!B203,0)</f>
        <v/>
      </c>
      <c r="C81" s="21">
        <f>IF(ISNUMBER('Input ASM'!C203),'Input ASM'!C203,0)</f>
        <v/>
      </c>
      <c r="D81" s="21">
        <f>IF(ISNUMBER('Input ASM'!D203),'Input ASM'!D203,0)</f>
        <v/>
      </c>
      <c r="E81" s="21">
        <f>IF(ISNUMBER('Input ASM'!E203),'Input ASM'!E203,0)</f>
        <v/>
      </c>
      <c r="F81" s="21">
        <f>IF(ISNUMBER('Input ASM'!F203),'Input ASM'!F203,0)</f>
        <v/>
      </c>
      <c r="G81" s="21">
        <f>IF(ISNUMBER('Input ASM'!G203),'Input ASM'!G203,0)</f>
        <v/>
      </c>
    </row>
    <row r="82">
      <c r="A82" s="26">
        <f> Invested Capital</f>
        <v/>
      </c>
      <c r="B82" s="27">
        <f>B80+B81</f>
        <v/>
      </c>
      <c r="C82" s="27">
        <f>C80+C81</f>
        <v/>
      </c>
      <c r="D82" s="27">
        <f>D80+D81</f>
        <v/>
      </c>
      <c r="E82" s="27">
        <f>E80+E81</f>
        <v/>
      </c>
      <c r="F82" s="27">
        <f>F80+F81</f>
        <v/>
      </c>
      <c r="G82" s="27">
        <f>G80+G81</f>
        <v/>
      </c>
    </row>
    <row r="83">
      <c r="A83" s="22" t="inlineStr">
        <is>
          <t>BS Check (should = 0)</t>
        </is>
      </c>
      <c r="B83" s="23">
        <f>B73-B82</f>
        <v/>
      </c>
      <c r="C83" s="23">
        <f>C73-C82</f>
        <v/>
      </c>
      <c r="D83" s="23">
        <f>D73-D82</f>
        <v/>
      </c>
      <c r="E83" s="23">
        <f>E73-E82</f>
        <v/>
      </c>
      <c r="F83" s="23">
        <f>F73-F82</f>
        <v/>
      </c>
      <c r="G83" s="23">
        <f>G73-G82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31">
        <f>B36</f>
        <v/>
      </c>
      <c r="C87" s="31">
        <f>C36</f>
        <v/>
      </c>
      <c r="D87" s="31">
        <f>D36</f>
        <v/>
      </c>
      <c r="E87" s="31">
        <f>E36</f>
        <v/>
      </c>
      <c r="F87" s="31">
        <f>F36</f>
        <v/>
      </c>
      <c r="G87" s="31">
        <f>G36</f>
        <v/>
      </c>
    </row>
    <row r="88">
      <c r="A88" s="11" t="inlineStr">
        <is>
          <t>+ D&amp;A</t>
        </is>
      </c>
      <c r="B88" s="21">
        <f>IF(ISNUMBER('Input ASM'!B113),'Input ASM'!B113,0)</f>
        <v/>
      </c>
      <c r="C88" s="21">
        <f>IF(ISNUMBER('Input ASM'!C113),'Input ASM'!C113,0)</f>
        <v/>
      </c>
      <c r="D88" s="21">
        <f>IF(ISNUMBER('Input ASM'!D113),'Input ASM'!D113,0)</f>
        <v/>
      </c>
      <c r="E88" s="21">
        <f>IF(ISNUMBER('Input ASM'!E113),'Input ASM'!E113,0)</f>
        <v/>
      </c>
      <c r="F88" s="21">
        <f>IF(ISNUMBER('Input ASM'!F113),'Input ASM'!F113,0)</f>
        <v/>
      </c>
      <c r="G88" s="21">
        <f>IF(ISNUMBER('Input ASM'!G113),'Input ASM'!G113,0)</f>
        <v/>
      </c>
    </row>
    <row r="89">
      <c r="A89" s="11" t="inlineStr">
        <is>
          <t>- Change in OWC</t>
        </is>
      </c>
      <c r="B89" s="31" t="n">
        <v>0</v>
      </c>
      <c r="C89" s="31">
        <f>C54-B54</f>
        <v/>
      </c>
      <c r="D89" s="31">
        <f>D54-C54</f>
        <v/>
      </c>
      <c r="E89" s="31">
        <f>E54-D54</f>
        <v/>
      </c>
      <c r="F89" s="31">
        <f>F54-E54</f>
        <v/>
      </c>
      <c r="G89" s="31">
        <f>G54-F54</f>
        <v/>
      </c>
    </row>
    <row r="90">
      <c r="A90" s="11" t="inlineStr">
        <is>
          <t>- CapEx</t>
        </is>
      </c>
      <c r="B90" s="21">
        <f>ABS(IF(ISNUMBER('Input ASM'!B127),'Input ASM'!B127,0))</f>
        <v/>
      </c>
      <c r="C90" s="21">
        <f>ABS(IF(ISNUMBER('Input ASM'!C127),'Input ASM'!C127,0))</f>
        <v/>
      </c>
      <c r="D90" s="21">
        <f>ABS(IF(ISNUMBER('Input ASM'!D127),'Input ASM'!D127,0))</f>
        <v/>
      </c>
      <c r="E90" s="21">
        <f>ABS(IF(ISNUMBER('Input ASM'!E127),'Input ASM'!E127,0))</f>
        <v/>
      </c>
      <c r="F90" s="21">
        <f>ABS(IF(ISNUMBER('Input ASM'!F127),'Input ASM'!F127,0))</f>
        <v/>
      </c>
      <c r="G90" s="21">
        <f>ABS(IF(ISNUMBER('Input ASM'!G127),'Input ASM'!G127,0))</f>
        <v/>
      </c>
    </row>
    <row r="91">
      <c r="A91" s="11" t="inlineStr">
        <is>
          <t>- Purchase of Intangibles</t>
        </is>
      </c>
      <c r="B91" s="21">
        <f>ABS(IF(ISNUMBER('Input ASM'!B130),'Input ASM'!B130,0))</f>
        <v/>
      </c>
      <c r="C91" s="21">
        <f>ABS(IF(ISNUMBER('Input ASM'!C130),'Input ASM'!C130,0))</f>
        <v/>
      </c>
      <c r="D91" s="21">
        <f>ABS(IF(ISNUMBER('Input ASM'!D130),'Input ASM'!D130,0))</f>
        <v/>
      </c>
      <c r="E91" s="21">
        <f>ABS(IF(ISNUMBER('Input ASM'!E130),'Input ASM'!E130,0))</f>
        <v/>
      </c>
      <c r="F91" s="21">
        <f>ABS(IF(ISNUMBER('Input ASM'!F130),'Input ASM'!F130,0))</f>
        <v/>
      </c>
      <c r="G91" s="21">
        <f>ABS(IF(ISNUMBER('Input ASM'!G130),'Input ASM'!G130,0))</f>
        <v/>
      </c>
    </row>
    <row r="92">
      <c r="A92" s="24">
        <f> Operating CF after investment</f>
        <v/>
      </c>
      <c r="B92" s="25">
        <f>B87+B88-B89-B90-B91</f>
        <v/>
      </c>
      <c r="C92" s="25">
        <f>C87+C88-C89-C90-C91</f>
        <v/>
      </c>
      <c r="D92" s="25">
        <f>D87+D88-D89-D90-D91</f>
        <v/>
      </c>
      <c r="E92" s="25">
        <f>E87+E88-E89-E90-E91</f>
        <v/>
      </c>
      <c r="F92" s="25">
        <f>F87+F88-F89-F90-F91</f>
        <v/>
      </c>
      <c r="G92" s="25">
        <f>G87+G88-G89-G90-G91</f>
        <v/>
      </c>
    </row>
    <row r="93"/>
    <row r="94">
      <c r="A94" s="11" t="inlineStr">
        <is>
          <t>+ Net Investment Profit after tax</t>
        </is>
      </c>
      <c r="B94" s="31">
        <f>B27*(1-B35)</f>
        <v/>
      </c>
      <c r="C94" s="31">
        <f>C27*(1-C35)</f>
        <v/>
      </c>
      <c r="D94" s="31">
        <f>D27*(1-D35)</f>
        <v/>
      </c>
      <c r="E94" s="31">
        <f>E27*(1-E35)</f>
        <v/>
      </c>
      <c r="F94" s="31">
        <f>F27*(1-F35)</f>
        <v/>
      </c>
      <c r="G94" s="31">
        <f>G27*(1-G35)</f>
        <v/>
      </c>
    </row>
    <row r="95">
      <c r="A95" s="11" t="inlineStr">
        <is>
          <t>- Change in Investment Assets</t>
        </is>
      </c>
      <c r="B95" s="31" t="n">
        <v>0</v>
      </c>
      <c r="C95" s="31">
        <f>C71-B71</f>
        <v/>
      </c>
      <c r="D95" s="31">
        <f>D71-C71</f>
        <v/>
      </c>
      <c r="E95" s="31">
        <f>E71-D71</f>
        <v/>
      </c>
      <c r="F95" s="31">
        <f>F71-E71</f>
        <v/>
      </c>
      <c r="G95" s="31">
        <f>G71-F71</f>
        <v/>
      </c>
    </row>
    <row r="96">
      <c r="A96" s="24">
        <f> FCF to Debt &amp; Equity</f>
        <v/>
      </c>
      <c r="B96" s="25">
        <f>B92+B94-B95</f>
        <v/>
      </c>
      <c r="C96" s="25">
        <f>C92+C94-C95</f>
        <v/>
      </c>
      <c r="D96" s="25">
        <f>D92+D94-D95</f>
        <v/>
      </c>
      <c r="E96" s="25">
        <f>E92+E94-E95</f>
        <v/>
      </c>
      <c r="F96" s="25">
        <f>F92+F94-F95</f>
        <v/>
      </c>
      <c r="G96" s="25">
        <f>G92+G94-G95</f>
        <v/>
      </c>
    </row>
    <row r="97">
      <c r="A97" s="11" t="inlineStr">
        <is>
          <t>- Interest Expense after tax</t>
        </is>
      </c>
      <c r="B97" s="31">
        <f>B29*(1-B35)</f>
        <v/>
      </c>
      <c r="C97" s="31">
        <f>C29*(1-C35)</f>
        <v/>
      </c>
      <c r="D97" s="31">
        <f>D29*(1-D35)</f>
        <v/>
      </c>
      <c r="E97" s="31">
        <f>E29*(1-E35)</f>
        <v/>
      </c>
      <c r="F97" s="31">
        <f>F29*(1-F35)</f>
        <v/>
      </c>
      <c r="G97" s="31">
        <f>G29*(1-G35)</f>
        <v/>
      </c>
    </row>
    <row r="98">
      <c r="A98" s="11" t="inlineStr">
        <is>
          <t>+ Change in Debt</t>
        </is>
      </c>
      <c r="B98" s="31" t="n">
        <v>0</v>
      </c>
      <c r="C98" s="31">
        <f>C78-B78</f>
        <v/>
      </c>
      <c r="D98" s="31">
        <f>D78-C78</f>
        <v/>
      </c>
      <c r="E98" s="31">
        <f>E78-D78</f>
        <v/>
      </c>
      <c r="F98" s="31">
        <f>F78-E78</f>
        <v/>
      </c>
      <c r="G98" s="31">
        <f>G78-F78</f>
        <v/>
      </c>
    </row>
    <row r="99">
      <c r="A99" s="26">
        <f> FCF to Equity</f>
        <v/>
      </c>
      <c r="B99" s="27">
        <f>B96-B97+B98</f>
        <v/>
      </c>
      <c r="C99" s="27">
        <f>C96-C97+C98</f>
        <v/>
      </c>
      <c r="D99" s="27">
        <f>D96-D97+D98</f>
        <v/>
      </c>
      <c r="E99" s="27">
        <f>E96-E97+E98</f>
        <v/>
      </c>
      <c r="F99" s="27">
        <f>F96-F97+F98</f>
        <v/>
      </c>
      <c r="G99" s="27">
        <f>G96-G97+G98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AIXTRON SE</t>
        </is>
      </c>
    </row>
    <row r="2">
      <c r="A2" s="15" t="inlineStr">
        <is>
          <t>(EUR 000)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4"/>
    <row r="5">
      <c r="A5" s="11" t="inlineStr">
        <is>
          <t>Operating cash %</t>
        </is>
      </c>
      <c r="B5" s="17" t="n">
        <v>0.02</v>
      </c>
      <c r="C5" s="17" t="n">
        <v>0.02</v>
      </c>
      <c r="D5" s="17" t="n">
        <v>0.02</v>
      </c>
      <c r="E5" s="17" t="n">
        <v>0.02</v>
      </c>
      <c r="F5" s="17" t="n">
        <v>0.02</v>
      </c>
      <c r="G5" s="17" t="n">
        <v>0.02</v>
      </c>
    </row>
    <row r="6">
      <c r="A6" s="11" t="inlineStr">
        <is>
          <t>Tax rate (effective)</t>
        </is>
      </c>
      <c r="B6" s="18">
        <f>IF(ISNUMBER('Input AIXTRON'!B68),'Input AIXTRON'!B68,0)</f>
        <v/>
      </c>
      <c r="C6" s="18">
        <f>IF(ISNUMBER('Input AIXTRON'!C68),'Input AIXTRON'!C68,0)</f>
        <v/>
      </c>
      <c r="D6" s="18">
        <f>IF(ISNUMBER('Input AIXTRON'!D68),'Input AIXTRON'!D68,0)</f>
        <v/>
      </c>
      <c r="E6" s="18">
        <f>IF(ISNUMBER('Input AIXTRON'!E68),'Input AIXTRON'!E68,0)</f>
        <v/>
      </c>
      <c r="F6" s="18">
        <f>IF(ISNUMBER('Input AIXTRON'!F68),'Input AIXTRON'!F68,0)</f>
        <v/>
      </c>
      <c r="G6" s="18">
        <f>IF(ISNUMBER('Input AIXTRON'!G68),'Input AIXTRON'!G68,0)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IF(ISNUMBER('Input AIXTRON'!B21),'Input AIXTRON'!B21,0)</f>
        <v/>
      </c>
      <c r="C9" s="21">
        <f>IF(ISNUMBER('Input AIXTRON'!C21),'Input AIXTRON'!C21,0)</f>
        <v/>
      </c>
      <c r="D9" s="21">
        <f>IF(ISNUMBER('Input AIXTRON'!D21),'Input AIXTRON'!D21,0)</f>
        <v/>
      </c>
      <c r="E9" s="21">
        <f>IF(ISNUMBER('Input AIXTRON'!E21),'Input AIXTRON'!E21,0)</f>
        <v/>
      </c>
      <c r="F9" s="21">
        <f>IF(ISNUMBER('Input AIXTRON'!F21),'Input AIXTRON'!F21,0)</f>
        <v/>
      </c>
      <c r="G9" s="21">
        <f>IF(ISNUMBER('Input AIXTRON'!G21),'Input AIXTRON'!G21,0)</f>
        <v/>
      </c>
    </row>
    <row r="10">
      <c r="A10" s="11" t="inlineStr">
        <is>
          <t>Cost of Sales</t>
        </is>
      </c>
      <c r="B10" s="21">
        <f>IF(ISNUMBER('Input AIXTRON'!B23),'Input AIXTRON'!B23,0)</f>
        <v/>
      </c>
      <c r="C10" s="21">
        <f>IF(ISNUMBER('Input AIXTRON'!C23),'Input AIXTRON'!C23,0)</f>
        <v/>
      </c>
      <c r="D10" s="21">
        <f>IF(ISNUMBER('Input AIXTRON'!D23),'Input AIXTRON'!D23,0)</f>
        <v/>
      </c>
      <c r="E10" s="21">
        <f>IF(ISNUMBER('Input AIXTRON'!E23),'Input AIXTRON'!E23,0)</f>
        <v/>
      </c>
      <c r="F10" s="21">
        <f>IF(ISNUMBER('Input AIXTRON'!F23),'Input AIXTRON'!F23,0)</f>
        <v/>
      </c>
      <c r="G10" s="21">
        <f>IF(ISNUMBER('Input AIXTRON'!G23),'Input AIXTRON'!G23,0)</f>
        <v/>
      </c>
    </row>
    <row r="11">
      <c r="A11" s="22" t="inlineStr">
        <is>
          <t>Gross Profit</t>
        </is>
      </c>
      <c r="B11" s="23">
        <f>B9-B10</f>
        <v/>
      </c>
      <c r="C11" s="23">
        <f>C9-C10</f>
        <v/>
      </c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</row>
    <row r="12">
      <c r="A12" s="11" t="inlineStr">
        <is>
          <t xml:space="preserve">  SG&amp;A</t>
        </is>
      </c>
      <c r="B12" s="21">
        <f>IF(ISNUMBER('Input AIXTRON'!B26),'Input AIXTRON'!B26,0)</f>
        <v/>
      </c>
      <c r="C12" s="21">
        <f>IF(ISNUMBER('Input AIXTRON'!C26),'Input AIXTRON'!C26,0)</f>
        <v/>
      </c>
      <c r="D12" s="21">
        <f>IF(ISNUMBER('Input AIXTRON'!D26),'Input AIXTRON'!D26,0)</f>
        <v/>
      </c>
      <c r="E12" s="21">
        <f>IF(ISNUMBER('Input AIXTRON'!E26),'Input AIXTRON'!E26,0)</f>
        <v/>
      </c>
      <c r="F12" s="21">
        <f>IF(ISNUMBER('Input AIXTRON'!F26),'Input AIXTRON'!F26,0)</f>
        <v/>
      </c>
      <c r="G12" s="21">
        <f>IF(ISNUMBER('Input AIXTRON'!G26),'Input AIXTRON'!G26,0)</f>
        <v/>
      </c>
    </row>
    <row r="13">
      <c r="A13" s="11" t="inlineStr">
        <is>
          <t xml:space="preserve">  R&amp;D</t>
        </is>
      </c>
      <c r="B13" s="21">
        <f>IF(ISNUMBER('Input AIXTRON'!B27),'Input AIXTRON'!B27,0)</f>
        <v/>
      </c>
      <c r="C13" s="21">
        <f>IF(ISNUMBER('Input AIXTRON'!C27),'Input AIXTRON'!C27,0)</f>
        <v/>
      </c>
      <c r="D13" s="21">
        <f>IF(ISNUMBER('Input AIXTRON'!D27),'Input AIXTRON'!D27,0)</f>
        <v/>
      </c>
      <c r="E13" s="21">
        <f>IF(ISNUMBER('Input AIXTRON'!E27),'Input AIXTRON'!E27,0)</f>
        <v/>
      </c>
      <c r="F13" s="21">
        <f>IF(ISNUMBER('Input AIXTRON'!F27),'Input AIXTRON'!F27,0)</f>
        <v/>
      </c>
      <c r="G13" s="21">
        <f>IF(ISNUMBER('Input AIXTRON'!G27),'Input AIXTRON'!G27,0)</f>
        <v/>
      </c>
    </row>
    <row r="14">
      <c r="A14" s="11" t="inlineStr">
        <is>
          <t xml:space="preserve">  Depreciation &amp; Amortization</t>
        </is>
      </c>
      <c r="B14" s="21">
        <f>IF(ISNUMBER('Input AIXTRON'!B111),'Input AIXTRON'!B111,0)</f>
        <v/>
      </c>
      <c r="C14" s="21">
        <f>IF(ISNUMBER('Input AIXTRON'!C111),'Input AIXTRON'!C111,0)</f>
        <v/>
      </c>
      <c r="D14" s="21">
        <f>IF(ISNUMBER('Input AIXTRON'!D111),'Input AIXTRON'!D111,0)</f>
        <v/>
      </c>
      <c r="E14" s="21">
        <f>IF(ISNUMBER('Input AIXTRON'!E111),'Input AIXTRON'!E111,0)</f>
        <v/>
      </c>
      <c r="F14" s="21">
        <f>IF(ISNUMBER('Input AIXTRON'!F111),'Input AIXTRON'!F111,0)</f>
        <v/>
      </c>
      <c r="G14" s="21">
        <f>IF(ISNUMBER('Input AIXTRON'!G111),'Input AIXTRON'!G111,0)</f>
        <v/>
      </c>
    </row>
    <row r="15">
      <c r="A15" s="11" t="inlineStr">
        <is>
          <t xml:space="preserve">  Other Operating Expense</t>
        </is>
      </c>
      <c r="B15" s="21">
        <f>IF(ISNUMBER('Input AIXTRON'!B28),'Input AIXTRON'!B28,0)</f>
        <v/>
      </c>
      <c r="C15" s="21">
        <f>IF(ISNUMBER('Input AIXTRON'!C28),'Input AIXTRON'!C28,0)</f>
        <v/>
      </c>
      <c r="D15" s="21">
        <f>IF(ISNUMBER('Input AIXTRON'!D28),'Input AIXTRON'!D28,0)</f>
        <v/>
      </c>
      <c r="E15" s="21">
        <f>IF(ISNUMBER('Input AIXTRON'!E28),'Input AIXTRON'!E28,0)</f>
        <v/>
      </c>
      <c r="F15" s="21">
        <f>IF(ISNUMBER('Input AIXTRON'!F28),'Input AIXTRON'!F28,0)</f>
        <v/>
      </c>
      <c r="G15" s="21">
        <f>IF(ISNUMBER('Input AIXTRON'!G28),'Input AIXTRON'!G28,0)</f>
        <v/>
      </c>
    </row>
    <row r="16">
      <c r="A16" s="24" t="inlineStr">
        <is>
          <t>Total Operating Expense</t>
        </is>
      </c>
      <c r="B16" s="25">
        <f>B10+B12+B13+B14+B15</f>
        <v/>
      </c>
      <c r="C16" s="25">
        <f>C10+C12+C13+C14+C15</f>
        <v/>
      </c>
      <c r="D16" s="25">
        <f>D10+D12+D13+D14+D15</f>
        <v/>
      </c>
      <c r="E16" s="25">
        <f>E10+E12+E13+E14+E15</f>
        <v/>
      </c>
      <c r="F16" s="25">
        <f>F10+F12+F13+F14+F15</f>
        <v/>
      </c>
      <c r="G16" s="25">
        <f>G10+G12+G13+G14+G15</f>
        <v/>
      </c>
    </row>
    <row r="17">
      <c r="A17" s="24" t="inlineStr">
        <is>
          <t>Recurring Operating Profit</t>
        </is>
      </c>
      <c r="B17" s="25">
        <f>B9-B16</f>
        <v/>
      </c>
      <c r="C17" s="25">
        <f>C9-C16</f>
        <v/>
      </c>
      <c r="D17" s="25">
        <f>D9-D16</f>
        <v/>
      </c>
      <c r="E17" s="25">
        <f>E9-E16</f>
        <v/>
      </c>
      <c r="F17" s="25">
        <f>F9-F16</f>
        <v/>
      </c>
      <c r="G17" s="25">
        <f>G9-G16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IF(ISNUMBER('Input AIXTRON'!B38),'Input AIXTRON'!B38,0)</f>
        <v/>
      </c>
      <c r="C20" s="21">
        <f>IF(ISNUMBER('Input AIXTRON'!C38),'Input AIXTRON'!C38,0)</f>
        <v/>
      </c>
      <c r="D20" s="21">
        <f>IF(ISNUMBER('Input AIXTRON'!D38),'Input AIXTRON'!D38,0)</f>
        <v/>
      </c>
      <c r="E20" s="21">
        <f>IF(ISNUMBER('Input AIXTRON'!E38),'Input AIXTRON'!E38,0)</f>
        <v/>
      </c>
      <c r="F20" s="21">
        <f>IF(ISNUMBER('Input AIXTRON'!F38),'Input AIXTRON'!F38,0)</f>
        <v/>
      </c>
      <c r="G20" s="21">
        <f>IF(ISNUMBER('Input AIXTRON'!G38),'Input AIXTRON'!G38,0)</f>
        <v/>
      </c>
    </row>
    <row r="21">
      <c r="A21" s="11" t="inlineStr">
        <is>
          <t xml:space="preserve">  Gain/Loss on Sale of Assets</t>
        </is>
      </c>
      <c r="B21" s="21">
        <f>IF(ISNUMBER('Input AIXTRON'!B39),'Input AIXTRON'!B39,0)</f>
        <v/>
      </c>
      <c r="C21" s="21">
        <f>IF(ISNUMBER('Input AIXTRON'!C39),'Input AIXTRON'!C39,0)</f>
        <v/>
      </c>
      <c r="D21" s="21">
        <f>IF(ISNUMBER('Input AIXTRON'!D39),'Input AIXTRON'!D39,0)</f>
        <v/>
      </c>
      <c r="E21" s="21">
        <f>IF(ISNUMBER('Input AIXTRON'!E39),'Input AIXTRON'!E39,0)</f>
        <v/>
      </c>
      <c r="F21" s="21">
        <f>IF(ISNUMBER('Input AIXTRON'!F39),'Input AIXTRON'!F39,0)</f>
        <v/>
      </c>
      <c r="G21" s="21">
        <f>IF(ISNUMBER('Input AIXTRON'!G39),'Input AIXTRON'!G39,0)</f>
        <v/>
      </c>
    </row>
    <row r="22">
      <c r="A22" s="11" t="inlineStr">
        <is>
          <t xml:space="preserve">  Asset Writedown</t>
        </is>
      </c>
      <c r="B22" s="21">
        <f>IF(ISNUMBER('Input AIXTRON'!B40),'Input AIXTRON'!B40,0)</f>
        <v/>
      </c>
      <c r="C22" s="21">
        <f>IF(ISNUMBER('Input AIXTRON'!C40),'Input AIXTRON'!C40,0)</f>
        <v/>
      </c>
      <c r="D22" s="21">
        <f>IF(ISNUMBER('Input AIXTRON'!D40),'Input AIXTRON'!D40,0)</f>
        <v/>
      </c>
      <c r="E22" s="21">
        <f>IF(ISNUMBER('Input AIXTRON'!E40),'Input AIXTRON'!E40,0)</f>
        <v/>
      </c>
      <c r="F22" s="21">
        <f>IF(ISNUMBER('Input AIXTRON'!F40),'Input AIXTRON'!F40,0)</f>
        <v/>
      </c>
      <c r="G22" s="21">
        <f>IF(ISNUMBER('Input AIXTRON'!G40),'Input AIXTRON'!G40,0)</f>
        <v/>
      </c>
    </row>
    <row r="23">
      <c r="A23" s="11" t="inlineStr">
        <is>
          <t xml:space="preserve">  Other Unusual Items</t>
        </is>
      </c>
      <c r="B23" s="21">
        <f>IF(ISNUMBER('Input AIXTRON'!B37),'Input AIXTRON'!B37,0)+IF(ISNUMBER('Input AIXTRON'!B41),'Input AIXTRON'!B41,0)</f>
        <v/>
      </c>
      <c r="C23" s="21">
        <f>IF(ISNUMBER('Input AIXTRON'!C37),'Input AIXTRON'!C37,0)+IF(ISNUMBER('Input AIXTRON'!C41),'Input AIXTRON'!C41,0)</f>
        <v/>
      </c>
      <c r="D23" s="21">
        <f>IF(ISNUMBER('Input AIXTRON'!D37),'Input AIXTRON'!D37,0)+IF(ISNUMBER('Input AIXTRON'!D41),'Input AIXTRON'!D41,0)</f>
        <v/>
      </c>
      <c r="E23" s="21">
        <f>IF(ISNUMBER('Input AIXTRON'!E37),'Input AIXTRON'!E37,0)+IF(ISNUMBER('Input AIXTRON'!E41),'Input AIXTRON'!E41,0)</f>
        <v/>
      </c>
      <c r="F23" s="21">
        <f>IF(ISNUMBER('Input AIXTRON'!F37),'Input AIXTRON'!F37,0)+IF(ISNUMBER('Input AIXTRON'!F41),'Input AIXTRON'!F41,0)</f>
        <v/>
      </c>
      <c r="G23" s="21">
        <f>IF(ISNUMBER('Input AIXTRON'!G37),'Input AIXTRON'!G37,0)+IF(ISNUMBER('Input AIXTRON'!G41),'Input AIXTRON'!G41,0)</f>
        <v/>
      </c>
    </row>
    <row r="24">
      <c r="A24" s="22" t="inlineStr">
        <is>
          <t>Total Non-recurring</t>
        </is>
      </c>
      <c r="B24" s="23">
        <f>SUM(B20:B23)</f>
        <v/>
      </c>
      <c r="C24" s="23">
        <f>SUM(C20:C23)</f>
        <v/>
      </c>
      <c r="D24" s="23">
        <f>SUM(D20:D23)</f>
        <v/>
      </c>
      <c r="E24" s="23">
        <f>SUM(E20:E23)</f>
        <v/>
      </c>
      <c r="F24" s="23">
        <f>SUM(F20:F23)</f>
        <v/>
      </c>
      <c r="G24" s="23">
        <f>SUM(G20:G23)</f>
        <v/>
      </c>
    </row>
    <row r="25">
      <c r="A25" s="24" t="inlineStr">
        <is>
          <t>EBIT</t>
        </is>
      </c>
      <c r="B25" s="25">
        <f>B17+B24</f>
        <v/>
      </c>
      <c r="C25" s="25">
        <f>C17+C24</f>
        <v/>
      </c>
      <c r="D25" s="25">
        <f>D17+D24</f>
        <v/>
      </c>
      <c r="E25" s="25">
        <f>E17+E24</f>
        <v/>
      </c>
      <c r="F25" s="25">
        <f>F17+F24</f>
        <v/>
      </c>
      <c r="G25" s="25">
        <f>G17+G24</f>
        <v/>
      </c>
    </row>
    <row r="26"/>
    <row r="27">
      <c r="A27" s="11" t="inlineStr">
        <is>
          <t xml:space="preserve">  Investment Income (Equity Method)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</row>
    <row r="28">
      <c r="A28" s="11" t="inlineStr">
        <is>
          <t xml:space="preserve">  Interest Income</t>
        </is>
      </c>
      <c r="B28" s="21">
        <f>IF(ISNUMBER('Input AIXTRON'!B33),'Input AIXTRON'!B33,0)</f>
        <v/>
      </c>
      <c r="C28" s="21">
        <f>IF(ISNUMBER('Input AIXTRON'!C33),'Input AIXTRON'!C33,0)</f>
        <v/>
      </c>
      <c r="D28" s="21">
        <f>IF(ISNUMBER('Input AIXTRON'!D33),'Input AIXTRON'!D33,0)</f>
        <v/>
      </c>
      <c r="E28" s="21">
        <f>IF(ISNUMBER('Input AIXTRON'!E33),'Input AIXTRON'!E33,0)</f>
        <v/>
      </c>
      <c r="F28" s="21">
        <f>IF(ISNUMBER('Input AIXTRON'!F33),'Input AIXTRON'!F33,0)</f>
        <v/>
      </c>
      <c r="G28" s="21">
        <f>IF(ISNUMBER('Input AIXTRON'!G33),'Input AIXTRON'!G33,0)</f>
        <v/>
      </c>
    </row>
    <row r="29">
      <c r="A29" s="11" t="inlineStr">
        <is>
          <t xml:space="preserve">  Interest Expense</t>
        </is>
      </c>
      <c r="B29" s="21">
        <f>IF(ISNUMBER('Input AIXTRON'!B32),'Input AIXTRON'!B32,0)</f>
        <v/>
      </c>
      <c r="C29" s="21">
        <f>IF(ISNUMBER('Input AIXTRON'!C32),'Input AIXTRON'!C32,0)</f>
        <v/>
      </c>
      <c r="D29" s="21">
        <f>IF(ISNUMBER('Input AIXTRON'!D32),'Input AIXTRON'!D32,0)</f>
        <v/>
      </c>
      <c r="E29" s="21">
        <f>IF(ISNUMBER('Input AIXTRON'!E32),'Input AIXTRON'!E32,0)</f>
        <v/>
      </c>
      <c r="F29" s="21">
        <f>IF(ISNUMBER('Input AIXTRON'!F32),'Input AIXTRON'!F32,0)</f>
        <v/>
      </c>
      <c r="G29" s="21">
        <f>IF(ISNUMBER('Input AIXTRON'!G32),'Input AIXTRON'!G32,0)</f>
        <v/>
      </c>
    </row>
    <row r="30">
      <c r="A30" s="11" t="inlineStr">
        <is>
          <t xml:space="preserve">  FX Gains/(Losses)</t>
        </is>
      </c>
      <c r="B30" s="21">
        <f>IF(ISNUMBER('Input AIXTRON'!B35),'Input AIXTRON'!B35,0)</f>
        <v/>
      </c>
      <c r="C30" s="21">
        <f>IF(ISNUMBER('Input AIXTRON'!C35),'Input AIXTRON'!C35,0)</f>
        <v/>
      </c>
      <c r="D30" s="21">
        <f>IF(ISNUMBER('Input AIXTRON'!D35),'Input AIXTRON'!D35,0)</f>
        <v/>
      </c>
      <c r="E30" s="21">
        <f>IF(ISNUMBER('Input AIXTRON'!E35),'Input AIXTRON'!E35,0)</f>
        <v/>
      </c>
      <c r="F30" s="21">
        <f>IF(ISNUMBER('Input AIXTRON'!F35),'Input AIXTRON'!F35,0)</f>
        <v/>
      </c>
      <c r="G30" s="21">
        <f>IF(ISNUMBER('Input AIXTRON'!G35),'Input AIXTRON'!G35,0)</f>
        <v/>
      </c>
    </row>
    <row r="31">
      <c r="A31" s="22" t="inlineStr">
        <is>
          <t>Profit Before Tax</t>
        </is>
      </c>
      <c r="B31" s="23">
        <f>B25+B27+B28+B29+B30</f>
        <v/>
      </c>
      <c r="C31" s="23">
        <f>C25+C27+C28+C29+C30</f>
        <v/>
      </c>
      <c r="D31" s="23">
        <f>D25+D27+D28+D29+D30</f>
        <v/>
      </c>
      <c r="E31" s="23">
        <f>E25+E27+E28+E29+E30</f>
        <v/>
      </c>
      <c r="F31" s="23">
        <f>F25+F27+F28+F29+F30</f>
        <v/>
      </c>
      <c r="G31" s="23">
        <f>G25+G27+G28+G29+G30</f>
        <v/>
      </c>
    </row>
    <row r="32">
      <c r="A32" s="11" t="inlineStr">
        <is>
          <t xml:space="preserve">  Tax Expense</t>
        </is>
      </c>
      <c r="B32" s="21">
        <f>IF(ISNUMBER('Input AIXTRON'!B44),'Input AIXTRON'!B44,0)</f>
        <v/>
      </c>
      <c r="C32" s="21">
        <f>IF(ISNUMBER('Input AIXTRON'!C44),'Input AIXTRON'!C44,0)</f>
        <v/>
      </c>
      <c r="D32" s="21">
        <f>IF(ISNUMBER('Input AIXTRON'!D44),'Input AIXTRON'!D44,0)</f>
        <v/>
      </c>
      <c r="E32" s="21">
        <f>IF(ISNUMBER('Input AIXTRON'!E44),'Input AIXTRON'!E44,0)</f>
        <v/>
      </c>
      <c r="F32" s="21">
        <f>IF(ISNUMBER('Input AIXTRON'!F44),'Input AIXTRON'!F44,0)</f>
        <v/>
      </c>
      <c r="G32" s="21">
        <f>IF(ISNUMBER('Input AIXTRON'!G44),'Input AIXTRON'!G44,0)</f>
        <v/>
      </c>
    </row>
    <row r="33">
      <c r="A33" s="26" t="inlineStr">
        <is>
          <t>Net Income</t>
        </is>
      </c>
      <c r="B33" s="27">
        <f>B31-B32</f>
        <v/>
      </c>
      <c r="C33" s="27">
        <f>C31-C32</f>
        <v/>
      </c>
      <c r="D33" s="27">
        <f>D31-D32</f>
        <v/>
      </c>
      <c r="E33" s="27">
        <f>E31-E32</f>
        <v/>
      </c>
      <c r="F33" s="27">
        <f>F31-F32</f>
        <v/>
      </c>
      <c r="G33" s="27">
        <f>G31-G32</f>
        <v/>
      </c>
    </row>
    <row r="34"/>
    <row r="35">
      <c r="A35" s="11" t="inlineStr">
        <is>
          <t>Effective Tax Rate</t>
        </is>
      </c>
      <c r="B35" s="28">
        <f>IF(B31&lt;&gt;0,B32/B31,0)</f>
        <v/>
      </c>
      <c r="C35" s="28">
        <f>IF(C31&lt;&gt;0,C32/C31,0)</f>
        <v/>
      </c>
      <c r="D35" s="28">
        <f>IF(D31&lt;&gt;0,D32/D31,0)</f>
        <v/>
      </c>
      <c r="E35" s="28">
        <f>IF(E31&lt;&gt;0,E32/E31,0)</f>
        <v/>
      </c>
      <c r="F35" s="28">
        <f>IF(F31&lt;&gt;0,F32/F31,0)</f>
        <v/>
      </c>
      <c r="G35" s="28">
        <f>IF(G31&lt;&gt;0,G32/G31,0)</f>
        <v/>
      </c>
    </row>
    <row r="36">
      <c r="A36" s="22" t="inlineStr">
        <is>
          <t>NOPAT</t>
        </is>
      </c>
      <c r="B36" s="23">
        <f>B17*(1-B35)</f>
        <v/>
      </c>
      <c r="C36" s="23">
        <f>C17*(1-C35)</f>
        <v/>
      </c>
      <c r="D36" s="23">
        <f>D17*(1-D35)</f>
        <v/>
      </c>
      <c r="E36" s="23">
        <f>E17*(1-E35)</f>
        <v/>
      </c>
      <c r="F36" s="23">
        <f>F17*(1-F35)</f>
        <v/>
      </c>
      <c r="G36" s="23">
        <f>G17*(1-G35)</f>
        <v/>
      </c>
    </row>
    <row r="37"/>
    <row r="38">
      <c r="A38" s="11" t="inlineStr">
        <is>
          <t>Shares Outstanding (diluted)</t>
        </is>
      </c>
      <c r="B38" s="21">
        <f>IF(ISNUMBER('Input AIXTRON'!B57),'Input AIXTRON'!B57,0)</f>
        <v/>
      </c>
      <c r="C38" s="21">
        <f>IF(ISNUMBER('Input AIXTRON'!C57),'Input AIXTRON'!C57,0)</f>
        <v/>
      </c>
      <c r="D38" s="21">
        <f>IF(ISNUMBER('Input AIXTRON'!D57),'Input AIXTRON'!D57,0)</f>
        <v/>
      </c>
      <c r="E38" s="21">
        <f>IF(ISNUMBER('Input AIXTRON'!E57),'Input AIXTRON'!E57,0)</f>
        <v/>
      </c>
      <c r="F38" s="21">
        <f>IF(ISNUMBER('Input AIXTRON'!F57),'Input AIXTRON'!F57,0)</f>
        <v/>
      </c>
      <c r="G38" s="21">
        <f>IF(ISNUMBER('Input AIXTRON'!G57),'Input AIXTRON'!G57,0)</f>
        <v/>
      </c>
    </row>
    <row r="39">
      <c r="A39" s="11" t="inlineStr">
        <is>
          <t>EPS (diluted)</t>
        </is>
      </c>
      <c r="B39" s="29">
        <f>IF(B38&lt;&gt;0,B33/B38*1000,0)</f>
        <v/>
      </c>
      <c r="C39" s="29">
        <f>IF(C38&lt;&gt;0,C33/C38*1000,0)</f>
        <v/>
      </c>
      <c r="D39" s="29">
        <f>IF(D38&lt;&gt;0,D33/D38*1000,0)</f>
        <v/>
      </c>
      <c r="E39" s="29">
        <f>IF(E38&lt;&gt;0,E33/E38*1000,0)</f>
        <v/>
      </c>
      <c r="F39" s="29">
        <f>IF(F38&lt;&gt;0,F33/F38*1000,0)</f>
        <v/>
      </c>
      <c r="G39" s="29">
        <f>IF(G38&lt;&gt;0,G33/G38*1000,0)</f>
        <v/>
      </c>
    </row>
    <row r="40">
      <c r="A40" s="11" t="inlineStr">
        <is>
          <t>Dividends per Share</t>
        </is>
      </c>
      <c r="B40" s="30">
        <f>IF(ISNUMBER('Input AIXTRON'!B60),'Input AIXTRON'!B60,0)</f>
        <v/>
      </c>
      <c r="C40" s="30">
        <f>IF(ISNUMBER('Input AIXTRON'!C60),'Input AIXTRON'!C60,0)</f>
        <v/>
      </c>
      <c r="D40" s="30">
        <f>IF(ISNUMBER('Input AIXTRON'!D60),'Input AIXTRON'!D60,0)</f>
        <v/>
      </c>
      <c r="E40" s="30">
        <f>IF(ISNUMBER('Input AIXTRON'!E60),'Input AIXTRON'!E60,0)</f>
        <v/>
      </c>
      <c r="F40" s="30">
        <f>IF(ISNUMBER('Input AIXTRON'!F60),'Input AIXTRON'!F60,0)</f>
        <v/>
      </c>
      <c r="G40" s="30">
        <f>IF(ISNUMBER('Input AIXTRON'!G60),'Input AIXTRON'!G60,0)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IF(ISNUMBER('Input AIXTRON'!B167),'Input AIXTRON'!B167,0)</f>
        <v/>
      </c>
      <c r="C45" s="21">
        <f>IF(ISNUMBER('Input AIXTRON'!C167),'Input AIXTRON'!C167,0)</f>
        <v/>
      </c>
      <c r="D45" s="21">
        <f>IF(ISNUMBER('Input AIXTRON'!D167),'Input AIXTRON'!D167,0)</f>
        <v/>
      </c>
      <c r="E45" s="21">
        <f>IF(ISNUMBER('Input AIXTRON'!E167),'Input AIXTRON'!E167,0)</f>
        <v/>
      </c>
      <c r="F45" s="21">
        <f>IF(ISNUMBER('Input AIXTRON'!F167),'Input AIXTRON'!F167,0)</f>
        <v/>
      </c>
      <c r="G45" s="21">
        <f>IF(ISNUMBER('Input AIXTRON'!G167),'Input AIXTRON'!G167,0)</f>
        <v/>
      </c>
    </row>
    <row r="46">
      <c r="A46" s="11" t="inlineStr">
        <is>
          <t xml:space="preserve">  + Other Receivables</t>
        </is>
      </c>
      <c r="B46" s="21">
        <f>IF(ISNUMBER('Input AIXTRON'!B168),'Input AIXTRON'!B168,0)</f>
        <v/>
      </c>
      <c r="C46" s="21">
        <f>IF(ISNUMBER('Input AIXTRON'!C168),'Input AIXTRON'!C168,0)</f>
        <v/>
      </c>
      <c r="D46" s="21">
        <f>IF(ISNUMBER('Input AIXTRON'!D168),'Input AIXTRON'!D168,0)</f>
        <v/>
      </c>
      <c r="E46" s="21">
        <f>IF(ISNUMBER('Input AIXTRON'!E168),'Input AIXTRON'!E168,0)</f>
        <v/>
      </c>
      <c r="F46" s="21">
        <f>IF(ISNUMBER('Input AIXTRON'!F168),'Input AIXTRON'!F168,0)</f>
        <v/>
      </c>
      <c r="G46" s="21">
        <f>IF(ISNUMBER('Input AIXTRON'!G168),'Input AIXTRON'!G168,0)</f>
        <v/>
      </c>
    </row>
    <row r="47">
      <c r="A47" s="11" t="inlineStr">
        <is>
          <t xml:space="preserve">  + Inventories</t>
        </is>
      </c>
      <c r="B47" s="21">
        <f>IF(ISNUMBER('Input AIXTRON'!B170),'Input AIXTRON'!B170,0)</f>
        <v/>
      </c>
      <c r="C47" s="21">
        <f>IF(ISNUMBER('Input AIXTRON'!C170),'Input AIXTRON'!C170,0)</f>
        <v/>
      </c>
      <c r="D47" s="21">
        <f>IF(ISNUMBER('Input AIXTRON'!D170),'Input AIXTRON'!D170,0)</f>
        <v/>
      </c>
      <c r="E47" s="21">
        <f>IF(ISNUMBER('Input AIXTRON'!E170),'Input AIXTRON'!E170,0)</f>
        <v/>
      </c>
      <c r="F47" s="21">
        <f>IF(ISNUMBER('Input AIXTRON'!F170),'Input AIXTRON'!F170,0)</f>
        <v/>
      </c>
      <c r="G47" s="21">
        <f>IF(ISNUMBER('Input AIXTRON'!G170),'Input AIXTRON'!G170,0)</f>
        <v/>
      </c>
    </row>
    <row r="48">
      <c r="A48" s="11" t="inlineStr">
        <is>
          <t xml:space="preserve">  + Prepaid &amp; Other CA</t>
        </is>
      </c>
      <c r="B48" s="21">
        <f>IF(ISNUMBER('Input AIXTRON'!B171),'Input AIXTRON'!B171,0)+IF(ISNUMBER('Input AIXTRON'!B172),'Input AIXTRON'!B172,0)</f>
        <v/>
      </c>
      <c r="C48" s="21">
        <f>IF(ISNUMBER('Input AIXTRON'!C171),'Input AIXTRON'!C171,0)+IF(ISNUMBER('Input AIXTRON'!C172),'Input AIXTRON'!C172,0)</f>
        <v/>
      </c>
      <c r="D48" s="21">
        <f>IF(ISNUMBER('Input AIXTRON'!D171),'Input AIXTRON'!D171,0)+IF(ISNUMBER('Input AIXTRON'!D172),'Input AIXTRON'!D172,0)</f>
        <v/>
      </c>
      <c r="E48" s="21">
        <f>IF(ISNUMBER('Input AIXTRON'!E171),'Input AIXTRON'!E171,0)+IF(ISNUMBER('Input AIXTRON'!E172),'Input AIXTRON'!E172,0)</f>
        <v/>
      </c>
      <c r="F48" s="21">
        <f>IF(ISNUMBER('Input AIXTRON'!F171),'Input AIXTRON'!F171,0)+IF(ISNUMBER('Input AIXTRON'!F172),'Input AIXTRON'!F172,0)</f>
        <v/>
      </c>
      <c r="G48" s="21">
        <f>IF(ISNUMBER('Input AIXTRON'!G171),'Input AIXTRON'!G171,0)+IF(ISNUMBER('Input AIXTRON'!G172),'Input AIXTRON'!G172,0)</f>
        <v/>
      </c>
    </row>
    <row r="49">
      <c r="A49" s="11" t="inlineStr">
        <is>
          <t xml:space="preserve">  - Accounts Payable</t>
        </is>
      </c>
      <c r="B49" s="21">
        <f>IF(ISNUMBER('Input AIXTRON'!B184),'Input AIXTRON'!B184,0)</f>
        <v/>
      </c>
      <c r="C49" s="21">
        <f>IF(ISNUMBER('Input AIXTRON'!C184),'Input AIXTRON'!C184,0)</f>
        <v/>
      </c>
      <c r="D49" s="21">
        <f>IF(ISNUMBER('Input AIXTRON'!D184),'Input AIXTRON'!D184,0)</f>
        <v/>
      </c>
      <c r="E49" s="21">
        <f>IF(ISNUMBER('Input AIXTRON'!E184),'Input AIXTRON'!E184,0)</f>
        <v/>
      </c>
      <c r="F49" s="21">
        <f>IF(ISNUMBER('Input AIXTRON'!F184),'Input AIXTRON'!F184,0)</f>
        <v/>
      </c>
      <c r="G49" s="21">
        <f>IF(ISNUMBER('Input AIXTRON'!G184),'Input AIXTRON'!G184,0)</f>
        <v/>
      </c>
    </row>
    <row r="50">
      <c r="A50" s="11" t="inlineStr">
        <is>
          <t xml:space="preserve">  - Accrued Expenses</t>
        </is>
      </c>
      <c r="B50" s="21">
        <f>IF(ISNUMBER('Input AIXTRON'!B185),'Input AIXTRON'!B185,0)</f>
        <v/>
      </c>
      <c r="C50" s="21">
        <f>IF(ISNUMBER('Input AIXTRON'!C185),'Input AIXTRON'!C185,0)</f>
        <v/>
      </c>
      <c r="D50" s="21">
        <f>IF(ISNUMBER('Input AIXTRON'!D185),'Input AIXTRON'!D185,0)</f>
        <v/>
      </c>
      <c r="E50" s="21">
        <f>IF(ISNUMBER('Input AIXTRON'!E185),'Input AIXTRON'!E185,0)</f>
        <v/>
      </c>
      <c r="F50" s="21">
        <f>IF(ISNUMBER('Input AIXTRON'!F185),'Input AIXTRON'!F185,0)</f>
        <v/>
      </c>
      <c r="G50" s="21">
        <f>IF(ISNUMBER('Input AIXTRON'!G185),'Input AIXTRON'!G185,0)</f>
        <v/>
      </c>
    </row>
    <row r="51">
      <c r="A51" s="11" t="inlineStr">
        <is>
          <t xml:space="preserve">  - Unearned Revenue / Contract Liabilities</t>
        </is>
      </c>
      <c r="B51" s="21">
        <f>IF(ISNUMBER('Input AIXTRON'!B188),'Input AIXTRON'!B188,0)</f>
        <v/>
      </c>
      <c r="C51" s="21">
        <f>IF(ISNUMBER('Input AIXTRON'!C188),'Input AIXTRON'!C188,0)</f>
        <v/>
      </c>
      <c r="D51" s="21">
        <f>IF(ISNUMBER('Input AIXTRON'!D188),'Input AIXTRON'!D188,0)</f>
        <v/>
      </c>
      <c r="E51" s="21">
        <f>IF(ISNUMBER('Input AIXTRON'!E188),'Input AIXTRON'!E188,0)</f>
        <v/>
      </c>
      <c r="F51" s="21">
        <f>IF(ISNUMBER('Input AIXTRON'!F188),'Input AIXTRON'!F188,0)</f>
        <v/>
      </c>
      <c r="G51" s="21">
        <f>IF(ISNUMBER('Input AIXTRON'!G188),'Input AIXTRON'!G188,0)</f>
        <v/>
      </c>
    </row>
    <row r="52">
      <c r="A52" s="11" t="inlineStr">
        <is>
          <t xml:space="preserve">  - Income Taxes Payable</t>
        </is>
      </c>
      <c r="B52" s="21">
        <f>IF(ISNUMBER('Input AIXTRON'!B187),'Input AIXTRON'!B187,0)</f>
        <v/>
      </c>
      <c r="C52" s="21">
        <f>IF(ISNUMBER('Input AIXTRON'!C187),'Input AIXTRON'!C187,0)</f>
        <v/>
      </c>
      <c r="D52" s="21">
        <f>IF(ISNUMBER('Input AIXTRON'!D187),'Input AIXTRON'!D187,0)</f>
        <v/>
      </c>
      <c r="E52" s="21">
        <f>IF(ISNUMBER('Input AIXTRON'!E187),'Input AIXTRON'!E187,0)</f>
        <v/>
      </c>
      <c r="F52" s="21">
        <f>IF(ISNUMBER('Input AIXTRON'!F187),'Input AIXTRON'!F187,0)</f>
        <v/>
      </c>
      <c r="G52" s="21">
        <f>IF(ISNUMBER('Input AIXTRON'!G187),'Input AIXTRON'!G187,0)</f>
        <v/>
      </c>
    </row>
    <row r="53">
      <c r="A53" s="11" t="inlineStr">
        <is>
          <t xml:space="preserve">  - Other Current Liabilities</t>
        </is>
      </c>
      <c r="B53" s="21">
        <f>IF(ISNUMBER('Input AIXTRON'!B189),'Input AIXTRON'!B189,0)</f>
        <v/>
      </c>
      <c r="C53" s="21">
        <f>IF(ISNUMBER('Input AIXTRON'!C189),'Input AIXTRON'!C189,0)</f>
        <v/>
      </c>
      <c r="D53" s="21">
        <f>IF(ISNUMBER('Input AIXTRON'!D189),'Input AIXTRON'!D189,0)</f>
        <v/>
      </c>
      <c r="E53" s="21">
        <f>IF(ISNUMBER('Input AIXTRON'!E189),'Input AIXTRON'!E189,0)</f>
        <v/>
      </c>
      <c r="F53" s="21">
        <f>IF(ISNUMBER('Input AIXTRON'!F189),'Input AIXTRON'!F189,0)</f>
        <v/>
      </c>
      <c r="G53" s="21">
        <f>IF(ISNUMBER('Input AIXTRON'!G189),'Input AIXTRON'!G189,0)</f>
        <v/>
      </c>
    </row>
    <row r="54">
      <c r="A54" s="24">
        <f> Operating Working Capital</f>
        <v/>
      </c>
      <c r="B54" s="25">
        <f>B45+B46+B47+B48-B49-B50-B51-B52-B53</f>
        <v/>
      </c>
      <c r="C54" s="25">
        <f>C45+C46+C47+C48-C49-C50-C51-C52-C53</f>
        <v/>
      </c>
      <c r="D54" s="25">
        <f>D45+D46+D47+D48-D49-D50-D51-D52-D53</f>
        <v/>
      </c>
      <c r="E54" s="25">
        <f>E45+E46+E47+E48-E49-E50-E51-E52-E53</f>
        <v/>
      </c>
      <c r="F54" s="25">
        <f>F45+F46+F47+F48-F49-F50-F51-F52-F53</f>
        <v/>
      </c>
      <c r="G54" s="25">
        <f>G45+G46+G47+G48-G49-G50-G51-G52-G53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IF(ISNUMBER('Input AIXTRON'!B176),'Input AIXTRON'!B176,0)</f>
        <v/>
      </c>
      <c r="C57" s="21">
        <f>IF(ISNUMBER('Input AIXTRON'!C176),'Input AIXTRON'!C176,0)</f>
        <v/>
      </c>
      <c r="D57" s="21">
        <f>IF(ISNUMBER('Input AIXTRON'!D176),'Input AIXTRON'!D176,0)</f>
        <v/>
      </c>
      <c r="E57" s="21">
        <f>IF(ISNUMBER('Input AIXTRON'!E176),'Input AIXTRON'!E176,0)</f>
        <v/>
      </c>
      <c r="F57" s="21">
        <f>IF(ISNUMBER('Input AIXTRON'!F176),'Input AIXTRON'!F176,0)</f>
        <v/>
      </c>
      <c r="G57" s="21">
        <f>IF(ISNUMBER('Input AIXTRON'!G176),'Input AIXTRON'!G176,0)</f>
        <v/>
      </c>
    </row>
    <row r="58">
      <c r="A58" s="11" t="inlineStr">
        <is>
          <t xml:space="preserve">  + Goodwill</t>
        </is>
      </c>
      <c r="B58" s="21">
        <f>IF(ISNUMBER('Input AIXTRON'!B178),'Input AIXTRON'!B178,0)</f>
        <v/>
      </c>
      <c r="C58" s="21">
        <f>IF(ISNUMBER('Input AIXTRON'!C178),'Input AIXTRON'!C178,0)</f>
        <v/>
      </c>
      <c r="D58" s="21">
        <f>IF(ISNUMBER('Input AIXTRON'!D178),'Input AIXTRON'!D178,0)</f>
        <v/>
      </c>
      <c r="E58" s="21">
        <f>IF(ISNUMBER('Input AIXTRON'!E178),'Input AIXTRON'!E178,0)</f>
        <v/>
      </c>
      <c r="F58" s="21">
        <f>IF(ISNUMBER('Input AIXTRON'!F178),'Input AIXTRON'!F178,0)</f>
        <v/>
      </c>
      <c r="G58" s="21">
        <f>IF(ISNUMBER('Input AIXTRON'!G178),'Input AIXTRON'!G178,0)</f>
        <v/>
      </c>
    </row>
    <row r="59">
      <c r="A59" s="11" t="inlineStr">
        <is>
          <t xml:space="preserve">  + Other Intangible Assets</t>
        </is>
      </c>
      <c r="B59" s="21">
        <f>IF(ISNUMBER('Input AIXTRON'!B179),'Input AIXTRON'!B179,0)</f>
        <v/>
      </c>
      <c r="C59" s="21">
        <f>IF(ISNUMBER('Input AIXTRON'!C179),'Input AIXTRON'!C179,0)</f>
        <v/>
      </c>
      <c r="D59" s="21">
        <f>IF(ISNUMBER('Input AIXTRON'!D179),'Input AIXTRON'!D179,0)</f>
        <v/>
      </c>
      <c r="E59" s="21">
        <f>IF(ISNUMBER('Input AIXTRON'!E179),'Input AIXTRON'!E179,0)</f>
        <v/>
      </c>
      <c r="F59" s="21">
        <f>IF(ISNUMBER('Input AIXTRON'!F179),'Input AIXTRON'!F179,0)</f>
        <v/>
      </c>
      <c r="G59" s="21">
        <f>IF(ISNUMBER('Input AIXTRON'!G179),'Input AIXTRON'!G179,0)</f>
        <v/>
      </c>
    </row>
    <row r="60">
      <c r="A60" s="11" t="inlineStr">
        <is>
          <t xml:space="preserve">  + Deferred Tax Assets</t>
        </is>
      </c>
      <c r="B60" s="21">
        <f>IF(ISNUMBER('Input AIXTRON'!B180),'Input AIXTRON'!B180,0)</f>
        <v/>
      </c>
      <c r="C60" s="21">
        <f>IF(ISNUMBER('Input AIXTRON'!C180),'Input AIXTRON'!C180,0)</f>
        <v/>
      </c>
      <c r="D60" s="21">
        <f>IF(ISNUMBER('Input AIXTRON'!D180),'Input AIXTRON'!D180,0)</f>
        <v/>
      </c>
      <c r="E60" s="21">
        <f>IF(ISNUMBER('Input AIXTRON'!E180),'Input AIXTRON'!E180,0)</f>
        <v/>
      </c>
      <c r="F60" s="21">
        <f>IF(ISNUMBER('Input AIXTRON'!F180),'Input AIXTRON'!F180,0)</f>
        <v/>
      </c>
      <c r="G60" s="21">
        <f>IF(ISNUMBER('Input AIXTRON'!G180),'Input AIXTRON'!G180,0)</f>
        <v/>
      </c>
    </row>
    <row r="61">
      <c r="A61" s="11" t="inlineStr">
        <is>
          <t xml:space="preserve">  + Deferred Charges &amp; LT Intangibles</t>
        </is>
      </c>
      <c r="B61" s="31" t="n">
        <v>0</v>
      </c>
      <c r="C61" s="31" t="n">
        <v>0</v>
      </c>
      <c r="D61" s="31" t="n">
        <v>0</v>
      </c>
      <c r="E61" s="31" t="n">
        <v>0</v>
      </c>
      <c r="F61" s="31" t="n">
        <v>0</v>
      </c>
      <c r="G61" s="31" t="n">
        <v>0</v>
      </c>
    </row>
    <row r="62">
      <c r="A62" s="11" t="inlineStr">
        <is>
          <t xml:space="preserve">  + Other Non-Current Assets</t>
        </is>
      </c>
      <c r="B62" s="21">
        <f>IF(ISNUMBER('Input AIXTRON'!B181),'Input AIXTRON'!B181,0)</f>
        <v/>
      </c>
      <c r="C62" s="21">
        <f>IF(ISNUMBER('Input AIXTRON'!C181),'Input AIXTRON'!C181,0)</f>
        <v/>
      </c>
      <c r="D62" s="21">
        <f>IF(ISNUMBER('Input AIXTRON'!D181),'Input AIXTRON'!D181,0)</f>
        <v/>
      </c>
      <c r="E62" s="21">
        <f>IF(ISNUMBER('Input AIXTRON'!E181),'Input AIXTRON'!E181,0)</f>
        <v/>
      </c>
      <c r="F62" s="21">
        <f>IF(ISNUMBER('Input AIXTRON'!F181),'Input AIXTRON'!F181,0)</f>
        <v/>
      </c>
      <c r="G62" s="21">
        <f>IF(ISNUMBER('Input AIXTRON'!G181),'Input AIXTRON'!G181,0)</f>
        <v/>
      </c>
    </row>
    <row r="63">
      <c r="A63" s="11" t="inlineStr">
        <is>
          <t xml:space="preserve">  - Deferred Tax Liabilities</t>
        </is>
      </c>
      <c r="B63" s="21">
        <f>IF(ISNUMBER('Input AIXTRON'!B192),'Input AIXTRON'!B192,0)</f>
        <v/>
      </c>
      <c r="C63" s="21">
        <f>IF(ISNUMBER('Input AIXTRON'!C192),'Input AIXTRON'!C192,0)</f>
        <v/>
      </c>
      <c r="D63" s="21">
        <f>IF(ISNUMBER('Input AIXTRON'!D192),'Input AIXTRON'!D192,0)</f>
        <v/>
      </c>
      <c r="E63" s="21">
        <f>IF(ISNUMBER('Input AIXTRON'!E192),'Input AIXTRON'!E192,0)</f>
        <v/>
      </c>
      <c r="F63" s="21">
        <f>IF(ISNUMBER('Input AIXTRON'!F192),'Input AIXTRON'!F192,0)</f>
        <v/>
      </c>
      <c r="G63" s="21">
        <f>IF(ISNUMBER('Input AIXTRON'!G192),'Input AIXTRON'!G192,0)</f>
        <v/>
      </c>
    </row>
    <row r="64">
      <c r="A64" s="11" t="inlineStr">
        <is>
          <t xml:space="preserve">  - Other Non-Current Liabilities</t>
        </is>
      </c>
      <c r="B64" s="21">
        <f>IF(ISNUMBER('Input AIXTRON'!B193),'Input AIXTRON'!B193,0)</f>
        <v/>
      </c>
      <c r="C64" s="21">
        <f>IF(ISNUMBER('Input AIXTRON'!C193),'Input AIXTRON'!C193,0)</f>
        <v/>
      </c>
      <c r="D64" s="21">
        <f>IF(ISNUMBER('Input AIXTRON'!D193),'Input AIXTRON'!D193,0)</f>
        <v/>
      </c>
      <c r="E64" s="21">
        <f>IF(ISNUMBER('Input AIXTRON'!E193),'Input AIXTRON'!E193,0)</f>
        <v/>
      </c>
      <c r="F64" s="21">
        <f>IF(ISNUMBER('Input AIXTRON'!F193),'Input AIXTRON'!F193,0)</f>
        <v/>
      </c>
      <c r="G64" s="21">
        <f>IF(ISNUMBER('Input AIXTRON'!G193),'Input AIXTRON'!G193,0)</f>
        <v/>
      </c>
    </row>
    <row r="65">
      <c r="A65" s="24">
        <f> Net Non-Current Operating Assets</f>
        <v/>
      </c>
      <c r="B65" s="25">
        <f>B57+B58+B59+B60+B61+B62-B63-B64</f>
        <v/>
      </c>
      <c r="C65" s="25">
        <f>C57+C58+C59+C60+C61+C62-C63-C64</f>
        <v/>
      </c>
      <c r="D65" s="25">
        <f>D57+D58+D59+D60+D61+D62-D63-D64</f>
        <v/>
      </c>
      <c r="E65" s="25">
        <f>E57+E58+E59+E60+E61+E62-E63-E64</f>
        <v/>
      </c>
      <c r="F65" s="25">
        <f>F57+F58+F59+F60+F61+F62-F63-F64</f>
        <v/>
      </c>
      <c r="G65" s="25">
        <f>G57+G58+G59+G60+G61+G62-G63-G64</f>
        <v/>
      </c>
    </row>
    <row r="66"/>
    <row r="67">
      <c r="A67" s="24">
        <f> Net Operating Assets</f>
        <v/>
      </c>
      <c r="B67" s="25">
        <f>B54+B65</f>
        <v/>
      </c>
      <c r="C67" s="25">
        <f>C54+C65</f>
        <v/>
      </c>
      <c r="D67" s="25">
        <f>D54+D65</f>
        <v/>
      </c>
      <c r="E67" s="25">
        <f>E54+E65</f>
        <v/>
      </c>
      <c r="F67" s="25">
        <f>F54+F65</f>
        <v/>
      </c>
      <c r="G67" s="25">
        <f>G54+G65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IF(ISNUMBER('Input AIXTRON'!B177),'Input AIXTRON'!B177,0)</f>
        <v/>
      </c>
      <c r="C70" s="21">
        <f>IF(ISNUMBER('Input AIXTRON'!C177),'Input AIXTRON'!C177,0)</f>
        <v/>
      </c>
      <c r="D70" s="21">
        <f>IF(ISNUMBER('Input AIXTRON'!D177),'Input AIXTRON'!D177,0)</f>
        <v/>
      </c>
      <c r="E70" s="21">
        <f>IF(ISNUMBER('Input AIXTRON'!E177),'Input AIXTRON'!E177,0)</f>
        <v/>
      </c>
      <c r="F70" s="21">
        <f>IF(ISNUMBER('Input AIXTRON'!F177),'Input AIXTRON'!F177,0)</f>
        <v/>
      </c>
      <c r="G70" s="21">
        <f>IF(ISNUMBER('Input AIXTRON'!G177),'Input AIXTRON'!G177,0)</f>
        <v/>
      </c>
    </row>
    <row r="71">
      <c r="A71" s="24">
        <f> Total Investment Assets</f>
        <v/>
      </c>
      <c r="B71" s="25">
        <f>B70</f>
        <v/>
      </c>
      <c r="C71" s="25">
        <f>C70</f>
        <v/>
      </c>
      <c r="D71" s="25">
        <f>D70</f>
        <v/>
      </c>
      <c r="E71" s="25">
        <f>E70</f>
        <v/>
      </c>
      <c r="F71" s="25">
        <f>F70</f>
        <v/>
      </c>
      <c r="G71" s="25">
        <f>G70</f>
        <v/>
      </c>
    </row>
    <row r="72"/>
    <row r="73">
      <c r="A73" s="26">
        <f> Business Assets</f>
        <v/>
      </c>
      <c r="B73" s="27">
        <f>B67+B71</f>
        <v/>
      </c>
      <c r="C73" s="27">
        <f>C67+C71</f>
        <v/>
      </c>
      <c r="D73" s="27">
        <f>D67+D71</f>
        <v/>
      </c>
      <c r="E73" s="27">
        <f>E67+E71</f>
        <v/>
      </c>
      <c r="F73" s="27">
        <f>F67+F71</f>
        <v/>
      </c>
      <c r="G73" s="27">
        <f>G67+G71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IF(ISNUMBER('Input AIXTRON'!B186),'Input AIXTRON'!B186,0)</f>
        <v/>
      </c>
      <c r="C76" s="21">
        <f>IF(ISNUMBER('Input AIXTRON'!C186),'Input AIXTRON'!C186,0)</f>
        <v/>
      </c>
      <c r="D76" s="21">
        <f>IF(ISNUMBER('Input AIXTRON'!D186),'Input AIXTRON'!D186,0)</f>
        <v/>
      </c>
      <c r="E76" s="21">
        <f>IF(ISNUMBER('Input AIXTRON'!E186),'Input AIXTRON'!E186,0)</f>
        <v/>
      </c>
      <c r="F76" s="21">
        <f>IF(ISNUMBER('Input AIXTRON'!F186),'Input AIXTRON'!F186,0)</f>
        <v/>
      </c>
      <c r="G76" s="21">
        <f>IF(ISNUMBER('Input AIXTRON'!G186),'Input AIXTRON'!G186,0)</f>
        <v/>
      </c>
    </row>
    <row r="77">
      <c r="A77" s="11" t="inlineStr">
        <is>
          <t xml:space="preserve">  + Lease Liabilities (non-current)</t>
        </is>
      </c>
      <c r="B77" s="21">
        <f>IF(ISNUMBER('Input AIXTRON'!B191),'Input AIXTRON'!B191,0)</f>
        <v/>
      </c>
      <c r="C77" s="21">
        <f>IF(ISNUMBER('Input AIXTRON'!C191),'Input AIXTRON'!C191,0)</f>
        <v/>
      </c>
      <c r="D77" s="21">
        <f>IF(ISNUMBER('Input AIXTRON'!D191),'Input AIXTRON'!D191,0)</f>
        <v/>
      </c>
      <c r="E77" s="21">
        <f>IF(ISNUMBER('Input AIXTRON'!E191),'Input AIXTRON'!E191,0)</f>
        <v/>
      </c>
      <c r="F77" s="21">
        <f>IF(ISNUMBER('Input AIXTRON'!F191),'Input AIXTRON'!F191,0)</f>
        <v/>
      </c>
      <c r="G77" s="21">
        <f>IF(ISNUMBER('Input AIXTRON'!G191),'Input AIXTRON'!G191,0)</f>
        <v/>
      </c>
    </row>
    <row r="78">
      <c r="A78" s="24">
        <f> Total Debt</f>
        <v/>
      </c>
      <c r="B78" s="25">
        <f>B76+B77</f>
        <v/>
      </c>
      <c r="C78" s="25">
        <f>C76+C77</f>
        <v/>
      </c>
      <c r="D78" s="25">
        <f>D76+D77</f>
        <v/>
      </c>
      <c r="E78" s="25">
        <f>E76+E77</f>
        <v/>
      </c>
      <c r="F78" s="25">
        <f>F76+F77</f>
        <v/>
      </c>
      <c r="G78" s="25">
        <f>G76+G77</f>
        <v/>
      </c>
    </row>
    <row r="79">
      <c r="A79" s="11" t="inlineStr">
        <is>
          <t xml:space="preserve">  Cash &amp; Equivalents</t>
        </is>
      </c>
      <c r="B79" s="21">
        <f>IF(ISNUMBER('Input AIXTRON'!B166),'Input AIXTRON'!B166,0)</f>
        <v/>
      </c>
      <c r="C79" s="21">
        <f>IF(ISNUMBER('Input AIXTRON'!C166),'Input AIXTRON'!C166,0)</f>
        <v/>
      </c>
      <c r="D79" s="21">
        <f>IF(ISNUMBER('Input AIXTRON'!D166),'Input AIXTRON'!D166,0)</f>
        <v/>
      </c>
      <c r="E79" s="21">
        <f>IF(ISNUMBER('Input AIXTRON'!E166),'Input AIXTRON'!E166,0)</f>
        <v/>
      </c>
      <c r="F79" s="21">
        <f>IF(ISNUMBER('Input AIXTRON'!F166),'Input AIXTRON'!F166,0)</f>
        <v/>
      </c>
      <c r="G79" s="21">
        <f>IF(ISNUMBER('Input AIXTRON'!G166),'Input AIXTRON'!G166,0)</f>
        <v/>
      </c>
    </row>
    <row r="80">
      <c r="A80" s="22">
        <f> Net Debt</f>
        <v/>
      </c>
      <c r="B80" s="23">
        <f>B78-B79</f>
        <v/>
      </c>
      <c r="C80" s="23">
        <f>C78-C79</f>
        <v/>
      </c>
      <c r="D80" s="23">
        <f>D78-D79</f>
        <v/>
      </c>
      <c r="E80" s="23">
        <f>E78-E79</f>
        <v/>
      </c>
      <c r="F80" s="23">
        <f>F78-F79</f>
        <v/>
      </c>
      <c r="G80" s="23">
        <f>G78-G79</f>
        <v/>
      </c>
    </row>
    <row r="81">
      <c r="A81" s="11" t="inlineStr">
        <is>
          <t>Group Equity</t>
        </is>
      </c>
      <c r="B81" s="21">
        <f>IF(ISNUMBER('Input AIXTRON'!B202),'Input AIXTRON'!B202,0)</f>
        <v/>
      </c>
      <c r="C81" s="21">
        <f>IF(ISNUMBER('Input AIXTRON'!C202),'Input AIXTRON'!C202,0)</f>
        <v/>
      </c>
      <c r="D81" s="21">
        <f>IF(ISNUMBER('Input AIXTRON'!D202),'Input AIXTRON'!D202,0)</f>
        <v/>
      </c>
      <c r="E81" s="21">
        <f>IF(ISNUMBER('Input AIXTRON'!E202),'Input AIXTRON'!E202,0)</f>
        <v/>
      </c>
      <c r="F81" s="21">
        <f>IF(ISNUMBER('Input AIXTRON'!F202),'Input AIXTRON'!F202,0)</f>
        <v/>
      </c>
      <c r="G81" s="21">
        <f>IF(ISNUMBER('Input AIXTRON'!G202),'Input AIXTRON'!G202,0)</f>
        <v/>
      </c>
    </row>
    <row r="82">
      <c r="A82" s="26">
        <f> Invested Capital</f>
        <v/>
      </c>
      <c r="B82" s="27">
        <f>B80+B81</f>
        <v/>
      </c>
      <c r="C82" s="27">
        <f>C80+C81</f>
        <v/>
      </c>
      <c r="D82" s="27">
        <f>D80+D81</f>
        <v/>
      </c>
      <c r="E82" s="27">
        <f>E80+E81</f>
        <v/>
      </c>
      <c r="F82" s="27">
        <f>F80+F81</f>
        <v/>
      </c>
      <c r="G82" s="27">
        <f>G80+G81</f>
        <v/>
      </c>
    </row>
    <row r="83">
      <c r="A83" s="22" t="inlineStr">
        <is>
          <t>BS Check (should = 0)</t>
        </is>
      </c>
      <c r="B83" s="23">
        <f>B73-B82</f>
        <v/>
      </c>
      <c r="C83" s="23">
        <f>C73-C82</f>
        <v/>
      </c>
      <c r="D83" s="23">
        <f>D73-D82</f>
        <v/>
      </c>
      <c r="E83" s="23">
        <f>E73-E82</f>
        <v/>
      </c>
      <c r="F83" s="23">
        <f>F73-F82</f>
        <v/>
      </c>
      <c r="G83" s="23">
        <f>G73-G82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31">
        <f>B36</f>
        <v/>
      </c>
      <c r="C87" s="31">
        <f>C36</f>
        <v/>
      </c>
      <c r="D87" s="31">
        <f>D36</f>
        <v/>
      </c>
      <c r="E87" s="31">
        <f>E36</f>
        <v/>
      </c>
      <c r="F87" s="31">
        <f>F36</f>
        <v/>
      </c>
      <c r="G87" s="31">
        <f>G36</f>
        <v/>
      </c>
    </row>
    <row r="88">
      <c r="A88" s="11" t="inlineStr">
        <is>
          <t>+ D&amp;A</t>
        </is>
      </c>
      <c r="B88" s="21">
        <f>IF(ISNUMBER('Input AIXTRON'!B111),'Input AIXTRON'!B111,0)</f>
        <v/>
      </c>
      <c r="C88" s="21">
        <f>IF(ISNUMBER('Input AIXTRON'!C111),'Input AIXTRON'!C111,0)</f>
        <v/>
      </c>
      <c r="D88" s="21">
        <f>IF(ISNUMBER('Input AIXTRON'!D111),'Input AIXTRON'!D111,0)</f>
        <v/>
      </c>
      <c r="E88" s="21">
        <f>IF(ISNUMBER('Input AIXTRON'!E111),'Input AIXTRON'!E111,0)</f>
        <v/>
      </c>
      <c r="F88" s="21">
        <f>IF(ISNUMBER('Input AIXTRON'!F111),'Input AIXTRON'!F111,0)</f>
        <v/>
      </c>
      <c r="G88" s="21">
        <f>IF(ISNUMBER('Input AIXTRON'!G111),'Input AIXTRON'!G111,0)</f>
        <v/>
      </c>
    </row>
    <row r="89">
      <c r="A89" s="11" t="inlineStr">
        <is>
          <t>- Change in OWC</t>
        </is>
      </c>
      <c r="B89" s="31" t="n">
        <v>0</v>
      </c>
      <c r="C89" s="31">
        <f>C54-B54</f>
        <v/>
      </c>
      <c r="D89" s="31">
        <f>D54-C54</f>
        <v/>
      </c>
      <c r="E89" s="31">
        <f>E54-D54</f>
        <v/>
      </c>
      <c r="F89" s="31">
        <f>F54-E54</f>
        <v/>
      </c>
      <c r="G89" s="31">
        <f>G54-F54</f>
        <v/>
      </c>
    </row>
    <row r="90">
      <c r="A90" s="11" t="inlineStr">
        <is>
          <t>- CapEx</t>
        </is>
      </c>
      <c r="B90" s="21">
        <f>ABS(IF(ISNUMBER('Input AIXTRON'!B125),'Input AIXTRON'!B125,0))</f>
        <v/>
      </c>
      <c r="C90" s="21">
        <f>ABS(IF(ISNUMBER('Input AIXTRON'!C125),'Input AIXTRON'!C125,0))</f>
        <v/>
      </c>
      <c r="D90" s="21">
        <f>ABS(IF(ISNUMBER('Input AIXTRON'!D125),'Input AIXTRON'!D125,0))</f>
        <v/>
      </c>
      <c r="E90" s="21">
        <f>ABS(IF(ISNUMBER('Input AIXTRON'!E125),'Input AIXTRON'!E125,0))</f>
        <v/>
      </c>
      <c r="F90" s="21">
        <f>ABS(IF(ISNUMBER('Input AIXTRON'!F125),'Input AIXTRON'!F125,0))</f>
        <v/>
      </c>
      <c r="G90" s="21">
        <f>ABS(IF(ISNUMBER('Input AIXTRON'!G125),'Input AIXTRON'!G125,0))</f>
        <v/>
      </c>
    </row>
    <row r="91">
      <c r="A91" s="11" t="inlineStr">
        <is>
          <t>- Purchase of Intangibles</t>
        </is>
      </c>
      <c r="B91" s="21">
        <f>ABS(IF(ISNUMBER('Input AIXTRON'!B127),'Input AIXTRON'!B127,0))</f>
        <v/>
      </c>
      <c r="C91" s="21">
        <f>ABS(IF(ISNUMBER('Input AIXTRON'!C127),'Input AIXTRON'!C127,0))</f>
        <v/>
      </c>
      <c r="D91" s="21">
        <f>ABS(IF(ISNUMBER('Input AIXTRON'!D127),'Input AIXTRON'!D127,0))</f>
        <v/>
      </c>
      <c r="E91" s="21">
        <f>ABS(IF(ISNUMBER('Input AIXTRON'!E127),'Input AIXTRON'!E127,0))</f>
        <v/>
      </c>
      <c r="F91" s="21">
        <f>ABS(IF(ISNUMBER('Input AIXTRON'!F127),'Input AIXTRON'!F127,0))</f>
        <v/>
      </c>
      <c r="G91" s="21">
        <f>ABS(IF(ISNUMBER('Input AIXTRON'!G127),'Input AIXTRON'!G127,0))</f>
        <v/>
      </c>
    </row>
    <row r="92">
      <c r="A92" s="24">
        <f> Operating CF after investment</f>
        <v/>
      </c>
      <c r="B92" s="25">
        <f>B87+B88-B89-B90-B91</f>
        <v/>
      </c>
      <c r="C92" s="25">
        <f>C87+C88-C89-C90-C91</f>
        <v/>
      </c>
      <c r="D92" s="25">
        <f>D87+D88-D89-D90-D91</f>
        <v/>
      </c>
      <c r="E92" s="25">
        <f>E87+E88-E89-E90-E91</f>
        <v/>
      </c>
      <c r="F92" s="25">
        <f>F87+F88-F89-F90-F91</f>
        <v/>
      </c>
      <c r="G92" s="25">
        <f>G87+G88-G89-G90-G91</f>
        <v/>
      </c>
    </row>
    <row r="93"/>
    <row r="94">
      <c r="A94" s="11" t="inlineStr">
        <is>
          <t>+ Net Investment Profit after tax</t>
        </is>
      </c>
      <c r="B94" s="31">
        <f>B27*(1-B35)</f>
        <v/>
      </c>
      <c r="C94" s="31">
        <f>C27*(1-C35)</f>
        <v/>
      </c>
      <c r="D94" s="31">
        <f>D27*(1-D35)</f>
        <v/>
      </c>
      <c r="E94" s="31">
        <f>E27*(1-E35)</f>
        <v/>
      </c>
      <c r="F94" s="31">
        <f>F27*(1-F35)</f>
        <v/>
      </c>
      <c r="G94" s="31">
        <f>G27*(1-G35)</f>
        <v/>
      </c>
    </row>
    <row r="95">
      <c r="A95" s="11" t="inlineStr">
        <is>
          <t>- Change in Investment Assets</t>
        </is>
      </c>
      <c r="B95" s="31" t="n">
        <v>0</v>
      </c>
      <c r="C95" s="31">
        <f>C71-B71</f>
        <v/>
      </c>
      <c r="D95" s="31">
        <f>D71-C71</f>
        <v/>
      </c>
      <c r="E95" s="31">
        <f>E71-D71</f>
        <v/>
      </c>
      <c r="F95" s="31">
        <f>F71-E71</f>
        <v/>
      </c>
      <c r="G95" s="31">
        <f>G71-F71</f>
        <v/>
      </c>
    </row>
    <row r="96">
      <c r="A96" s="24">
        <f> FCF to Debt &amp; Equity</f>
        <v/>
      </c>
      <c r="B96" s="25">
        <f>B92+B94-B95</f>
        <v/>
      </c>
      <c r="C96" s="25">
        <f>C92+C94-C95</f>
        <v/>
      </c>
      <c r="D96" s="25">
        <f>D92+D94-D95</f>
        <v/>
      </c>
      <c r="E96" s="25">
        <f>E92+E94-E95</f>
        <v/>
      </c>
      <c r="F96" s="25">
        <f>F92+F94-F95</f>
        <v/>
      </c>
      <c r="G96" s="25">
        <f>G92+G94-G95</f>
        <v/>
      </c>
    </row>
    <row r="97">
      <c r="A97" s="11" t="inlineStr">
        <is>
          <t>- Interest Expense after tax</t>
        </is>
      </c>
      <c r="B97" s="31">
        <f>B29*(1-B35)</f>
        <v/>
      </c>
      <c r="C97" s="31">
        <f>C29*(1-C35)</f>
        <v/>
      </c>
      <c r="D97" s="31">
        <f>D29*(1-D35)</f>
        <v/>
      </c>
      <c r="E97" s="31">
        <f>E29*(1-E35)</f>
        <v/>
      </c>
      <c r="F97" s="31">
        <f>F29*(1-F35)</f>
        <v/>
      </c>
      <c r="G97" s="31">
        <f>G29*(1-G35)</f>
        <v/>
      </c>
    </row>
    <row r="98">
      <c r="A98" s="11" t="inlineStr">
        <is>
          <t>+ Change in Debt</t>
        </is>
      </c>
      <c r="B98" s="31" t="n">
        <v>0</v>
      </c>
      <c r="C98" s="31">
        <f>C78-B78</f>
        <v/>
      </c>
      <c r="D98" s="31">
        <f>D78-C78</f>
        <v/>
      </c>
      <c r="E98" s="31">
        <f>E78-D78</f>
        <v/>
      </c>
      <c r="F98" s="31">
        <f>F78-E78</f>
        <v/>
      </c>
      <c r="G98" s="31">
        <f>G78-F78</f>
        <v/>
      </c>
    </row>
    <row r="99">
      <c r="A99" s="26">
        <f> FCF to Equity</f>
        <v/>
      </c>
      <c r="B99" s="27">
        <f>B96-B97+B98</f>
        <v/>
      </c>
      <c r="C99" s="27">
        <f>C96-C97+C98</f>
        <v/>
      </c>
      <c r="D99" s="27">
        <f>D96-D97+D98</f>
        <v/>
      </c>
      <c r="E99" s="27">
        <f>E96-E97+E98</f>
        <v/>
      </c>
      <c r="F99" s="27">
        <f>F96-F97+F98</f>
        <v/>
      </c>
      <c r="G99" s="27">
        <f>G96-G97+G98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Applied Materials, Inc.</t>
        </is>
      </c>
    </row>
    <row r="2">
      <c r="A2" s="15" t="inlineStr">
        <is>
          <t>(EUR 000)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4"/>
    <row r="5">
      <c r="A5" s="11" t="inlineStr">
        <is>
          <t>Operating cash %</t>
        </is>
      </c>
      <c r="B5" s="17" t="n">
        <v>0.02</v>
      </c>
      <c r="C5" s="17" t="n">
        <v>0.02</v>
      </c>
      <c r="D5" s="17" t="n">
        <v>0.02</v>
      </c>
      <c r="E5" s="17" t="n">
        <v>0.02</v>
      </c>
      <c r="F5" s="17" t="n">
        <v>0.02</v>
      </c>
      <c r="G5" s="17" t="n">
        <v>0.02</v>
      </c>
    </row>
    <row r="6">
      <c r="A6" s="11" t="inlineStr">
        <is>
          <t>Tax rate (effective)</t>
        </is>
      </c>
      <c r="B6" s="18">
        <f>IF(ISNUMBER('Input AMAT'!B66),'Input AMAT'!B66,0)</f>
        <v/>
      </c>
      <c r="C6" s="18">
        <f>IF(ISNUMBER('Input AMAT'!C66),'Input AMAT'!C66,0)</f>
        <v/>
      </c>
      <c r="D6" s="18">
        <f>IF(ISNUMBER('Input AMAT'!D66),'Input AMAT'!D66,0)</f>
        <v/>
      </c>
      <c r="E6" s="18">
        <f>IF(ISNUMBER('Input AMAT'!E66),'Input AMAT'!E66,0)</f>
        <v/>
      </c>
      <c r="F6" s="18">
        <f>IF(ISNUMBER('Input AMAT'!F66),'Input AMAT'!F66,0)</f>
        <v/>
      </c>
      <c r="G6" s="18">
        <f>IF(ISNUMBER('Input AMAT'!G66),'Input AMAT'!G66,0)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IF(ISNUMBER('Input AMAT'!B21),'Input AMAT'!B21,0)</f>
        <v/>
      </c>
      <c r="C9" s="21">
        <f>IF(ISNUMBER('Input AMAT'!C21),'Input AMAT'!C21,0)</f>
        <v/>
      </c>
      <c r="D9" s="21">
        <f>IF(ISNUMBER('Input AMAT'!D21),'Input AMAT'!D21,0)</f>
        <v/>
      </c>
      <c r="E9" s="21">
        <f>IF(ISNUMBER('Input AMAT'!E21),'Input AMAT'!E21,0)</f>
        <v/>
      </c>
      <c r="F9" s="21">
        <f>IF(ISNUMBER('Input AMAT'!F21),'Input AMAT'!F21,0)</f>
        <v/>
      </c>
      <c r="G9" s="21">
        <f>IF(ISNUMBER('Input AMAT'!G21),'Input AMAT'!G21,0)</f>
        <v/>
      </c>
    </row>
    <row r="10">
      <c r="A10" s="11" t="inlineStr">
        <is>
          <t>Cost of Sales</t>
        </is>
      </c>
      <c r="B10" s="21">
        <f>IF(ISNUMBER('Input AMAT'!B23),'Input AMAT'!B23,0)</f>
        <v/>
      </c>
      <c r="C10" s="21">
        <f>IF(ISNUMBER('Input AMAT'!C23),'Input AMAT'!C23,0)</f>
        <v/>
      </c>
      <c r="D10" s="21">
        <f>IF(ISNUMBER('Input AMAT'!D23),'Input AMAT'!D23,0)</f>
        <v/>
      </c>
      <c r="E10" s="21">
        <f>IF(ISNUMBER('Input AMAT'!E23),'Input AMAT'!E23,0)</f>
        <v/>
      </c>
      <c r="F10" s="21">
        <f>IF(ISNUMBER('Input AMAT'!F23),'Input AMAT'!F23,0)</f>
        <v/>
      </c>
      <c r="G10" s="21">
        <f>IF(ISNUMBER('Input AMAT'!G23),'Input AMAT'!G23,0)</f>
        <v/>
      </c>
    </row>
    <row r="11">
      <c r="A11" s="22" t="inlineStr">
        <is>
          <t>Gross Profit</t>
        </is>
      </c>
      <c r="B11" s="23">
        <f>B9-B10</f>
        <v/>
      </c>
      <c r="C11" s="23">
        <f>C9-C10</f>
        <v/>
      </c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</row>
    <row r="12">
      <c r="A12" s="11" t="inlineStr">
        <is>
          <t xml:space="preserve">  SG&amp;A</t>
        </is>
      </c>
      <c r="B12" s="21">
        <f>IF(ISNUMBER('Input AMAT'!B26),'Input AMAT'!B26,0)</f>
        <v/>
      </c>
      <c r="C12" s="21">
        <f>IF(ISNUMBER('Input AMAT'!C26),'Input AMAT'!C26,0)</f>
        <v/>
      </c>
      <c r="D12" s="21">
        <f>IF(ISNUMBER('Input AMAT'!D26),'Input AMAT'!D26,0)</f>
        <v/>
      </c>
      <c r="E12" s="21">
        <f>IF(ISNUMBER('Input AMAT'!E26),'Input AMAT'!E26,0)</f>
        <v/>
      </c>
      <c r="F12" s="21">
        <f>IF(ISNUMBER('Input AMAT'!F26),'Input AMAT'!F26,0)</f>
        <v/>
      </c>
      <c r="G12" s="21">
        <f>IF(ISNUMBER('Input AMAT'!G26),'Input AMAT'!G26,0)</f>
        <v/>
      </c>
    </row>
    <row r="13">
      <c r="A13" s="11" t="inlineStr">
        <is>
          <t xml:space="preserve">  R&amp;D</t>
        </is>
      </c>
      <c r="B13" s="21">
        <f>IF(ISNUMBER('Input AMAT'!B27),'Input AMAT'!B27,0)</f>
        <v/>
      </c>
      <c r="C13" s="21">
        <f>IF(ISNUMBER('Input AMAT'!C27),'Input AMAT'!C27,0)</f>
        <v/>
      </c>
      <c r="D13" s="21">
        <f>IF(ISNUMBER('Input AMAT'!D27),'Input AMAT'!D27,0)</f>
        <v/>
      </c>
      <c r="E13" s="21">
        <f>IF(ISNUMBER('Input AMAT'!E27),'Input AMAT'!E27,0)</f>
        <v/>
      </c>
      <c r="F13" s="21">
        <f>IF(ISNUMBER('Input AMAT'!F27),'Input AMAT'!F27,0)</f>
        <v/>
      </c>
      <c r="G13" s="21">
        <f>IF(ISNUMBER('Input AMAT'!G27),'Input AMAT'!G27,0)</f>
        <v/>
      </c>
    </row>
    <row r="14">
      <c r="A14" s="11" t="inlineStr">
        <is>
          <t xml:space="preserve">  Depreciation &amp; Amortization</t>
        </is>
      </c>
      <c r="B14" s="21">
        <f>IF(ISNUMBER('Input AMAT'!B108),'Input AMAT'!B108,0)</f>
        <v/>
      </c>
      <c r="C14" s="21">
        <f>IF(ISNUMBER('Input AMAT'!C108),'Input AMAT'!C108,0)</f>
        <v/>
      </c>
      <c r="D14" s="21">
        <f>IF(ISNUMBER('Input AMAT'!D108),'Input AMAT'!D108,0)</f>
        <v/>
      </c>
      <c r="E14" s="21">
        <f>IF(ISNUMBER('Input AMAT'!E108),'Input AMAT'!E108,0)</f>
        <v/>
      </c>
      <c r="F14" s="21">
        <f>IF(ISNUMBER('Input AMAT'!F108),'Input AMAT'!F108,0)</f>
        <v/>
      </c>
      <c r="G14" s="21">
        <f>IF(ISNUMBER('Input AMAT'!G108),'Input AMAT'!G108,0)</f>
        <v/>
      </c>
    </row>
    <row r="15">
      <c r="A15" s="11" t="inlineStr">
        <is>
          <t xml:space="preserve">  Other Operating Expense</t>
        </is>
      </c>
      <c r="B15" s="31" t="n">
        <v>0</v>
      </c>
      <c r="C15" s="31" t="n">
        <v>0</v>
      </c>
      <c r="D15" s="31" t="n">
        <v>0</v>
      </c>
      <c r="E15" s="31" t="n">
        <v>0</v>
      </c>
      <c r="F15" s="31" t="n">
        <v>0</v>
      </c>
      <c r="G15" s="31" t="n">
        <v>0</v>
      </c>
    </row>
    <row r="16">
      <c r="A16" s="24" t="inlineStr">
        <is>
          <t>Total Operating Expense</t>
        </is>
      </c>
      <c r="B16" s="25">
        <f>B10+B12+B13+B14+B15</f>
        <v/>
      </c>
      <c r="C16" s="25">
        <f>C10+C12+C13+C14+C15</f>
        <v/>
      </c>
      <c r="D16" s="25">
        <f>D10+D12+D13+D14+D15</f>
        <v/>
      </c>
      <c r="E16" s="25">
        <f>E10+E12+E13+E14+E15</f>
        <v/>
      </c>
      <c r="F16" s="25">
        <f>F10+F12+F13+F14+F15</f>
        <v/>
      </c>
      <c r="G16" s="25">
        <f>G10+G12+G13+G14+G15</f>
        <v/>
      </c>
    </row>
    <row r="17">
      <c r="A17" s="24" t="inlineStr">
        <is>
          <t>Recurring Operating Profit</t>
        </is>
      </c>
      <c r="B17" s="25">
        <f>B9-B16</f>
        <v/>
      </c>
      <c r="C17" s="25">
        <f>C9-C16</f>
        <v/>
      </c>
      <c r="D17" s="25">
        <f>D9-D16</f>
        <v/>
      </c>
      <c r="E17" s="25">
        <f>E9-E16</f>
        <v/>
      </c>
      <c r="F17" s="25">
        <f>F9-F16</f>
        <v/>
      </c>
      <c r="G17" s="25">
        <f>G9-G16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IF(ISNUMBER('Input AMAT'!B39),'Input AMAT'!B39,0)</f>
        <v/>
      </c>
      <c r="C20" s="21">
        <f>IF(ISNUMBER('Input AMAT'!C39),'Input AMAT'!C39,0)</f>
        <v/>
      </c>
      <c r="D20" s="21">
        <f>IF(ISNUMBER('Input AMAT'!D39),'Input AMAT'!D39,0)</f>
        <v/>
      </c>
      <c r="E20" s="21">
        <f>IF(ISNUMBER('Input AMAT'!E39),'Input AMAT'!E39,0)</f>
        <v/>
      </c>
      <c r="F20" s="21">
        <f>IF(ISNUMBER('Input AMAT'!F39),'Input AMAT'!F39,0)</f>
        <v/>
      </c>
      <c r="G20" s="21">
        <f>IF(ISNUMBER('Input AMAT'!G39),'Input AMAT'!G39,0)</f>
        <v/>
      </c>
    </row>
    <row r="21">
      <c r="A21" s="11" t="inlineStr">
        <is>
          <t xml:space="preserve">  Gain/Loss on Sale of Assets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</row>
    <row r="22">
      <c r="A22" s="11" t="inlineStr">
        <is>
          <t xml:space="preserve">  Asset Writedown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</row>
    <row r="23">
      <c r="A23" s="11" t="inlineStr">
        <is>
          <t xml:space="preserve">  Other Unusual Items</t>
        </is>
      </c>
      <c r="B23" s="21">
        <f>IF(ISNUMBER('Input AMAT'!B40),'Input AMAT'!B40,0)+IF(ISNUMBER('Input AMAT'!B37),'Input AMAT'!B37,0)+IF(ISNUMBER('Input AMAT'!B38),'Input AMAT'!B38,0)</f>
        <v/>
      </c>
      <c r="C23" s="21">
        <f>IF(ISNUMBER('Input AMAT'!C40),'Input AMAT'!C40,0)+IF(ISNUMBER('Input AMAT'!C37),'Input AMAT'!C37,0)+IF(ISNUMBER('Input AMAT'!C38),'Input AMAT'!C38,0)</f>
        <v/>
      </c>
      <c r="D23" s="21">
        <f>IF(ISNUMBER('Input AMAT'!D40),'Input AMAT'!D40,0)+IF(ISNUMBER('Input AMAT'!D37),'Input AMAT'!D37,0)+IF(ISNUMBER('Input AMAT'!D38),'Input AMAT'!D38,0)</f>
        <v/>
      </c>
      <c r="E23" s="21">
        <f>IF(ISNUMBER('Input AMAT'!E40),'Input AMAT'!E40,0)+IF(ISNUMBER('Input AMAT'!E37),'Input AMAT'!E37,0)+IF(ISNUMBER('Input AMAT'!E38),'Input AMAT'!E38,0)</f>
        <v/>
      </c>
      <c r="F23" s="21">
        <f>IF(ISNUMBER('Input AMAT'!F40),'Input AMAT'!F40,0)+IF(ISNUMBER('Input AMAT'!F37),'Input AMAT'!F37,0)+IF(ISNUMBER('Input AMAT'!F38),'Input AMAT'!F38,0)</f>
        <v/>
      </c>
      <c r="G23" s="21">
        <f>IF(ISNUMBER('Input AMAT'!G40),'Input AMAT'!G40,0)+IF(ISNUMBER('Input AMAT'!G37),'Input AMAT'!G37,0)+IF(ISNUMBER('Input AMAT'!G38),'Input AMAT'!G38,0)</f>
        <v/>
      </c>
    </row>
    <row r="24">
      <c r="A24" s="22" t="inlineStr">
        <is>
          <t>Total Non-recurring</t>
        </is>
      </c>
      <c r="B24" s="23">
        <f>SUM(B20:B23)</f>
        <v/>
      </c>
      <c r="C24" s="23">
        <f>SUM(C20:C23)</f>
        <v/>
      </c>
      <c r="D24" s="23">
        <f>SUM(D20:D23)</f>
        <v/>
      </c>
      <c r="E24" s="23">
        <f>SUM(E20:E23)</f>
        <v/>
      </c>
      <c r="F24" s="23">
        <f>SUM(F20:F23)</f>
        <v/>
      </c>
      <c r="G24" s="23">
        <f>SUM(G20:G23)</f>
        <v/>
      </c>
    </row>
    <row r="25">
      <c r="A25" s="24" t="inlineStr">
        <is>
          <t>EBIT</t>
        </is>
      </c>
      <c r="B25" s="25">
        <f>B17+B24</f>
        <v/>
      </c>
      <c r="C25" s="25">
        <f>C17+C24</f>
        <v/>
      </c>
      <c r="D25" s="25">
        <f>D17+D24</f>
        <v/>
      </c>
      <c r="E25" s="25">
        <f>E17+E24</f>
        <v/>
      </c>
      <c r="F25" s="25">
        <f>F17+F24</f>
        <v/>
      </c>
      <c r="G25" s="25">
        <f>G17+G24</f>
        <v/>
      </c>
    </row>
    <row r="26"/>
    <row r="27">
      <c r="A27" s="11" t="inlineStr">
        <is>
          <t xml:space="preserve">  Investment Income (Equity Method)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</row>
    <row r="28">
      <c r="A28" s="11" t="inlineStr">
        <is>
          <t xml:space="preserve">  Interest Income</t>
        </is>
      </c>
      <c r="B28" s="21">
        <f>IF(ISNUMBER('Input AMAT'!B32),'Input AMAT'!B32,0)</f>
        <v/>
      </c>
      <c r="C28" s="21">
        <f>IF(ISNUMBER('Input AMAT'!C32),'Input AMAT'!C32,0)</f>
        <v/>
      </c>
      <c r="D28" s="21">
        <f>IF(ISNUMBER('Input AMAT'!D32),'Input AMAT'!D32,0)</f>
        <v/>
      </c>
      <c r="E28" s="21">
        <f>IF(ISNUMBER('Input AMAT'!E32),'Input AMAT'!E32,0)</f>
        <v/>
      </c>
      <c r="F28" s="21">
        <f>IF(ISNUMBER('Input AMAT'!F32),'Input AMAT'!F32,0)</f>
        <v/>
      </c>
      <c r="G28" s="21">
        <f>IF(ISNUMBER('Input AMAT'!G32),'Input AMAT'!G32,0)</f>
        <v/>
      </c>
    </row>
    <row r="29">
      <c r="A29" s="11" t="inlineStr">
        <is>
          <t xml:space="preserve">  Interest Expense</t>
        </is>
      </c>
      <c r="B29" s="21">
        <f>IF(ISNUMBER('Input AMAT'!B31),'Input AMAT'!B31,0)</f>
        <v/>
      </c>
      <c r="C29" s="21">
        <f>IF(ISNUMBER('Input AMAT'!C31),'Input AMAT'!C31,0)</f>
        <v/>
      </c>
      <c r="D29" s="21">
        <f>IF(ISNUMBER('Input AMAT'!D31),'Input AMAT'!D31,0)</f>
        <v/>
      </c>
      <c r="E29" s="21">
        <f>IF(ISNUMBER('Input AMAT'!E31),'Input AMAT'!E31,0)</f>
        <v/>
      </c>
      <c r="F29" s="21">
        <f>IF(ISNUMBER('Input AMAT'!F31),'Input AMAT'!F31,0)</f>
        <v/>
      </c>
      <c r="G29" s="21">
        <f>IF(ISNUMBER('Input AMAT'!G31),'Input AMAT'!G31,0)</f>
        <v/>
      </c>
    </row>
    <row r="30">
      <c r="A30" s="11" t="inlineStr">
        <is>
          <t xml:space="preserve">  FX Gains/(Losses)</t>
        </is>
      </c>
      <c r="B30" s="21">
        <f>IF(ISNUMBER('Input AMAT'!B34),'Input AMAT'!B34,0)</f>
        <v/>
      </c>
      <c r="C30" s="21">
        <f>IF(ISNUMBER('Input AMAT'!C34),'Input AMAT'!C34,0)</f>
        <v/>
      </c>
      <c r="D30" s="21">
        <f>IF(ISNUMBER('Input AMAT'!D34),'Input AMAT'!D34,0)</f>
        <v/>
      </c>
      <c r="E30" s="21">
        <f>IF(ISNUMBER('Input AMAT'!E34),'Input AMAT'!E34,0)</f>
        <v/>
      </c>
      <c r="F30" s="21">
        <f>IF(ISNUMBER('Input AMAT'!F34),'Input AMAT'!F34,0)</f>
        <v/>
      </c>
      <c r="G30" s="21">
        <f>IF(ISNUMBER('Input AMAT'!G34),'Input AMAT'!G34,0)</f>
        <v/>
      </c>
    </row>
    <row r="31">
      <c r="A31" s="22" t="inlineStr">
        <is>
          <t>Profit Before Tax</t>
        </is>
      </c>
      <c r="B31" s="23">
        <f>B25+B27+B28+B29+B30</f>
        <v/>
      </c>
      <c r="C31" s="23">
        <f>C25+C27+C28+C29+C30</f>
        <v/>
      </c>
      <c r="D31" s="23">
        <f>D25+D27+D28+D29+D30</f>
        <v/>
      </c>
      <c r="E31" s="23">
        <f>E25+E27+E28+E29+E30</f>
        <v/>
      </c>
      <c r="F31" s="23">
        <f>F25+F27+F28+F29+F30</f>
        <v/>
      </c>
      <c r="G31" s="23">
        <f>G25+G27+G28+G29+G30</f>
        <v/>
      </c>
    </row>
    <row r="32">
      <c r="A32" s="11" t="inlineStr">
        <is>
          <t xml:space="preserve">  Tax Expense</t>
        </is>
      </c>
      <c r="B32" s="21">
        <f>IF(ISNUMBER('Input AMAT'!B43),'Input AMAT'!B43,0)</f>
        <v/>
      </c>
      <c r="C32" s="21">
        <f>IF(ISNUMBER('Input AMAT'!C43),'Input AMAT'!C43,0)</f>
        <v/>
      </c>
      <c r="D32" s="21">
        <f>IF(ISNUMBER('Input AMAT'!D43),'Input AMAT'!D43,0)</f>
        <v/>
      </c>
      <c r="E32" s="21">
        <f>IF(ISNUMBER('Input AMAT'!E43),'Input AMAT'!E43,0)</f>
        <v/>
      </c>
      <c r="F32" s="21">
        <f>IF(ISNUMBER('Input AMAT'!F43),'Input AMAT'!F43,0)</f>
        <v/>
      </c>
      <c r="G32" s="21">
        <f>IF(ISNUMBER('Input AMAT'!G43),'Input AMAT'!G43,0)</f>
        <v/>
      </c>
    </row>
    <row r="33">
      <c r="A33" s="26" t="inlineStr">
        <is>
          <t>Net Income</t>
        </is>
      </c>
      <c r="B33" s="27">
        <f>B31-B32</f>
        <v/>
      </c>
      <c r="C33" s="27">
        <f>C31-C32</f>
        <v/>
      </c>
      <c r="D33" s="27">
        <f>D31-D32</f>
        <v/>
      </c>
      <c r="E33" s="27">
        <f>E31-E32</f>
        <v/>
      </c>
      <c r="F33" s="27">
        <f>F31-F32</f>
        <v/>
      </c>
      <c r="G33" s="27">
        <f>G31-G32</f>
        <v/>
      </c>
    </row>
    <row r="34"/>
    <row r="35">
      <c r="A35" s="11" t="inlineStr">
        <is>
          <t>Effective Tax Rate</t>
        </is>
      </c>
      <c r="B35" s="28">
        <f>IF(B31&lt;&gt;0,B32/B31,0)</f>
        <v/>
      </c>
      <c r="C35" s="28">
        <f>IF(C31&lt;&gt;0,C32/C31,0)</f>
        <v/>
      </c>
      <c r="D35" s="28">
        <f>IF(D31&lt;&gt;0,D32/D31,0)</f>
        <v/>
      </c>
      <c r="E35" s="28">
        <f>IF(E31&lt;&gt;0,E32/E31,0)</f>
        <v/>
      </c>
      <c r="F35" s="28">
        <f>IF(F31&lt;&gt;0,F32/F31,0)</f>
        <v/>
      </c>
      <c r="G35" s="28">
        <f>IF(G31&lt;&gt;0,G32/G31,0)</f>
        <v/>
      </c>
    </row>
    <row r="36">
      <c r="A36" s="22" t="inlineStr">
        <is>
          <t>NOPAT</t>
        </is>
      </c>
      <c r="B36" s="23">
        <f>B17*(1-B35)</f>
        <v/>
      </c>
      <c r="C36" s="23">
        <f>C17*(1-C35)</f>
        <v/>
      </c>
      <c r="D36" s="23">
        <f>D17*(1-D35)</f>
        <v/>
      </c>
      <c r="E36" s="23">
        <f>E17*(1-E35)</f>
        <v/>
      </c>
      <c r="F36" s="23">
        <f>F17*(1-F35)</f>
        <v/>
      </c>
      <c r="G36" s="23">
        <f>G17*(1-G35)</f>
        <v/>
      </c>
    </row>
    <row r="37"/>
    <row r="38">
      <c r="A38" s="11" t="inlineStr">
        <is>
          <t>Shares Outstanding (diluted)</t>
        </is>
      </c>
      <c r="B38" s="21">
        <f>IF(ISNUMBER('Input AMAT'!B55),'Input AMAT'!B55,0)</f>
        <v/>
      </c>
      <c r="C38" s="21">
        <f>IF(ISNUMBER('Input AMAT'!C55),'Input AMAT'!C55,0)</f>
        <v/>
      </c>
      <c r="D38" s="21">
        <f>IF(ISNUMBER('Input AMAT'!D55),'Input AMAT'!D55,0)</f>
        <v/>
      </c>
      <c r="E38" s="21">
        <f>IF(ISNUMBER('Input AMAT'!E55),'Input AMAT'!E55,0)</f>
        <v/>
      </c>
      <c r="F38" s="21">
        <f>IF(ISNUMBER('Input AMAT'!F55),'Input AMAT'!F55,0)</f>
        <v/>
      </c>
      <c r="G38" s="21">
        <f>IF(ISNUMBER('Input AMAT'!G55),'Input AMAT'!G55,0)</f>
        <v/>
      </c>
    </row>
    <row r="39">
      <c r="A39" s="11" t="inlineStr">
        <is>
          <t>EPS (diluted)</t>
        </is>
      </c>
      <c r="B39" s="29">
        <f>IF(B38&lt;&gt;0,B33/B38*1000,0)</f>
        <v/>
      </c>
      <c r="C39" s="29">
        <f>IF(C38&lt;&gt;0,C33/C38*1000,0)</f>
        <v/>
      </c>
      <c r="D39" s="29">
        <f>IF(D38&lt;&gt;0,D33/D38*1000,0)</f>
        <v/>
      </c>
      <c r="E39" s="29">
        <f>IF(E38&lt;&gt;0,E33/E38*1000,0)</f>
        <v/>
      </c>
      <c r="F39" s="29">
        <f>IF(F38&lt;&gt;0,F33/F38*1000,0)</f>
        <v/>
      </c>
      <c r="G39" s="29">
        <f>IF(G38&lt;&gt;0,G33/G38*1000,0)</f>
        <v/>
      </c>
    </row>
    <row r="40">
      <c r="A40" s="11" t="inlineStr">
        <is>
          <t>Dividends per Share</t>
        </is>
      </c>
      <c r="B40" s="30">
        <f>IF(ISNUMBER('Input AMAT'!B58),'Input AMAT'!B58,0)</f>
        <v/>
      </c>
      <c r="C40" s="30">
        <f>IF(ISNUMBER('Input AMAT'!C58),'Input AMAT'!C58,0)</f>
        <v/>
      </c>
      <c r="D40" s="30">
        <f>IF(ISNUMBER('Input AMAT'!D58),'Input AMAT'!D58,0)</f>
        <v/>
      </c>
      <c r="E40" s="30">
        <f>IF(ISNUMBER('Input AMAT'!E58),'Input AMAT'!E58,0)</f>
        <v/>
      </c>
      <c r="F40" s="30">
        <f>IF(ISNUMBER('Input AMAT'!F58),'Input AMAT'!F58,0)</f>
        <v/>
      </c>
      <c r="G40" s="30">
        <f>IF(ISNUMBER('Input AMAT'!G58),'Input AMAT'!G58,0)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IF(ISNUMBER('Input AMAT'!B161),'Input AMAT'!B161,0)</f>
        <v/>
      </c>
      <c r="C45" s="21">
        <f>IF(ISNUMBER('Input AMAT'!C161),'Input AMAT'!C161,0)</f>
        <v/>
      </c>
      <c r="D45" s="21">
        <f>IF(ISNUMBER('Input AMAT'!D161),'Input AMAT'!D161,0)</f>
        <v/>
      </c>
      <c r="E45" s="21">
        <f>IF(ISNUMBER('Input AMAT'!E161),'Input AMAT'!E161,0)</f>
        <v/>
      </c>
      <c r="F45" s="21">
        <f>IF(ISNUMBER('Input AMAT'!F161),'Input AMAT'!F161,0)</f>
        <v/>
      </c>
      <c r="G45" s="21">
        <f>IF(ISNUMBER('Input AMAT'!G161),'Input AMAT'!G161,0)</f>
        <v/>
      </c>
    </row>
    <row r="46">
      <c r="A46" s="11" t="inlineStr">
        <is>
          <t xml:space="preserve">  + Other Receivables</t>
        </is>
      </c>
      <c r="B46" s="31" t="n">
        <v>0</v>
      </c>
      <c r="C46" s="31" t="n">
        <v>0</v>
      </c>
      <c r="D46" s="31" t="n">
        <v>0</v>
      </c>
      <c r="E46" s="31" t="n">
        <v>0</v>
      </c>
      <c r="F46" s="31" t="n">
        <v>0</v>
      </c>
      <c r="G46" s="31" t="n">
        <v>0</v>
      </c>
    </row>
    <row r="47">
      <c r="A47" s="11" t="inlineStr">
        <is>
          <t xml:space="preserve">  + Inventories</t>
        </is>
      </c>
      <c r="B47" s="21">
        <f>IF(ISNUMBER('Input AMAT'!B163),'Input AMAT'!B163,0)</f>
        <v/>
      </c>
      <c r="C47" s="21">
        <f>IF(ISNUMBER('Input AMAT'!C163),'Input AMAT'!C163,0)</f>
        <v/>
      </c>
      <c r="D47" s="21">
        <f>IF(ISNUMBER('Input AMAT'!D163),'Input AMAT'!D163,0)</f>
        <v/>
      </c>
      <c r="E47" s="21">
        <f>IF(ISNUMBER('Input AMAT'!E163),'Input AMAT'!E163,0)</f>
        <v/>
      </c>
      <c r="F47" s="21">
        <f>IF(ISNUMBER('Input AMAT'!F163),'Input AMAT'!F163,0)</f>
        <v/>
      </c>
      <c r="G47" s="21">
        <f>IF(ISNUMBER('Input AMAT'!G163),'Input AMAT'!G163,0)</f>
        <v/>
      </c>
    </row>
    <row r="48">
      <c r="A48" s="11" t="inlineStr">
        <is>
          <t xml:space="preserve">  + Prepaid &amp; Other CA</t>
        </is>
      </c>
      <c r="B48" s="21">
        <f>IF(ISNUMBER('Input AMAT'!B164),'Input AMAT'!B164,0)+IF(ISNUMBER('Input AMAT'!B165),'Input AMAT'!B165,0)</f>
        <v/>
      </c>
      <c r="C48" s="21">
        <f>IF(ISNUMBER('Input AMAT'!C164),'Input AMAT'!C164,0)+IF(ISNUMBER('Input AMAT'!C165),'Input AMAT'!C165,0)</f>
        <v/>
      </c>
      <c r="D48" s="21">
        <f>IF(ISNUMBER('Input AMAT'!D164),'Input AMAT'!D164,0)+IF(ISNUMBER('Input AMAT'!D165),'Input AMAT'!D165,0)</f>
        <v/>
      </c>
      <c r="E48" s="21">
        <f>IF(ISNUMBER('Input AMAT'!E164),'Input AMAT'!E164,0)+IF(ISNUMBER('Input AMAT'!E165),'Input AMAT'!E165,0)</f>
        <v/>
      </c>
      <c r="F48" s="21">
        <f>IF(ISNUMBER('Input AMAT'!F164),'Input AMAT'!F164,0)+IF(ISNUMBER('Input AMAT'!F165),'Input AMAT'!F165,0)</f>
        <v/>
      </c>
      <c r="G48" s="21">
        <f>IF(ISNUMBER('Input AMAT'!G164),'Input AMAT'!G164,0)+IF(ISNUMBER('Input AMAT'!G165),'Input AMAT'!G165,0)</f>
        <v/>
      </c>
    </row>
    <row r="49">
      <c r="A49" s="11" t="inlineStr">
        <is>
          <t xml:space="preserve">  - Accounts Payable</t>
        </is>
      </c>
      <c r="B49" s="21">
        <f>IF(ISNUMBER('Input AMAT'!B177),'Input AMAT'!B177,0)</f>
        <v/>
      </c>
      <c r="C49" s="21">
        <f>IF(ISNUMBER('Input AMAT'!C177),'Input AMAT'!C177,0)</f>
        <v/>
      </c>
      <c r="D49" s="21">
        <f>IF(ISNUMBER('Input AMAT'!D177),'Input AMAT'!D177,0)</f>
        <v/>
      </c>
      <c r="E49" s="21">
        <f>IF(ISNUMBER('Input AMAT'!E177),'Input AMAT'!E177,0)</f>
        <v/>
      </c>
      <c r="F49" s="21">
        <f>IF(ISNUMBER('Input AMAT'!F177),'Input AMAT'!F177,0)</f>
        <v/>
      </c>
      <c r="G49" s="21">
        <f>IF(ISNUMBER('Input AMAT'!G177),'Input AMAT'!G177,0)</f>
        <v/>
      </c>
    </row>
    <row r="50">
      <c r="A50" s="11" t="inlineStr">
        <is>
          <t xml:space="preserve">  - Accrued Expenses</t>
        </is>
      </c>
      <c r="B50" s="21">
        <f>IF(ISNUMBER('Input AMAT'!B178),'Input AMAT'!B178,0)</f>
        <v/>
      </c>
      <c r="C50" s="21">
        <f>IF(ISNUMBER('Input AMAT'!C178),'Input AMAT'!C178,0)</f>
        <v/>
      </c>
      <c r="D50" s="21">
        <f>IF(ISNUMBER('Input AMAT'!D178),'Input AMAT'!D178,0)</f>
        <v/>
      </c>
      <c r="E50" s="21">
        <f>IF(ISNUMBER('Input AMAT'!E178),'Input AMAT'!E178,0)</f>
        <v/>
      </c>
      <c r="F50" s="21">
        <f>IF(ISNUMBER('Input AMAT'!F178),'Input AMAT'!F178,0)</f>
        <v/>
      </c>
      <c r="G50" s="21">
        <f>IF(ISNUMBER('Input AMAT'!G178),'Input AMAT'!G178,0)</f>
        <v/>
      </c>
    </row>
    <row r="51">
      <c r="A51" s="11" t="inlineStr">
        <is>
          <t xml:space="preserve">  - Unearned Revenue / Contract Liabilities</t>
        </is>
      </c>
      <c r="B51" s="21">
        <f>IF(ISNUMBER('Input AMAT'!B183),'Input AMAT'!B183,0)</f>
        <v/>
      </c>
      <c r="C51" s="21">
        <f>IF(ISNUMBER('Input AMAT'!C183),'Input AMAT'!C183,0)</f>
        <v/>
      </c>
      <c r="D51" s="21">
        <f>IF(ISNUMBER('Input AMAT'!D183),'Input AMAT'!D183,0)</f>
        <v/>
      </c>
      <c r="E51" s="21">
        <f>IF(ISNUMBER('Input AMAT'!E183),'Input AMAT'!E183,0)</f>
        <v/>
      </c>
      <c r="F51" s="21">
        <f>IF(ISNUMBER('Input AMAT'!F183),'Input AMAT'!F183,0)</f>
        <v/>
      </c>
      <c r="G51" s="21">
        <f>IF(ISNUMBER('Input AMAT'!G183),'Input AMAT'!G183,0)</f>
        <v/>
      </c>
    </row>
    <row r="52">
      <c r="A52" s="11" t="inlineStr">
        <is>
          <t xml:space="preserve">  - Income Taxes Payable</t>
        </is>
      </c>
      <c r="B52" s="21">
        <f>IF(ISNUMBER('Input AMAT'!B182),'Input AMAT'!B182,0)</f>
        <v/>
      </c>
      <c r="C52" s="21">
        <f>IF(ISNUMBER('Input AMAT'!C182),'Input AMAT'!C182,0)</f>
        <v/>
      </c>
      <c r="D52" s="21">
        <f>IF(ISNUMBER('Input AMAT'!D182),'Input AMAT'!D182,0)</f>
        <v/>
      </c>
      <c r="E52" s="21">
        <f>IF(ISNUMBER('Input AMAT'!E182),'Input AMAT'!E182,0)</f>
        <v/>
      </c>
      <c r="F52" s="21">
        <f>IF(ISNUMBER('Input AMAT'!F182),'Input AMAT'!F182,0)</f>
        <v/>
      </c>
      <c r="G52" s="21">
        <f>IF(ISNUMBER('Input AMAT'!G182),'Input AMAT'!G182,0)</f>
        <v/>
      </c>
    </row>
    <row r="53">
      <c r="A53" s="11" t="inlineStr">
        <is>
          <t xml:space="preserve">  - Other Current Liabilities</t>
        </is>
      </c>
      <c r="B53" s="21">
        <f>IF(ISNUMBER('Input AMAT'!B184),'Input AMAT'!B184,0)</f>
        <v/>
      </c>
      <c r="C53" s="21">
        <f>IF(ISNUMBER('Input AMAT'!C184),'Input AMAT'!C184,0)</f>
        <v/>
      </c>
      <c r="D53" s="21">
        <f>IF(ISNUMBER('Input AMAT'!D184),'Input AMAT'!D184,0)</f>
        <v/>
      </c>
      <c r="E53" s="21">
        <f>IF(ISNUMBER('Input AMAT'!E184),'Input AMAT'!E184,0)</f>
        <v/>
      </c>
      <c r="F53" s="21">
        <f>IF(ISNUMBER('Input AMAT'!F184),'Input AMAT'!F184,0)</f>
        <v/>
      </c>
      <c r="G53" s="21">
        <f>IF(ISNUMBER('Input AMAT'!G184),'Input AMAT'!G184,0)</f>
        <v/>
      </c>
    </row>
    <row r="54">
      <c r="A54" s="24">
        <f> Operating Working Capital</f>
        <v/>
      </c>
      <c r="B54" s="25">
        <f>B45+B46+B47+B48-B49-B50-B51-B52-B53</f>
        <v/>
      </c>
      <c r="C54" s="25">
        <f>C45+C46+C47+C48-C49-C50-C51-C52-C53</f>
        <v/>
      </c>
      <c r="D54" s="25">
        <f>D45+D46+D47+D48-D49-D50-D51-D52-D53</f>
        <v/>
      </c>
      <c r="E54" s="25">
        <f>E45+E46+E47+E48-E49-E50-E51-E52-E53</f>
        <v/>
      </c>
      <c r="F54" s="25">
        <f>F45+F46+F47+F48-F49-F50-F51-F52-F53</f>
        <v/>
      </c>
      <c r="G54" s="25">
        <f>G45+G46+G47+G48-G49-G50-G51-G52-G53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IF(ISNUMBER('Input AMAT'!B169),'Input AMAT'!B169,0)</f>
        <v/>
      </c>
      <c r="C57" s="21">
        <f>IF(ISNUMBER('Input AMAT'!C169),'Input AMAT'!C169,0)</f>
        <v/>
      </c>
      <c r="D57" s="21">
        <f>IF(ISNUMBER('Input AMAT'!D169),'Input AMAT'!D169,0)</f>
        <v/>
      </c>
      <c r="E57" s="21">
        <f>IF(ISNUMBER('Input AMAT'!E169),'Input AMAT'!E169,0)</f>
        <v/>
      </c>
      <c r="F57" s="21">
        <f>IF(ISNUMBER('Input AMAT'!F169),'Input AMAT'!F169,0)</f>
        <v/>
      </c>
      <c r="G57" s="21">
        <f>IF(ISNUMBER('Input AMAT'!G169),'Input AMAT'!G169,0)</f>
        <v/>
      </c>
    </row>
    <row r="58">
      <c r="A58" s="11" t="inlineStr">
        <is>
          <t xml:space="preserve">  + Goodwill</t>
        </is>
      </c>
      <c r="B58" s="21">
        <f>IF(ISNUMBER('Input AMAT'!B171),'Input AMAT'!B171,0)</f>
        <v/>
      </c>
      <c r="C58" s="21">
        <f>IF(ISNUMBER('Input AMAT'!C171),'Input AMAT'!C171,0)</f>
        <v/>
      </c>
      <c r="D58" s="21">
        <f>IF(ISNUMBER('Input AMAT'!D171),'Input AMAT'!D171,0)</f>
        <v/>
      </c>
      <c r="E58" s="21">
        <f>IF(ISNUMBER('Input AMAT'!E171),'Input AMAT'!E171,0)</f>
        <v/>
      </c>
      <c r="F58" s="21">
        <f>IF(ISNUMBER('Input AMAT'!F171),'Input AMAT'!F171,0)</f>
        <v/>
      </c>
      <c r="G58" s="21">
        <f>IF(ISNUMBER('Input AMAT'!G171),'Input AMAT'!G171,0)</f>
        <v/>
      </c>
    </row>
    <row r="59">
      <c r="A59" s="11" t="inlineStr">
        <is>
          <t xml:space="preserve">  + Other Intangible Assets</t>
        </is>
      </c>
      <c r="B59" s="21">
        <f>IF(ISNUMBER('Input AMAT'!B172),'Input AMAT'!B172,0)</f>
        <v/>
      </c>
      <c r="C59" s="21">
        <f>IF(ISNUMBER('Input AMAT'!C172),'Input AMAT'!C172,0)</f>
        <v/>
      </c>
      <c r="D59" s="21">
        <f>IF(ISNUMBER('Input AMAT'!D172),'Input AMAT'!D172,0)</f>
        <v/>
      </c>
      <c r="E59" s="21">
        <f>IF(ISNUMBER('Input AMAT'!E172),'Input AMAT'!E172,0)</f>
        <v/>
      </c>
      <c r="F59" s="21">
        <f>IF(ISNUMBER('Input AMAT'!F172),'Input AMAT'!F172,0)</f>
        <v/>
      </c>
      <c r="G59" s="21">
        <f>IF(ISNUMBER('Input AMAT'!G172),'Input AMAT'!G172,0)</f>
        <v/>
      </c>
    </row>
    <row r="60">
      <c r="A60" s="11" t="inlineStr">
        <is>
          <t xml:space="preserve">  + Deferred Tax Assets</t>
        </is>
      </c>
      <c r="B60" s="21">
        <f>IF(ISNUMBER('Input AMAT'!B173),'Input AMAT'!B173,0)</f>
        <v/>
      </c>
      <c r="C60" s="21">
        <f>IF(ISNUMBER('Input AMAT'!C173),'Input AMAT'!C173,0)</f>
        <v/>
      </c>
      <c r="D60" s="21">
        <f>IF(ISNUMBER('Input AMAT'!D173),'Input AMAT'!D173,0)</f>
        <v/>
      </c>
      <c r="E60" s="21">
        <f>IF(ISNUMBER('Input AMAT'!E173),'Input AMAT'!E173,0)</f>
        <v/>
      </c>
      <c r="F60" s="21">
        <f>IF(ISNUMBER('Input AMAT'!F173),'Input AMAT'!F173,0)</f>
        <v/>
      </c>
      <c r="G60" s="21">
        <f>IF(ISNUMBER('Input AMAT'!G173),'Input AMAT'!G173,0)</f>
        <v/>
      </c>
    </row>
    <row r="61">
      <c r="A61" s="11" t="inlineStr">
        <is>
          <t xml:space="preserve">  + Deferred Charges &amp; LT Intangibles</t>
        </is>
      </c>
      <c r="B61" s="31" t="n">
        <v>0</v>
      </c>
      <c r="C61" s="31" t="n">
        <v>0</v>
      </c>
      <c r="D61" s="31" t="n">
        <v>0</v>
      </c>
      <c r="E61" s="31" t="n">
        <v>0</v>
      </c>
      <c r="F61" s="31" t="n">
        <v>0</v>
      </c>
      <c r="G61" s="31" t="n">
        <v>0</v>
      </c>
    </row>
    <row r="62">
      <c r="A62" s="11" t="inlineStr">
        <is>
          <t xml:space="preserve">  + Other Non-Current Assets</t>
        </is>
      </c>
      <c r="B62" s="21">
        <f>IF(ISNUMBER('Input AMAT'!B174),'Input AMAT'!B174,0)</f>
        <v/>
      </c>
      <c r="C62" s="21">
        <f>IF(ISNUMBER('Input AMAT'!C174),'Input AMAT'!C174,0)</f>
        <v/>
      </c>
      <c r="D62" s="21">
        <f>IF(ISNUMBER('Input AMAT'!D174),'Input AMAT'!D174,0)</f>
        <v/>
      </c>
      <c r="E62" s="21">
        <f>IF(ISNUMBER('Input AMAT'!E174),'Input AMAT'!E174,0)</f>
        <v/>
      </c>
      <c r="F62" s="21">
        <f>IF(ISNUMBER('Input AMAT'!F174),'Input AMAT'!F174,0)</f>
        <v/>
      </c>
      <c r="G62" s="21">
        <f>IF(ISNUMBER('Input AMAT'!G174),'Input AMAT'!G174,0)</f>
        <v/>
      </c>
    </row>
    <row r="63">
      <c r="A63" s="11" t="inlineStr">
        <is>
          <t xml:space="preserve">  - Deferred Tax Liabilities</t>
        </is>
      </c>
      <c r="B63" s="31" t="n">
        <v>0</v>
      </c>
      <c r="C63" s="31" t="n">
        <v>0</v>
      </c>
      <c r="D63" s="31" t="n">
        <v>0</v>
      </c>
      <c r="E63" s="31" t="n">
        <v>0</v>
      </c>
      <c r="F63" s="31" t="n">
        <v>0</v>
      </c>
      <c r="G63" s="31" t="n">
        <v>0</v>
      </c>
    </row>
    <row r="64">
      <c r="A64" s="11" t="inlineStr">
        <is>
          <t xml:space="preserve">  - Other Non-Current Liabilities</t>
        </is>
      </c>
      <c r="B64" s="21">
        <f>IF(ISNUMBER('Input AMAT'!B189),'Input AMAT'!B189,0)+IF(ISNUMBER('Input AMAT'!B188),'Input AMAT'!B188,0)</f>
        <v/>
      </c>
      <c r="C64" s="21">
        <f>IF(ISNUMBER('Input AMAT'!C189),'Input AMAT'!C189,0)+IF(ISNUMBER('Input AMAT'!C188),'Input AMAT'!C188,0)</f>
        <v/>
      </c>
      <c r="D64" s="21">
        <f>IF(ISNUMBER('Input AMAT'!D189),'Input AMAT'!D189,0)+IF(ISNUMBER('Input AMAT'!D188),'Input AMAT'!D188,0)</f>
        <v/>
      </c>
      <c r="E64" s="21">
        <f>IF(ISNUMBER('Input AMAT'!E189),'Input AMAT'!E189,0)+IF(ISNUMBER('Input AMAT'!E188),'Input AMAT'!E188,0)</f>
        <v/>
      </c>
      <c r="F64" s="21">
        <f>IF(ISNUMBER('Input AMAT'!F189),'Input AMAT'!F189,0)+IF(ISNUMBER('Input AMAT'!F188),'Input AMAT'!F188,0)</f>
        <v/>
      </c>
      <c r="G64" s="21">
        <f>IF(ISNUMBER('Input AMAT'!G189),'Input AMAT'!G189,0)+IF(ISNUMBER('Input AMAT'!G188),'Input AMAT'!G188,0)</f>
        <v/>
      </c>
    </row>
    <row r="65">
      <c r="A65" s="24">
        <f> Net Non-Current Operating Assets</f>
        <v/>
      </c>
      <c r="B65" s="25">
        <f>B57+B58+B59+B60+B61+B62-B63-B64</f>
        <v/>
      </c>
      <c r="C65" s="25">
        <f>C57+C58+C59+C60+C61+C62-C63-C64</f>
        <v/>
      </c>
      <c r="D65" s="25">
        <f>D57+D58+D59+D60+D61+D62-D63-D64</f>
        <v/>
      </c>
      <c r="E65" s="25">
        <f>E57+E58+E59+E60+E61+E62-E63-E64</f>
        <v/>
      </c>
      <c r="F65" s="25">
        <f>F57+F58+F59+F60+F61+F62-F63-F64</f>
        <v/>
      </c>
      <c r="G65" s="25">
        <f>G57+G58+G59+G60+G61+G62-G63-G64</f>
        <v/>
      </c>
    </row>
    <row r="66"/>
    <row r="67">
      <c r="A67" s="24">
        <f> Net Operating Assets</f>
        <v/>
      </c>
      <c r="B67" s="25">
        <f>B54+B65</f>
        <v/>
      </c>
      <c r="C67" s="25">
        <f>C54+C65</f>
        <v/>
      </c>
      <c r="D67" s="25">
        <f>D54+D65</f>
        <v/>
      </c>
      <c r="E67" s="25">
        <f>E54+E65</f>
        <v/>
      </c>
      <c r="F67" s="25">
        <f>F54+F65</f>
        <v/>
      </c>
      <c r="G67" s="25">
        <f>G54+G65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IF(ISNUMBER('Input AMAT'!B170),'Input AMAT'!B170,0)</f>
        <v/>
      </c>
      <c r="C70" s="21">
        <f>IF(ISNUMBER('Input AMAT'!C170),'Input AMAT'!C170,0)</f>
        <v/>
      </c>
      <c r="D70" s="21">
        <f>IF(ISNUMBER('Input AMAT'!D170),'Input AMAT'!D170,0)</f>
        <v/>
      </c>
      <c r="E70" s="21">
        <f>IF(ISNUMBER('Input AMAT'!E170),'Input AMAT'!E170,0)</f>
        <v/>
      </c>
      <c r="F70" s="21">
        <f>IF(ISNUMBER('Input AMAT'!F170),'Input AMAT'!F170,0)</f>
        <v/>
      </c>
      <c r="G70" s="21">
        <f>IF(ISNUMBER('Input AMAT'!G170),'Input AMAT'!G170,0)</f>
        <v/>
      </c>
    </row>
    <row r="71">
      <c r="A71" s="24">
        <f> Total Investment Assets</f>
        <v/>
      </c>
      <c r="B71" s="25">
        <f>B70</f>
        <v/>
      </c>
      <c r="C71" s="25">
        <f>C70</f>
        <v/>
      </c>
      <c r="D71" s="25">
        <f>D70</f>
        <v/>
      </c>
      <c r="E71" s="25">
        <f>E70</f>
        <v/>
      </c>
      <c r="F71" s="25">
        <f>F70</f>
        <v/>
      </c>
      <c r="G71" s="25">
        <f>G70</f>
        <v/>
      </c>
    </row>
    <row r="72"/>
    <row r="73">
      <c r="A73" s="26">
        <f> Business Assets</f>
        <v/>
      </c>
      <c r="B73" s="27">
        <f>B67+B71</f>
        <v/>
      </c>
      <c r="C73" s="27">
        <f>C67+C71</f>
        <v/>
      </c>
      <c r="D73" s="27">
        <f>D67+D71</f>
        <v/>
      </c>
      <c r="E73" s="27">
        <f>E67+E71</f>
        <v/>
      </c>
      <c r="F73" s="27">
        <f>F67+F71</f>
        <v/>
      </c>
      <c r="G73" s="27">
        <f>G67+G71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IF(ISNUMBER('Input AMAT'!B181),'Input AMAT'!B181,0)</f>
        <v/>
      </c>
      <c r="C76" s="21">
        <f>IF(ISNUMBER('Input AMAT'!C181),'Input AMAT'!C181,0)</f>
        <v/>
      </c>
      <c r="D76" s="21">
        <f>IF(ISNUMBER('Input AMAT'!D181),'Input AMAT'!D181,0)</f>
        <v/>
      </c>
      <c r="E76" s="21">
        <f>IF(ISNUMBER('Input AMAT'!E181),'Input AMAT'!E181,0)</f>
        <v/>
      </c>
      <c r="F76" s="21">
        <f>IF(ISNUMBER('Input AMAT'!F181),'Input AMAT'!F181,0)</f>
        <v/>
      </c>
      <c r="G76" s="21">
        <f>IF(ISNUMBER('Input AMAT'!G181),'Input AMAT'!G181,0)</f>
        <v/>
      </c>
    </row>
    <row r="77">
      <c r="A77" s="11" t="inlineStr">
        <is>
          <t xml:space="preserve">  + Lease Liabilities (non-current)</t>
        </is>
      </c>
      <c r="B77" s="21">
        <f>IF(ISNUMBER('Input AMAT'!B187),'Input AMAT'!B187,0)</f>
        <v/>
      </c>
      <c r="C77" s="21">
        <f>IF(ISNUMBER('Input AMAT'!C187),'Input AMAT'!C187,0)</f>
        <v/>
      </c>
      <c r="D77" s="21">
        <f>IF(ISNUMBER('Input AMAT'!D187),'Input AMAT'!D187,0)</f>
        <v/>
      </c>
      <c r="E77" s="21">
        <f>IF(ISNUMBER('Input AMAT'!E187),'Input AMAT'!E187,0)</f>
        <v/>
      </c>
      <c r="F77" s="21">
        <f>IF(ISNUMBER('Input AMAT'!F187),'Input AMAT'!F187,0)</f>
        <v/>
      </c>
      <c r="G77" s="21">
        <f>IF(ISNUMBER('Input AMAT'!G187),'Input AMAT'!G187,0)</f>
        <v/>
      </c>
    </row>
    <row r="78">
      <c r="A78" s="24">
        <f> Total Debt</f>
        <v/>
      </c>
      <c r="B78" s="25">
        <f>IF(ISNUMBER('Input AMAT'!B206),'Input AMAT'!B206,0)</f>
        <v/>
      </c>
      <c r="C78" s="25">
        <f>IF(ISNUMBER('Input AMAT'!C206),'Input AMAT'!C206,0)</f>
        <v/>
      </c>
      <c r="D78" s="25">
        <f>IF(ISNUMBER('Input AMAT'!D206),'Input AMAT'!D206,0)</f>
        <v/>
      </c>
      <c r="E78" s="25">
        <f>IF(ISNUMBER('Input AMAT'!E206),'Input AMAT'!E206,0)</f>
        <v/>
      </c>
      <c r="F78" s="25">
        <f>IF(ISNUMBER('Input AMAT'!F206),'Input AMAT'!F206,0)</f>
        <v/>
      </c>
      <c r="G78" s="25">
        <f>IF(ISNUMBER('Input AMAT'!G206),'Input AMAT'!G206,0)</f>
        <v/>
      </c>
    </row>
    <row r="79">
      <c r="A79" s="11" t="inlineStr">
        <is>
          <t xml:space="preserve">  Cash &amp; Equivalents</t>
        </is>
      </c>
      <c r="B79" s="21">
        <f>IF(ISNUMBER('Input AMAT'!B160),'Input AMAT'!B160,0)</f>
        <v/>
      </c>
      <c r="C79" s="21">
        <f>IF(ISNUMBER('Input AMAT'!C160),'Input AMAT'!C160,0)</f>
        <v/>
      </c>
      <c r="D79" s="21">
        <f>IF(ISNUMBER('Input AMAT'!D160),'Input AMAT'!D160,0)</f>
        <v/>
      </c>
      <c r="E79" s="21">
        <f>IF(ISNUMBER('Input AMAT'!E160),'Input AMAT'!E160,0)</f>
        <v/>
      </c>
      <c r="F79" s="21">
        <f>IF(ISNUMBER('Input AMAT'!F160),'Input AMAT'!F160,0)</f>
        <v/>
      </c>
      <c r="G79" s="21">
        <f>IF(ISNUMBER('Input AMAT'!G160),'Input AMAT'!G160,0)</f>
        <v/>
      </c>
    </row>
    <row r="80">
      <c r="A80" s="22">
        <f> Net Debt</f>
        <v/>
      </c>
      <c r="B80" s="23">
        <f>B78-B79</f>
        <v/>
      </c>
      <c r="C80" s="23">
        <f>C78-C79</f>
        <v/>
      </c>
      <c r="D80" s="23">
        <f>D78-D79</f>
        <v/>
      </c>
      <c r="E80" s="23">
        <f>E78-E79</f>
        <v/>
      </c>
      <c r="F80" s="23">
        <f>F78-F79</f>
        <v/>
      </c>
      <c r="G80" s="23">
        <f>G78-G79</f>
        <v/>
      </c>
    </row>
    <row r="81">
      <c r="A81" s="11" t="inlineStr">
        <is>
          <t>Group Equity</t>
        </is>
      </c>
      <c r="B81" s="21">
        <f>IF(ISNUMBER('Input AMAT'!B198),'Input AMAT'!B198,0)</f>
        <v/>
      </c>
      <c r="C81" s="21">
        <f>IF(ISNUMBER('Input AMAT'!C198),'Input AMAT'!C198,0)</f>
        <v/>
      </c>
      <c r="D81" s="21">
        <f>IF(ISNUMBER('Input AMAT'!D198),'Input AMAT'!D198,0)</f>
        <v/>
      </c>
      <c r="E81" s="21">
        <f>IF(ISNUMBER('Input AMAT'!E198),'Input AMAT'!E198,0)</f>
        <v/>
      </c>
      <c r="F81" s="21">
        <f>IF(ISNUMBER('Input AMAT'!F198),'Input AMAT'!F198,0)</f>
        <v/>
      </c>
      <c r="G81" s="21">
        <f>IF(ISNUMBER('Input AMAT'!G198),'Input AMAT'!G198,0)</f>
        <v/>
      </c>
    </row>
    <row r="82">
      <c r="A82" s="26">
        <f> Invested Capital</f>
        <v/>
      </c>
      <c r="B82" s="27">
        <f>B80+B81</f>
        <v/>
      </c>
      <c r="C82" s="27">
        <f>C80+C81</f>
        <v/>
      </c>
      <c r="D82" s="27">
        <f>D80+D81</f>
        <v/>
      </c>
      <c r="E82" s="27">
        <f>E80+E81</f>
        <v/>
      </c>
      <c r="F82" s="27">
        <f>F80+F81</f>
        <v/>
      </c>
      <c r="G82" s="27">
        <f>G80+G81</f>
        <v/>
      </c>
    </row>
    <row r="83">
      <c r="A83" s="22" t="inlineStr">
        <is>
          <t>BS Check (should = 0)</t>
        </is>
      </c>
      <c r="B83" s="23">
        <f>B73-B82</f>
        <v/>
      </c>
      <c r="C83" s="23">
        <f>C73-C82</f>
        <v/>
      </c>
      <c r="D83" s="23">
        <f>D73-D82</f>
        <v/>
      </c>
      <c r="E83" s="23">
        <f>E73-E82</f>
        <v/>
      </c>
      <c r="F83" s="23">
        <f>F73-F82</f>
        <v/>
      </c>
      <c r="G83" s="23">
        <f>G73-G82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31">
        <f>B36</f>
        <v/>
      </c>
      <c r="C87" s="31">
        <f>C36</f>
        <v/>
      </c>
      <c r="D87" s="31">
        <f>D36</f>
        <v/>
      </c>
      <c r="E87" s="31">
        <f>E36</f>
        <v/>
      </c>
      <c r="F87" s="31">
        <f>F36</f>
        <v/>
      </c>
      <c r="G87" s="31">
        <f>G36</f>
        <v/>
      </c>
    </row>
    <row r="88">
      <c r="A88" s="11" t="inlineStr">
        <is>
          <t>+ D&amp;A</t>
        </is>
      </c>
      <c r="B88" s="21">
        <f>IF(ISNUMBER('Input AMAT'!B108),'Input AMAT'!B108,0)</f>
        <v/>
      </c>
      <c r="C88" s="21">
        <f>IF(ISNUMBER('Input AMAT'!C108),'Input AMAT'!C108,0)</f>
        <v/>
      </c>
      <c r="D88" s="21">
        <f>IF(ISNUMBER('Input AMAT'!D108),'Input AMAT'!D108,0)</f>
        <v/>
      </c>
      <c r="E88" s="21">
        <f>IF(ISNUMBER('Input AMAT'!E108),'Input AMAT'!E108,0)</f>
        <v/>
      </c>
      <c r="F88" s="21">
        <f>IF(ISNUMBER('Input AMAT'!F108),'Input AMAT'!F108,0)</f>
        <v/>
      </c>
      <c r="G88" s="21">
        <f>IF(ISNUMBER('Input AMAT'!G108),'Input AMAT'!G108,0)</f>
        <v/>
      </c>
    </row>
    <row r="89">
      <c r="A89" s="11" t="inlineStr">
        <is>
          <t>- Change in OWC</t>
        </is>
      </c>
      <c r="B89" s="31" t="n">
        <v>0</v>
      </c>
      <c r="C89" s="31">
        <f>C54-B54</f>
        <v/>
      </c>
      <c r="D89" s="31">
        <f>D54-C54</f>
        <v/>
      </c>
      <c r="E89" s="31">
        <f>E54-D54</f>
        <v/>
      </c>
      <c r="F89" s="31">
        <f>F54-E54</f>
        <v/>
      </c>
      <c r="G89" s="31">
        <f>G54-F54</f>
        <v/>
      </c>
    </row>
    <row r="90">
      <c r="A90" s="11" t="inlineStr">
        <is>
          <t>- CapEx</t>
        </is>
      </c>
      <c r="B90" s="21">
        <f>ABS(IF(ISNUMBER('Input AMAT'!B120),'Input AMAT'!B120,0))</f>
        <v/>
      </c>
      <c r="C90" s="21">
        <f>ABS(IF(ISNUMBER('Input AMAT'!C120),'Input AMAT'!C120,0))</f>
        <v/>
      </c>
      <c r="D90" s="21">
        <f>ABS(IF(ISNUMBER('Input AMAT'!D120),'Input AMAT'!D120,0))</f>
        <v/>
      </c>
      <c r="E90" s="21">
        <f>ABS(IF(ISNUMBER('Input AMAT'!E120),'Input AMAT'!E120,0))</f>
        <v/>
      </c>
      <c r="F90" s="21">
        <f>ABS(IF(ISNUMBER('Input AMAT'!F120),'Input AMAT'!F120,0))</f>
        <v/>
      </c>
      <c r="G90" s="21">
        <f>ABS(IF(ISNUMBER('Input AMAT'!G120),'Input AMAT'!G120,0))</f>
        <v/>
      </c>
    </row>
    <row r="91">
      <c r="A91" s="11" t="inlineStr">
        <is>
          <t>- Purchase of Intangibles</t>
        </is>
      </c>
      <c r="B91" s="31" t="n">
        <v>0</v>
      </c>
      <c r="C91" s="31" t="n">
        <v>0</v>
      </c>
      <c r="D91" s="31" t="n">
        <v>0</v>
      </c>
      <c r="E91" s="31" t="n">
        <v>0</v>
      </c>
      <c r="F91" s="31" t="n">
        <v>0</v>
      </c>
      <c r="G91" s="31" t="n">
        <v>0</v>
      </c>
    </row>
    <row r="92">
      <c r="A92" s="24">
        <f> Operating CF after investment</f>
        <v/>
      </c>
      <c r="B92" s="25">
        <f>B87+B88-B89-B90-B91</f>
        <v/>
      </c>
      <c r="C92" s="25">
        <f>C87+C88-C89-C90-C91</f>
        <v/>
      </c>
      <c r="D92" s="25">
        <f>D87+D88-D89-D90-D91</f>
        <v/>
      </c>
      <c r="E92" s="25">
        <f>E87+E88-E89-E90-E91</f>
        <v/>
      </c>
      <c r="F92" s="25">
        <f>F87+F88-F89-F90-F91</f>
        <v/>
      </c>
      <c r="G92" s="25">
        <f>G87+G88-G89-G90-G91</f>
        <v/>
      </c>
    </row>
    <row r="93"/>
    <row r="94">
      <c r="A94" s="11" t="inlineStr">
        <is>
          <t>+ Net Investment Profit after tax</t>
        </is>
      </c>
      <c r="B94" s="31">
        <f>B27*(1-B35)</f>
        <v/>
      </c>
      <c r="C94" s="31">
        <f>C27*(1-C35)</f>
        <v/>
      </c>
      <c r="D94" s="31">
        <f>D27*(1-D35)</f>
        <v/>
      </c>
      <c r="E94" s="31">
        <f>E27*(1-E35)</f>
        <v/>
      </c>
      <c r="F94" s="31">
        <f>F27*(1-F35)</f>
        <v/>
      </c>
      <c r="G94" s="31">
        <f>G27*(1-G35)</f>
        <v/>
      </c>
    </row>
    <row r="95">
      <c r="A95" s="11" t="inlineStr">
        <is>
          <t>- Change in Investment Assets</t>
        </is>
      </c>
      <c r="B95" s="31" t="n">
        <v>0</v>
      </c>
      <c r="C95" s="31">
        <f>C71-B71</f>
        <v/>
      </c>
      <c r="D95" s="31">
        <f>D71-C71</f>
        <v/>
      </c>
      <c r="E95" s="31">
        <f>E71-D71</f>
        <v/>
      </c>
      <c r="F95" s="31">
        <f>F71-E71</f>
        <v/>
      </c>
      <c r="G95" s="31">
        <f>G71-F71</f>
        <v/>
      </c>
    </row>
    <row r="96">
      <c r="A96" s="24">
        <f> FCF to Debt &amp; Equity</f>
        <v/>
      </c>
      <c r="B96" s="25">
        <f>B92+B94-B95</f>
        <v/>
      </c>
      <c r="C96" s="25">
        <f>C92+C94-C95</f>
        <v/>
      </c>
      <c r="D96" s="25">
        <f>D92+D94-D95</f>
        <v/>
      </c>
      <c r="E96" s="25">
        <f>E92+E94-E95</f>
        <v/>
      </c>
      <c r="F96" s="25">
        <f>F92+F94-F95</f>
        <v/>
      </c>
      <c r="G96" s="25">
        <f>G92+G94-G95</f>
        <v/>
      </c>
    </row>
    <row r="97">
      <c r="A97" s="11" t="inlineStr">
        <is>
          <t>- Interest Expense after tax</t>
        </is>
      </c>
      <c r="B97" s="31">
        <f>B29*(1-B35)</f>
        <v/>
      </c>
      <c r="C97" s="31">
        <f>C29*(1-C35)</f>
        <v/>
      </c>
      <c r="D97" s="31">
        <f>D29*(1-D35)</f>
        <v/>
      </c>
      <c r="E97" s="31">
        <f>E29*(1-E35)</f>
        <v/>
      </c>
      <c r="F97" s="31">
        <f>F29*(1-F35)</f>
        <v/>
      </c>
      <c r="G97" s="31">
        <f>G29*(1-G35)</f>
        <v/>
      </c>
    </row>
    <row r="98">
      <c r="A98" s="11" t="inlineStr">
        <is>
          <t>+ Change in Debt</t>
        </is>
      </c>
      <c r="B98" s="31" t="n">
        <v>0</v>
      </c>
      <c r="C98" s="31">
        <f>C78-B78</f>
        <v/>
      </c>
      <c r="D98" s="31">
        <f>D78-C78</f>
        <v/>
      </c>
      <c r="E98" s="31">
        <f>E78-D78</f>
        <v/>
      </c>
      <c r="F98" s="31">
        <f>F78-E78</f>
        <v/>
      </c>
      <c r="G98" s="31">
        <f>G78-F78</f>
        <v/>
      </c>
    </row>
    <row r="99">
      <c r="A99" s="26">
        <f> FCF to Equity</f>
        <v/>
      </c>
      <c r="B99" s="27">
        <f>B96-B97+B98</f>
        <v/>
      </c>
      <c r="C99" s="27">
        <f>C96-C97+C98</f>
        <v/>
      </c>
      <c r="D99" s="27">
        <f>D96-D97+D98</f>
        <v/>
      </c>
      <c r="E99" s="27">
        <f>E96-E97+E98</f>
        <v/>
      </c>
      <c r="F99" s="27">
        <f>F96-F97+F98</f>
        <v/>
      </c>
      <c r="G99" s="27">
        <f>G96-G97+G98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Lam Research Corporation</t>
        </is>
      </c>
    </row>
    <row r="2">
      <c r="A2" s="15" t="inlineStr">
        <is>
          <t>(EUR 000)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4"/>
    <row r="5">
      <c r="A5" s="11" t="inlineStr">
        <is>
          <t>Operating cash %</t>
        </is>
      </c>
      <c r="B5" s="17" t="n">
        <v>0.02</v>
      </c>
      <c r="C5" s="17" t="n">
        <v>0.02</v>
      </c>
      <c r="D5" s="17" t="n">
        <v>0.02</v>
      </c>
      <c r="E5" s="17" t="n">
        <v>0.02</v>
      </c>
      <c r="F5" s="17" t="n">
        <v>0.02</v>
      </c>
      <c r="G5" s="17" t="n">
        <v>0.02</v>
      </c>
    </row>
    <row r="6">
      <c r="A6" s="11" t="inlineStr">
        <is>
          <t>Tax rate (effective)</t>
        </is>
      </c>
      <c r="B6" s="18">
        <f>IF(ISNUMBER('Input LRCX'!B63),'Input LRCX'!B63,0)</f>
        <v/>
      </c>
      <c r="C6" s="18">
        <f>IF(ISNUMBER('Input LRCX'!C63),'Input LRCX'!C63,0)</f>
        <v/>
      </c>
      <c r="D6" s="18">
        <f>IF(ISNUMBER('Input LRCX'!D63),'Input LRCX'!D63,0)</f>
        <v/>
      </c>
      <c r="E6" s="18">
        <f>IF(ISNUMBER('Input LRCX'!E63),'Input LRCX'!E63,0)</f>
        <v/>
      </c>
      <c r="F6" s="18">
        <f>IF(ISNUMBER('Input LRCX'!F63),'Input LRCX'!F63,0)</f>
        <v/>
      </c>
      <c r="G6" s="18">
        <f>IF(ISNUMBER('Input LRCX'!G63),'Input LRCX'!G63,0)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IF(ISNUMBER('Input LRCX'!B21),'Input LRCX'!B21,0)</f>
        <v/>
      </c>
      <c r="C9" s="21">
        <f>IF(ISNUMBER('Input LRCX'!C21),'Input LRCX'!C21,0)</f>
        <v/>
      </c>
      <c r="D9" s="21">
        <f>IF(ISNUMBER('Input LRCX'!D21),'Input LRCX'!D21,0)</f>
        <v/>
      </c>
      <c r="E9" s="21">
        <f>IF(ISNUMBER('Input LRCX'!E21),'Input LRCX'!E21,0)</f>
        <v/>
      </c>
      <c r="F9" s="21">
        <f>IF(ISNUMBER('Input LRCX'!F21),'Input LRCX'!F21,0)</f>
        <v/>
      </c>
      <c r="G9" s="21">
        <f>IF(ISNUMBER('Input LRCX'!G21),'Input LRCX'!G21,0)</f>
        <v/>
      </c>
    </row>
    <row r="10">
      <c r="A10" s="11" t="inlineStr">
        <is>
          <t>Cost of Sales</t>
        </is>
      </c>
      <c r="B10" s="21">
        <f>IF(ISNUMBER('Input LRCX'!B23),'Input LRCX'!B23,0)</f>
        <v/>
      </c>
      <c r="C10" s="21">
        <f>IF(ISNUMBER('Input LRCX'!C23),'Input LRCX'!C23,0)</f>
        <v/>
      </c>
      <c r="D10" s="21">
        <f>IF(ISNUMBER('Input LRCX'!D23),'Input LRCX'!D23,0)</f>
        <v/>
      </c>
      <c r="E10" s="21">
        <f>IF(ISNUMBER('Input LRCX'!E23),'Input LRCX'!E23,0)</f>
        <v/>
      </c>
      <c r="F10" s="21">
        <f>IF(ISNUMBER('Input LRCX'!F23),'Input LRCX'!F23,0)</f>
        <v/>
      </c>
      <c r="G10" s="21">
        <f>IF(ISNUMBER('Input LRCX'!G23),'Input LRCX'!G23,0)</f>
        <v/>
      </c>
    </row>
    <row r="11">
      <c r="A11" s="22" t="inlineStr">
        <is>
          <t>Gross Profit</t>
        </is>
      </c>
      <c r="B11" s="23">
        <f>B9-B10</f>
        <v/>
      </c>
      <c r="C11" s="23">
        <f>C9-C10</f>
        <v/>
      </c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</row>
    <row r="12">
      <c r="A12" s="11" t="inlineStr">
        <is>
          <t xml:space="preserve">  SG&amp;A</t>
        </is>
      </c>
      <c r="B12" s="21">
        <f>IF(ISNUMBER('Input LRCX'!B26),'Input LRCX'!B26,0)</f>
        <v/>
      </c>
      <c r="C12" s="21">
        <f>IF(ISNUMBER('Input LRCX'!C26),'Input LRCX'!C26,0)</f>
        <v/>
      </c>
      <c r="D12" s="21">
        <f>IF(ISNUMBER('Input LRCX'!D26),'Input LRCX'!D26,0)</f>
        <v/>
      </c>
      <c r="E12" s="21">
        <f>IF(ISNUMBER('Input LRCX'!E26),'Input LRCX'!E26,0)</f>
        <v/>
      </c>
      <c r="F12" s="21">
        <f>IF(ISNUMBER('Input LRCX'!F26),'Input LRCX'!F26,0)</f>
        <v/>
      </c>
      <c r="G12" s="21">
        <f>IF(ISNUMBER('Input LRCX'!G26),'Input LRCX'!G26,0)</f>
        <v/>
      </c>
    </row>
    <row r="13">
      <c r="A13" s="11" t="inlineStr">
        <is>
          <t xml:space="preserve">  R&amp;D</t>
        </is>
      </c>
      <c r="B13" s="21">
        <f>IF(ISNUMBER('Input LRCX'!B27),'Input LRCX'!B27,0)</f>
        <v/>
      </c>
      <c r="C13" s="21">
        <f>IF(ISNUMBER('Input LRCX'!C27),'Input LRCX'!C27,0)</f>
        <v/>
      </c>
      <c r="D13" s="21">
        <f>IF(ISNUMBER('Input LRCX'!D27),'Input LRCX'!D27,0)</f>
        <v/>
      </c>
      <c r="E13" s="21">
        <f>IF(ISNUMBER('Input LRCX'!E27),'Input LRCX'!E27,0)</f>
        <v/>
      </c>
      <c r="F13" s="21">
        <f>IF(ISNUMBER('Input LRCX'!F27),'Input LRCX'!F27,0)</f>
        <v/>
      </c>
      <c r="G13" s="21">
        <f>IF(ISNUMBER('Input LRCX'!G27),'Input LRCX'!G27,0)</f>
        <v/>
      </c>
    </row>
    <row r="14">
      <c r="A14" s="11" t="inlineStr">
        <is>
          <t xml:space="preserve">  Depreciation &amp; Amortization</t>
        </is>
      </c>
      <c r="B14" s="21">
        <f>IF(ISNUMBER('Input LRCX'!B98),'Input LRCX'!B98,0)</f>
        <v/>
      </c>
      <c r="C14" s="21">
        <f>IF(ISNUMBER('Input LRCX'!C98),'Input LRCX'!C98,0)</f>
        <v/>
      </c>
      <c r="D14" s="21">
        <f>IF(ISNUMBER('Input LRCX'!D98),'Input LRCX'!D98,0)</f>
        <v/>
      </c>
      <c r="E14" s="21">
        <f>IF(ISNUMBER('Input LRCX'!E98),'Input LRCX'!E98,0)</f>
        <v/>
      </c>
      <c r="F14" s="21">
        <f>IF(ISNUMBER('Input LRCX'!F98),'Input LRCX'!F98,0)</f>
        <v/>
      </c>
      <c r="G14" s="21">
        <f>IF(ISNUMBER('Input LRCX'!G98),'Input LRCX'!G98,0)</f>
        <v/>
      </c>
    </row>
    <row r="15">
      <c r="A15" s="11" t="inlineStr">
        <is>
          <t xml:space="preserve">  Other Operating Expense</t>
        </is>
      </c>
      <c r="B15" s="31" t="n">
        <v>0</v>
      </c>
      <c r="C15" s="31" t="n">
        <v>0</v>
      </c>
      <c r="D15" s="31" t="n">
        <v>0</v>
      </c>
      <c r="E15" s="31" t="n">
        <v>0</v>
      </c>
      <c r="F15" s="31" t="n">
        <v>0</v>
      </c>
      <c r="G15" s="31" t="n">
        <v>0</v>
      </c>
    </row>
    <row r="16">
      <c r="A16" s="24" t="inlineStr">
        <is>
          <t>Total Operating Expense</t>
        </is>
      </c>
      <c r="B16" s="25">
        <f>B10+B12+B13+B14+B15</f>
        <v/>
      </c>
      <c r="C16" s="25">
        <f>C10+C12+C13+C14+C15</f>
        <v/>
      </c>
      <c r="D16" s="25">
        <f>D10+D12+D13+D14+D15</f>
        <v/>
      </c>
      <c r="E16" s="25">
        <f>E10+E12+E13+E14+E15</f>
        <v/>
      </c>
      <c r="F16" s="25">
        <f>F10+F12+F13+F14+F15</f>
        <v/>
      </c>
      <c r="G16" s="25">
        <f>G10+G12+G13+G14+G15</f>
        <v/>
      </c>
    </row>
    <row r="17">
      <c r="A17" s="24" t="inlineStr">
        <is>
          <t>Recurring Operating Profit</t>
        </is>
      </c>
      <c r="B17" s="25">
        <f>B9-B16</f>
        <v/>
      </c>
      <c r="C17" s="25">
        <f>C9-C16</f>
        <v/>
      </c>
      <c r="D17" s="25">
        <f>D9-D16</f>
        <v/>
      </c>
      <c r="E17" s="25">
        <f>E9-E16</f>
        <v/>
      </c>
      <c r="F17" s="25">
        <f>F9-F16</f>
        <v/>
      </c>
      <c r="G17" s="25">
        <f>G9-G16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31" t="n">
        <v>0</v>
      </c>
      <c r="C20" s="31" t="n">
        <v>0</v>
      </c>
      <c r="D20" s="31" t="n">
        <v>0</v>
      </c>
      <c r="E20" s="31" t="n">
        <v>0</v>
      </c>
      <c r="F20" s="31" t="n">
        <v>0</v>
      </c>
      <c r="G20" s="31" t="n">
        <v>0</v>
      </c>
    </row>
    <row r="21">
      <c r="A21" s="11" t="inlineStr">
        <is>
          <t xml:space="preserve">  Gain/Loss on Sale of Assets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</row>
    <row r="22">
      <c r="A22" s="11" t="inlineStr">
        <is>
          <t xml:space="preserve">  Asset Writedown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</row>
    <row r="23">
      <c r="A23" s="11" t="inlineStr">
        <is>
          <t xml:space="preserve">  Other Unusual Items</t>
        </is>
      </c>
      <c r="B23" s="21">
        <f>IF(ISNUMBER('Input LRCX'!B37),'Input LRCX'!B37,0)</f>
        <v/>
      </c>
      <c r="C23" s="21">
        <f>IF(ISNUMBER('Input LRCX'!C37),'Input LRCX'!C37,0)</f>
        <v/>
      </c>
      <c r="D23" s="21">
        <f>IF(ISNUMBER('Input LRCX'!D37),'Input LRCX'!D37,0)</f>
        <v/>
      </c>
      <c r="E23" s="21">
        <f>IF(ISNUMBER('Input LRCX'!E37),'Input LRCX'!E37,0)</f>
        <v/>
      </c>
      <c r="F23" s="21">
        <f>IF(ISNUMBER('Input LRCX'!F37),'Input LRCX'!F37,0)</f>
        <v/>
      </c>
      <c r="G23" s="21">
        <f>IF(ISNUMBER('Input LRCX'!G37),'Input LRCX'!G37,0)</f>
        <v/>
      </c>
    </row>
    <row r="24">
      <c r="A24" s="22" t="inlineStr">
        <is>
          <t>Total Non-recurring</t>
        </is>
      </c>
      <c r="B24" s="23">
        <f>SUM(B20:B23)</f>
        <v/>
      </c>
      <c r="C24" s="23">
        <f>SUM(C20:C23)</f>
        <v/>
      </c>
      <c r="D24" s="23">
        <f>SUM(D20:D23)</f>
        <v/>
      </c>
      <c r="E24" s="23">
        <f>SUM(E20:E23)</f>
        <v/>
      </c>
      <c r="F24" s="23">
        <f>SUM(F20:F23)</f>
        <v/>
      </c>
      <c r="G24" s="23">
        <f>SUM(G20:G23)</f>
        <v/>
      </c>
    </row>
    <row r="25">
      <c r="A25" s="24" t="inlineStr">
        <is>
          <t>EBIT</t>
        </is>
      </c>
      <c r="B25" s="25">
        <f>B17+B24</f>
        <v/>
      </c>
      <c r="C25" s="25">
        <f>C17+C24</f>
        <v/>
      </c>
      <c r="D25" s="25">
        <f>D17+D24</f>
        <v/>
      </c>
      <c r="E25" s="25">
        <f>E17+E24</f>
        <v/>
      </c>
      <c r="F25" s="25">
        <f>F17+F24</f>
        <v/>
      </c>
      <c r="G25" s="25">
        <f>G17+G24</f>
        <v/>
      </c>
    </row>
    <row r="26"/>
    <row r="27">
      <c r="A27" s="11" t="inlineStr">
        <is>
          <t xml:space="preserve">  Investment Income (Equity Method)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</row>
    <row r="28">
      <c r="A28" s="11" t="inlineStr">
        <is>
          <t xml:space="preserve">  Interest Income</t>
        </is>
      </c>
      <c r="B28" s="21">
        <f>IF(ISNUMBER('Input LRCX'!B32),'Input LRCX'!B32,0)</f>
        <v/>
      </c>
      <c r="C28" s="21">
        <f>IF(ISNUMBER('Input LRCX'!C32),'Input LRCX'!C32,0)</f>
        <v/>
      </c>
      <c r="D28" s="21">
        <f>IF(ISNUMBER('Input LRCX'!D32),'Input LRCX'!D32,0)</f>
        <v/>
      </c>
      <c r="E28" s="21">
        <f>IF(ISNUMBER('Input LRCX'!E32),'Input LRCX'!E32,0)</f>
        <v/>
      </c>
      <c r="F28" s="21">
        <f>IF(ISNUMBER('Input LRCX'!F32),'Input LRCX'!F32,0)</f>
        <v/>
      </c>
      <c r="G28" s="21">
        <f>IF(ISNUMBER('Input LRCX'!G32),'Input LRCX'!G32,0)</f>
        <v/>
      </c>
    </row>
    <row r="29">
      <c r="A29" s="11" t="inlineStr">
        <is>
          <t xml:space="preserve">  Interest Expense</t>
        </is>
      </c>
      <c r="B29" s="21">
        <f>IF(ISNUMBER('Input LRCX'!B31),'Input LRCX'!B31,0)</f>
        <v/>
      </c>
      <c r="C29" s="21">
        <f>IF(ISNUMBER('Input LRCX'!C31),'Input LRCX'!C31,0)</f>
        <v/>
      </c>
      <c r="D29" s="21">
        <f>IF(ISNUMBER('Input LRCX'!D31),'Input LRCX'!D31,0)</f>
        <v/>
      </c>
      <c r="E29" s="21">
        <f>IF(ISNUMBER('Input LRCX'!E31),'Input LRCX'!E31,0)</f>
        <v/>
      </c>
      <c r="F29" s="21">
        <f>IF(ISNUMBER('Input LRCX'!F31),'Input LRCX'!F31,0)</f>
        <v/>
      </c>
      <c r="G29" s="21">
        <f>IF(ISNUMBER('Input LRCX'!G31),'Input LRCX'!G31,0)</f>
        <v/>
      </c>
    </row>
    <row r="30">
      <c r="A30" s="11" t="inlineStr">
        <is>
          <t xml:space="preserve">  FX Gains/(Losses)</t>
        </is>
      </c>
      <c r="B30" s="21">
        <f>IF(ISNUMBER('Input LRCX'!B34),'Input LRCX'!B34,0)</f>
        <v/>
      </c>
      <c r="C30" s="21">
        <f>IF(ISNUMBER('Input LRCX'!C34),'Input LRCX'!C34,0)</f>
        <v/>
      </c>
      <c r="D30" s="21">
        <f>IF(ISNUMBER('Input LRCX'!D34),'Input LRCX'!D34,0)</f>
        <v/>
      </c>
      <c r="E30" s="21">
        <f>IF(ISNUMBER('Input LRCX'!E34),'Input LRCX'!E34,0)</f>
        <v/>
      </c>
      <c r="F30" s="21">
        <f>IF(ISNUMBER('Input LRCX'!F34),'Input LRCX'!F34,0)</f>
        <v/>
      </c>
      <c r="G30" s="21">
        <f>IF(ISNUMBER('Input LRCX'!G34),'Input LRCX'!G34,0)</f>
        <v/>
      </c>
    </row>
    <row r="31">
      <c r="A31" s="22" t="inlineStr">
        <is>
          <t>Profit Before Tax</t>
        </is>
      </c>
      <c r="B31" s="23">
        <f>B25+B27+B28+B29+B30</f>
        <v/>
      </c>
      <c r="C31" s="23">
        <f>C25+C27+C28+C29+C30</f>
        <v/>
      </c>
      <c r="D31" s="23">
        <f>D25+D27+D28+D29+D30</f>
        <v/>
      </c>
      <c r="E31" s="23">
        <f>E25+E27+E28+E29+E30</f>
        <v/>
      </c>
      <c r="F31" s="23">
        <f>F25+F27+F28+F29+F30</f>
        <v/>
      </c>
      <c r="G31" s="23">
        <f>G25+G27+G28+G29+G30</f>
        <v/>
      </c>
    </row>
    <row r="32">
      <c r="A32" s="11" t="inlineStr">
        <is>
          <t xml:space="preserve">  Tax Expense</t>
        </is>
      </c>
      <c r="B32" s="21">
        <f>IF(ISNUMBER('Input LRCX'!B40),'Input LRCX'!B40,0)</f>
        <v/>
      </c>
      <c r="C32" s="21">
        <f>IF(ISNUMBER('Input LRCX'!C40),'Input LRCX'!C40,0)</f>
        <v/>
      </c>
      <c r="D32" s="21">
        <f>IF(ISNUMBER('Input LRCX'!D40),'Input LRCX'!D40,0)</f>
        <v/>
      </c>
      <c r="E32" s="21">
        <f>IF(ISNUMBER('Input LRCX'!E40),'Input LRCX'!E40,0)</f>
        <v/>
      </c>
      <c r="F32" s="21">
        <f>IF(ISNUMBER('Input LRCX'!F40),'Input LRCX'!F40,0)</f>
        <v/>
      </c>
      <c r="G32" s="21">
        <f>IF(ISNUMBER('Input LRCX'!G40),'Input LRCX'!G40,0)</f>
        <v/>
      </c>
    </row>
    <row r="33">
      <c r="A33" s="26" t="inlineStr">
        <is>
          <t>Net Income</t>
        </is>
      </c>
      <c r="B33" s="27">
        <f>B31-B32</f>
        <v/>
      </c>
      <c r="C33" s="27">
        <f>C31-C32</f>
        <v/>
      </c>
      <c r="D33" s="27">
        <f>D31-D32</f>
        <v/>
      </c>
      <c r="E33" s="27">
        <f>E31-E32</f>
        <v/>
      </c>
      <c r="F33" s="27">
        <f>F31-F32</f>
        <v/>
      </c>
      <c r="G33" s="27">
        <f>G31-G32</f>
        <v/>
      </c>
    </row>
    <row r="34"/>
    <row r="35">
      <c r="A35" s="11" t="inlineStr">
        <is>
          <t>Effective Tax Rate</t>
        </is>
      </c>
      <c r="B35" s="28">
        <f>IF(B31&lt;&gt;0,B32/B31,0)</f>
        <v/>
      </c>
      <c r="C35" s="28">
        <f>IF(C31&lt;&gt;0,C32/C31,0)</f>
        <v/>
      </c>
      <c r="D35" s="28">
        <f>IF(D31&lt;&gt;0,D32/D31,0)</f>
        <v/>
      </c>
      <c r="E35" s="28">
        <f>IF(E31&lt;&gt;0,E32/E31,0)</f>
        <v/>
      </c>
      <c r="F35" s="28">
        <f>IF(F31&lt;&gt;0,F32/F31,0)</f>
        <v/>
      </c>
      <c r="G35" s="28">
        <f>IF(G31&lt;&gt;0,G32/G31,0)</f>
        <v/>
      </c>
    </row>
    <row r="36">
      <c r="A36" s="22" t="inlineStr">
        <is>
          <t>NOPAT</t>
        </is>
      </c>
      <c r="B36" s="23">
        <f>B17*(1-B35)</f>
        <v/>
      </c>
      <c r="C36" s="23">
        <f>C17*(1-C35)</f>
        <v/>
      </c>
      <c r="D36" s="23">
        <f>D17*(1-D35)</f>
        <v/>
      </c>
      <c r="E36" s="23">
        <f>E17*(1-E35)</f>
        <v/>
      </c>
      <c r="F36" s="23">
        <f>F17*(1-F35)</f>
        <v/>
      </c>
      <c r="G36" s="23">
        <f>G17*(1-G35)</f>
        <v/>
      </c>
    </row>
    <row r="37"/>
    <row r="38">
      <c r="A38" s="11" t="inlineStr">
        <is>
          <t>Shares Outstanding (diluted)</t>
        </is>
      </c>
      <c r="B38" s="21">
        <f>IF(ISNUMBER('Input LRCX'!B52),'Input LRCX'!B52,0)</f>
        <v/>
      </c>
      <c r="C38" s="21">
        <f>IF(ISNUMBER('Input LRCX'!C52),'Input LRCX'!C52,0)</f>
        <v/>
      </c>
      <c r="D38" s="21">
        <f>IF(ISNUMBER('Input LRCX'!D52),'Input LRCX'!D52,0)</f>
        <v/>
      </c>
      <c r="E38" s="21">
        <f>IF(ISNUMBER('Input LRCX'!E52),'Input LRCX'!E52,0)</f>
        <v/>
      </c>
      <c r="F38" s="21">
        <f>IF(ISNUMBER('Input LRCX'!F52),'Input LRCX'!F52,0)</f>
        <v/>
      </c>
      <c r="G38" s="21">
        <f>IF(ISNUMBER('Input LRCX'!G52),'Input LRCX'!G52,0)</f>
        <v/>
      </c>
    </row>
    <row r="39">
      <c r="A39" s="11" t="inlineStr">
        <is>
          <t>EPS (diluted)</t>
        </is>
      </c>
      <c r="B39" s="29">
        <f>IF(B38&lt;&gt;0,B33/B38*1000,0)</f>
        <v/>
      </c>
      <c r="C39" s="29">
        <f>IF(C38&lt;&gt;0,C33/C38*1000,0)</f>
        <v/>
      </c>
      <c r="D39" s="29">
        <f>IF(D38&lt;&gt;0,D33/D38*1000,0)</f>
        <v/>
      </c>
      <c r="E39" s="29">
        <f>IF(E38&lt;&gt;0,E33/E38*1000,0)</f>
        <v/>
      </c>
      <c r="F39" s="29">
        <f>IF(F38&lt;&gt;0,F33/F38*1000,0)</f>
        <v/>
      </c>
      <c r="G39" s="29">
        <f>IF(G38&lt;&gt;0,G33/G38*1000,0)</f>
        <v/>
      </c>
    </row>
    <row r="40">
      <c r="A40" s="11" t="inlineStr">
        <is>
          <t>Dividends per Share</t>
        </is>
      </c>
      <c r="B40" s="30">
        <f>IF(ISNUMBER('Input LRCX'!B55),'Input LRCX'!B55,0)</f>
        <v/>
      </c>
      <c r="C40" s="30">
        <f>IF(ISNUMBER('Input LRCX'!C55),'Input LRCX'!C55,0)</f>
        <v/>
      </c>
      <c r="D40" s="30">
        <f>IF(ISNUMBER('Input LRCX'!D55),'Input LRCX'!D55,0)</f>
        <v/>
      </c>
      <c r="E40" s="30">
        <f>IF(ISNUMBER('Input LRCX'!E55),'Input LRCX'!E55,0)</f>
        <v/>
      </c>
      <c r="F40" s="30">
        <f>IF(ISNUMBER('Input LRCX'!F55),'Input LRCX'!F55,0)</f>
        <v/>
      </c>
      <c r="G40" s="30">
        <f>IF(ISNUMBER('Input LRCX'!G55),'Input LRCX'!G55,0)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IF(ISNUMBER('Input LRCX'!B152),'Input LRCX'!B152,0)</f>
        <v/>
      </c>
      <c r="C45" s="21">
        <f>IF(ISNUMBER('Input LRCX'!C152),'Input LRCX'!C152,0)</f>
        <v/>
      </c>
      <c r="D45" s="21">
        <f>IF(ISNUMBER('Input LRCX'!D152),'Input LRCX'!D152,0)</f>
        <v/>
      </c>
      <c r="E45" s="21">
        <f>IF(ISNUMBER('Input LRCX'!E152),'Input LRCX'!E152,0)</f>
        <v/>
      </c>
      <c r="F45" s="21">
        <f>IF(ISNUMBER('Input LRCX'!F152),'Input LRCX'!F152,0)</f>
        <v/>
      </c>
      <c r="G45" s="21">
        <f>IF(ISNUMBER('Input LRCX'!G152),'Input LRCX'!G152,0)</f>
        <v/>
      </c>
    </row>
    <row r="46">
      <c r="A46" s="11" t="inlineStr">
        <is>
          <t xml:space="preserve">  + Other Receivables</t>
        </is>
      </c>
      <c r="B46" s="31" t="n">
        <v>0</v>
      </c>
      <c r="C46" s="31" t="n">
        <v>0</v>
      </c>
      <c r="D46" s="31" t="n">
        <v>0</v>
      </c>
      <c r="E46" s="31" t="n">
        <v>0</v>
      </c>
      <c r="F46" s="31" t="n">
        <v>0</v>
      </c>
      <c r="G46" s="31" t="n">
        <v>0</v>
      </c>
    </row>
    <row r="47">
      <c r="A47" s="11" t="inlineStr">
        <is>
          <t xml:space="preserve">  + Inventories</t>
        </is>
      </c>
      <c r="B47" s="21">
        <f>IF(ISNUMBER('Input LRCX'!B154),'Input LRCX'!B154,0)</f>
        <v/>
      </c>
      <c r="C47" s="21">
        <f>IF(ISNUMBER('Input LRCX'!C154),'Input LRCX'!C154,0)</f>
        <v/>
      </c>
      <c r="D47" s="21">
        <f>IF(ISNUMBER('Input LRCX'!D154),'Input LRCX'!D154,0)</f>
        <v/>
      </c>
      <c r="E47" s="21">
        <f>IF(ISNUMBER('Input LRCX'!E154),'Input LRCX'!E154,0)</f>
        <v/>
      </c>
      <c r="F47" s="21">
        <f>IF(ISNUMBER('Input LRCX'!F154),'Input LRCX'!F154,0)</f>
        <v/>
      </c>
      <c r="G47" s="21">
        <f>IF(ISNUMBER('Input LRCX'!G154),'Input LRCX'!G154,0)</f>
        <v/>
      </c>
    </row>
    <row r="48">
      <c r="A48" s="11" t="inlineStr">
        <is>
          <t xml:space="preserve">  + Prepaid &amp; Other CA</t>
        </is>
      </c>
      <c r="B48" s="21">
        <f>IF(ISNUMBER('Input LRCX'!B155),'Input LRCX'!B155,0)+IF(ISNUMBER('Input LRCX'!B156),'Input LRCX'!B156,0)</f>
        <v/>
      </c>
      <c r="C48" s="21">
        <f>IF(ISNUMBER('Input LRCX'!C155),'Input LRCX'!C155,0)+IF(ISNUMBER('Input LRCX'!C156),'Input LRCX'!C156,0)</f>
        <v/>
      </c>
      <c r="D48" s="21">
        <f>IF(ISNUMBER('Input LRCX'!D155),'Input LRCX'!D155,0)+IF(ISNUMBER('Input LRCX'!D156),'Input LRCX'!D156,0)</f>
        <v/>
      </c>
      <c r="E48" s="21">
        <f>IF(ISNUMBER('Input LRCX'!E155),'Input LRCX'!E155,0)+IF(ISNUMBER('Input LRCX'!E156),'Input LRCX'!E156,0)</f>
        <v/>
      </c>
      <c r="F48" s="21">
        <f>IF(ISNUMBER('Input LRCX'!F155),'Input LRCX'!F155,0)+IF(ISNUMBER('Input LRCX'!F156),'Input LRCX'!F156,0)</f>
        <v/>
      </c>
      <c r="G48" s="21">
        <f>IF(ISNUMBER('Input LRCX'!G155),'Input LRCX'!G155,0)+IF(ISNUMBER('Input LRCX'!G156),'Input LRCX'!G156,0)</f>
        <v/>
      </c>
    </row>
    <row r="49">
      <c r="A49" s="11" t="inlineStr">
        <is>
          <t xml:space="preserve">  - Accounts Payable</t>
        </is>
      </c>
      <c r="B49" s="21">
        <f>IF(ISNUMBER('Input LRCX'!B168),'Input LRCX'!B168,0)</f>
        <v/>
      </c>
      <c r="C49" s="21">
        <f>IF(ISNUMBER('Input LRCX'!C168),'Input LRCX'!C168,0)</f>
        <v/>
      </c>
      <c r="D49" s="21">
        <f>IF(ISNUMBER('Input LRCX'!D168),'Input LRCX'!D168,0)</f>
        <v/>
      </c>
      <c r="E49" s="21">
        <f>IF(ISNUMBER('Input LRCX'!E168),'Input LRCX'!E168,0)</f>
        <v/>
      </c>
      <c r="F49" s="21">
        <f>IF(ISNUMBER('Input LRCX'!F168),'Input LRCX'!F168,0)</f>
        <v/>
      </c>
      <c r="G49" s="21">
        <f>IF(ISNUMBER('Input LRCX'!G168),'Input LRCX'!G168,0)</f>
        <v/>
      </c>
    </row>
    <row r="50">
      <c r="A50" s="11" t="inlineStr">
        <is>
          <t xml:space="preserve">  - Accrued Expenses</t>
        </is>
      </c>
      <c r="B50" s="21">
        <f>IF(ISNUMBER('Input LRCX'!B169),'Input LRCX'!B169,0)</f>
        <v/>
      </c>
      <c r="C50" s="21">
        <f>IF(ISNUMBER('Input LRCX'!C169),'Input LRCX'!C169,0)</f>
        <v/>
      </c>
      <c r="D50" s="21">
        <f>IF(ISNUMBER('Input LRCX'!D169),'Input LRCX'!D169,0)</f>
        <v/>
      </c>
      <c r="E50" s="21">
        <f>IF(ISNUMBER('Input LRCX'!E169),'Input LRCX'!E169,0)</f>
        <v/>
      </c>
      <c r="F50" s="21">
        <f>IF(ISNUMBER('Input LRCX'!F169),'Input LRCX'!F169,0)</f>
        <v/>
      </c>
      <c r="G50" s="21">
        <f>IF(ISNUMBER('Input LRCX'!G169),'Input LRCX'!G169,0)</f>
        <v/>
      </c>
    </row>
    <row r="51">
      <c r="A51" s="11" t="inlineStr">
        <is>
          <t xml:space="preserve">  - Unearned Revenue / Contract Liabilities</t>
        </is>
      </c>
      <c r="B51" s="21">
        <f>IF(ISNUMBER('Input LRCX'!B173),'Input LRCX'!B173,0)</f>
        <v/>
      </c>
      <c r="C51" s="21">
        <f>IF(ISNUMBER('Input LRCX'!C173),'Input LRCX'!C173,0)</f>
        <v/>
      </c>
      <c r="D51" s="21">
        <f>IF(ISNUMBER('Input LRCX'!D173),'Input LRCX'!D173,0)</f>
        <v/>
      </c>
      <c r="E51" s="21">
        <f>IF(ISNUMBER('Input LRCX'!E173),'Input LRCX'!E173,0)</f>
        <v/>
      </c>
      <c r="F51" s="21">
        <f>IF(ISNUMBER('Input LRCX'!F173),'Input LRCX'!F173,0)</f>
        <v/>
      </c>
      <c r="G51" s="21">
        <f>IF(ISNUMBER('Input LRCX'!G173),'Input LRCX'!G173,0)</f>
        <v/>
      </c>
    </row>
    <row r="52">
      <c r="A52" s="11" t="inlineStr">
        <is>
          <t xml:space="preserve">  - Income Taxes Payable</t>
        </is>
      </c>
      <c r="B52" s="21">
        <f>IF(ISNUMBER('Input LRCX'!B172),'Input LRCX'!B172,0)</f>
        <v/>
      </c>
      <c r="C52" s="21">
        <f>IF(ISNUMBER('Input LRCX'!C172),'Input LRCX'!C172,0)</f>
        <v/>
      </c>
      <c r="D52" s="21">
        <f>IF(ISNUMBER('Input LRCX'!D172),'Input LRCX'!D172,0)</f>
        <v/>
      </c>
      <c r="E52" s="21">
        <f>IF(ISNUMBER('Input LRCX'!E172),'Input LRCX'!E172,0)</f>
        <v/>
      </c>
      <c r="F52" s="21">
        <f>IF(ISNUMBER('Input LRCX'!F172),'Input LRCX'!F172,0)</f>
        <v/>
      </c>
      <c r="G52" s="21">
        <f>IF(ISNUMBER('Input LRCX'!G172),'Input LRCX'!G172,0)</f>
        <v/>
      </c>
    </row>
    <row r="53">
      <c r="A53" s="11" t="inlineStr">
        <is>
          <t xml:space="preserve">  - Other Current Liabilities</t>
        </is>
      </c>
      <c r="B53" s="21">
        <f>IF(ISNUMBER('Input LRCX'!B174),'Input LRCX'!B174,0)</f>
        <v/>
      </c>
      <c r="C53" s="21">
        <f>IF(ISNUMBER('Input LRCX'!C174),'Input LRCX'!C174,0)</f>
        <v/>
      </c>
      <c r="D53" s="21">
        <f>IF(ISNUMBER('Input LRCX'!D174),'Input LRCX'!D174,0)</f>
        <v/>
      </c>
      <c r="E53" s="21">
        <f>IF(ISNUMBER('Input LRCX'!E174),'Input LRCX'!E174,0)</f>
        <v/>
      </c>
      <c r="F53" s="21">
        <f>IF(ISNUMBER('Input LRCX'!F174),'Input LRCX'!F174,0)</f>
        <v/>
      </c>
      <c r="G53" s="21">
        <f>IF(ISNUMBER('Input LRCX'!G174),'Input LRCX'!G174,0)</f>
        <v/>
      </c>
    </row>
    <row r="54">
      <c r="A54" s="24">
        <f> Operating Working Capital</f>
        <v/>
      </c>
      <c r="B54" s="25">
        <f>B45+B46+B47+B48-B49-B50-B51-B52-B53</f>
        <v/>
      </c>
      <c r="C54" s="25">
        <f>C45+C46+C47+C48-C49-C50-C51-C52-C53</f>
        <v/>
      </c>
      <c r="D54" s="25">
        <f>D45+D46+D47+D48-D49-D50-D51-D52-D53</f>
        <v/>
      </c>
      <c r="E54" s="25">
        <f>E45+E46+E47+E48-E49-E50-E51-E52-E53</f>
        <v/>
      </c>
      <c r="F54" s="25">
        <f>F45+F46+F47+F48-F49-F50-F51-F52-F53</f>
        <v/>
      </c>
      <c r="G54" s="25">
        <f>G45+G46+G47+G48-G49-G50-G51-G52-G53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IF(ISNUMBER('Input LRCX'!B160),'Input LRCX'!B160,0)</f>
        <v/>
      </c>
      <c r="C57" s="21">
        <f>IF(ISNUMBER('Input LRCX'!C160),'Input LRCX'!C160,0)</f>
        <v/>
      </c>
      <c r="D57" s="21">
        <f>IF(ISNUMBER('Input LRCX'!D160),'Input LRCX'!D160,0)</f>
        <v/>
      </c>
      <c r="E57" s="21">
        <f>IF(ISNUMBER('Input LRCX'!E160),'Input LRCX'!E160,0)</f>
        <v/>
      </c>
      <c r="F57" s="21">
        <f>IF(ISNUMBER('Input LRCX'!F160),'Input LRCX'!F160,0)</f>
        <v/>
      </c>
      <c r="G57" s="21">
        <f>IF(ISNUMBER('Input LRCX'!G160),'Input LRCX'!G160,0)</f>
        <v/>
      </c>
    </row>
    <row r="58">
      <c r="A58" s="11" t="inlineStr">
        <is>
          <t xml:space="preserve">  + Goodwill</t>
        </is>
      </c>
      <c r="B58" s="21">
        <f>IF(ISNUMBER('Input LRCX'!B162),'Input LRCX'!B162,0)</f>
        <v/>
      </c>
      <c r="C58" s="21">
        <f>IF(ISNUMBER('Input LRCX'!C162),'Input LRCX'!C162,0)</f>
        <v/>
      </c>
      <c r="D58" s="21">
        <f>IF(ISNUMBER('Input LRCX'!D162),'Input LRCX'!D162,0)</f>
        <v/>
      </c>
      <c r="E58" s="21">
        <f>IF(ISNUMBER('Input LRCX'!E162),'Input LRCX'!E162,0)</f>
        <v/>
      </c>
      <c r="F58" s="21">
        <f>IF(ISNUMBER('Input LRCX'!F162),'Input LRCX'!F162,0)</f>
        <v/>
      </c>
      <c r="G58" s="21">
        <f>IF(ISNUMBER('Input LRCX'!G162),'Input LRCX'!G162,0)</f>
        <v/>
      </c>
    </row>
    <row r="59">
      <c r="A59" s="11" t="inlineStr">
        <is>
          <t xml:space="preserve">  + Other Intangible Assets</t>
        </is>
      </c>
      <c r="B59" s="21">
        <f>IF(ISNUMBER('Input LRCX'!B163),'Input LRCX'!B163,0)</f>
        <v/>
      </c>
      <c r="C59" s="21">
        <f>IF(ISNUMBER('Input LRCX'!C163),'Input LRCX'!C163,0)</f>
        <v/>
      </c>
      <c r="D59" s="21">
        <f>IF(ISNUMBER('Input LRCX'!D163),'Input LRCX'!D163,0)</f>
        <v/>
      </c>
      <c r="E59" s="21">
        <f>IF(ISNUMBER('Input LRCX'!E163),'Input LRCX'!E163,0)</f>
        <v/>
      </c>
      <c r="F59" s="21">
        <f>IF(ISNUMBER('Input LRCX'!F163),'Input LRCX'!F163,0)</f>
        <v/>
      </c>
      <c r="G59" s="21">
        <f>IF(ISNUMBER('Input LRCX'!G163),'Input LRCX'!G163,0)</f>
        <v/>
      </c>
    </row>
    <row r="60">
      <c r="A60" s="11" t="inlineStr">
        <is>
          <t xml:space="preserve">  + Deferred Tax Assets</t>
        </is>
      </c>
      <c r="B60" s="31" t="n">
        <v>0</v>
      </c>
      <c r="C60" s="31" t="n">
        <v>0</v>
      </c>
      <c r="D60" s="31" t="n">
        <v>0</v>
      </c>
      <c r="E60" s="31" t="n">
        <v>0</v>
      </c>
      <c r="F60" s="31" t="n">
        <v>0</v>
      </c>
      <c r="G60" s="31" t="n">
        <v>0</v>
      </c>
    </row>
    <row r="61">
      <c r="A61" s="11" t="inlineStr">
        <is>
          <t xml:space="preserve">  + Deferred Charges &amp; LT Intangibles</t>
        </is>
      </c>
      <c r="B61" s="21">
        <f>IF(ISNUMBER('Input LRCX'!B164),'Input LRCX'!B164,0)</f>
        <v/>
      </c>
      <c r="C61" s="21">
        <f>IF(ISNUMBER('Input LRCX'!C164),'Input LRCX'!C164,0)</f>
        <v/>
      </c>
      <c r="D61" s="21">
        <f>IF(ISNUMBER('Input LRCX'!D164),'Input LRCX'!D164,0)</f>
        <v/>
      </c>
      <c r="E61" s="21">
        <f>IF(ISNUMBER('Input LRCX'!E164),'Input LRCX'!E164,0)</f>
        <v/>
      </c>
      <c r="F61" s="21">
        <f>IF(ISNUMBER('Input LRCX'!F164),'Input LRCX'!F164,0)</f>
        <v/>
      </c>
      <c r="G61" s="21">
        <f>IF(ISNUMBER('Input LRCX'!G164),'Input LRCX'!G164,0)</f>
        <v/>
      </c>
    </row>
    <row r="62">
      <c r="A62" s="11" t="inlineStr">
        <is>
          <t xml:space="preserve">  + Other Non-Current Assets</t>
        </is>
      </c>
      <c r="B62" s="21">
        <f>IF(ISNUMBER('Input LRCX'!B165),'Input LRCX'!B165,0)</f>
        <v/>
      </c>
      <c r="C62" s="21">
        <f>IF(ISNUMBER('Input LRCX'!C165),'Input LRCX'!C165,0)</f>
        <v/>
      </c>
      <c r="D62" s="21">
        <f>IF(ISNUMBER('Input LRCX'!D165),'Input LRCX'!D165,0)</f>
        <v/>
      </c>
      <c r="E62" s="21">
        <f>IF(ISNUMBER('Input LRCX'!E165),'Input LRCX'!E165,0)</f>
        <v/>
      </c>
      <c r="F62" s="21">
        <f>IF(ISNUMBER('Input LRCX'!F165),'Input LRCX'!F165,0)</f>
        <v/>
      </c>
      <c r="G62" s="21">
        <f>IF(ISNUMBER('Input LRCX'!G165),'Input LRCX'!G165,0)</f>
        <v/>
      </c>
    </row>
    <row r="63">
      <c r="A63" s="11" t="inlineStr">
        <is>
          <t xml:space="preserve">  - Deferred Tax Liabilities</t>
        </is>
      </c>
      <c r="B63" s="31" t="n">
        <v>0</v>
      </c>
      <c r="C63" s="31" t="n">
        <v>0</v>
      </c>
      <c r="D63" s="31" t="n">
        <v>0</v>
      </c>
      <c r="E63" s="31" t="n">
        <v>0</v>
      </c>
      <c r="F63" s="31" t="n">
        <v>0</v>
      </c>
      <c r="G63" s="31" t="n">
        <v>0</v>
      </c>
    </row>
    <row r="64">
      <c r="A64" s="11" t="inlineStr">
        <is>
          <t xml:space="preserve">  - Other Non-Current Liabilities</t>
        </is>
      </c>
      <c r="B64" s="21">
        <f>IF(ISNUMBER('Input LRCX'!B178),'Input LRCX'!B178,0)</f>
        <v/>
      </c>
      <c r="C64" s="21">
        <f>IF(ISNUMBER('Input LRCX'!C178),'Input LRCX'!C178,0)</f>
        <v/>
      </c>
      <c r="D64" s="21">
        <f>IF(ISNUMBER('Input LRCX'!D178),'Input LRCX'!D178,0)</f>
        <v/>
      </c>
      <c r="E64" s="21">
        <f>IF(ISNUMBER('Input LRCX'!E178),'Input LRCX'!E178,0)</f>
        <v/>
      </c>
      <c r="F64" s="21">
        <f>IF(ISNUMBER('Input LRCX'!F178),'Input LRCX'!F178,0)</f>
        <v/>
      </c>
      <c r="G64" s="21">
        <f>IF(ISNUMBER('Input LRCX'!G178),'Input LRCX'!G178,0)</f>
        <v/>
      </c>
    </row>
    <row r="65">
      <c r="A65" s="24">
        <f> Net Non-Current Operating Assets</f>
        <v/>
      </c>
      <c r="B65" s="25">
        <f>B57+B58+B59+B60+B61+B62-B63-B64</f>
        <v/>
      </c>
      <c r="C65" s="25">
        <f>C57+C58+C59+C60+C61+C62-C63-C64</f>
        <v/>
      </c>
      <c r="D65" s="25">
        <f>D57+D58+D59+D60+D61+D62-D63-D64</f>
        <v/>
      </c>
      <c r="E65" s="25">
        <f>E57+E58+E59+E60+E61+E62-E63-E64</f>
        <v/>
      </c>
      <c r="F65" s="25">
        <f>F57+F58+F59+F60+F61+F62-F63-F64</f>
        <v/>
      </c>
      <c r="G65" s="25">
        <f>G57+G58+G59+G60+G61+G62-G63-G64</f>
        <v/>
      </c>
    </row>
    <row r="66"/>
    <row r="67">
      <c r="A67" s="24">
        <f> Net Operating Assets</f>
        <v/>
      </c>
      <c r="B67" s="25">
        <f>B54+B65</f>
        <v/>
      </c>
      <c r="C67" s="25">
        <f>C54+C65</f>
        <v/>
      </c>
      <c r="D67" s="25">
        <f>D54+D65</f>
        <v/>
      </c>
      <c r="E67" s="25">
        <f>E54+E65</f>
        <v/>
      </c>
      <c r="F67" s="25">
        <f>F54+F65</f>
        <v/>
      </c>
      <c r="G67" s="25">
        <f>G54+G65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IF(ISNUMBER('Input LRCX'!B161),'Input LRCX'!B161,0)</f>
        <v/>
      </c>
      <c r="C70" s="21">
        <f>IF(ISNUMBER('Input LRCX'!C161),'Input LRCX'!C161,0)</f>
        <v/>
      </c>
      <c r="D70" s="21">
        <f>IF(ISNUMBER('Input LRCX'!D161),'Input LRCX'!D161,0)</f>
        <v/>
      </c>
      <c r="E70" s="21">
        <f>IF(ISNUMBER('Input LRCX'!E161),'Input LRCX'!E161,0)</f>
        <v/>
      </c>
      <c r="F70" s="21">
        <f>IF(ISNUMBER('Input LRCX'!F161),'Input LRCX'!F161,0)</f>
        <v/>
      </c>
      <c r="G70" s="21">
        <f>IF(ISNUMBER('Input LRCX'!G161),'Input LRCX'!G161,0)</f>
        <v/>
      </c>
    </row>
    <row r="71">
      <c r="A71" s="24">
        <f> Total Investment Assets</f>
        <v/>
      </c>
      <c r="B71" s="25">
        <f>B70</f>
        <v/>
      </c>
      <c r="C71" s="25">
        <f>C70</f>
        <v/>
      </c>
      <c r="D71" s="25">
        <f>D70</f>
        <v/>
      </c>
      <c r="E71" s="25">
        <f>E70</f>
        <v/>
      </c>
      <c r="F71" s="25">
        <f>F70</f>
        <v/>
      </c>
      <c r="G71" s="25">
        <f>G70</f>
        <v/>
      </c>
    </row>
    <row r="72"/>
    <row r="73">
      <c r="A73" s="26">
        <f> Business Assets</f>
        <v/>
      </c>
      <c r="B73" s="27">
        <f>B67+B71</f>
        <v/>
      </c>
      <c r="C73" s="27">
        <f>C67+C71</f>
        <v/>
      </c>
      <c r="D73" s="27">
        <f>D67+D71</f>
        <v/>
      </c>
      <c r="E73" s="27">
        <f>E67+E71</f>
        <v/>
      </c>
      <c r="F73" s="27">
        <f>F67+F71</f>
        <v/>
      </c>
      <c r="G73" s="27">
        <f>G67+G71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IF(ISNUMBER('Input LRCX'!B171),'Input LRCX'!B171,0)</f>
        <v/>
      </c>
      <c r="C76" s="21">
        <f>IF(ISNUMBER('Input LRCX'!C171),'Input LRCX'!C171,0)</f>
        <v/>
      </c>
      <c r="D76" s="21">
        <f>IF(ISNUMBER('Input LRCX'!D171),'Input LRCX'!D171,0)</f>
        <v/>
      </c>
      <c r="E76" s="21">
        <f>IF(ISNUMBER('Input LRCX'!E171),'Input LRCX'!E171,0)</f>
        <v/>
      </c>
      <c r="F76" s="21">
        <f>IF(ISNUMBER('Input LRCX'!F171),'Input LRCX'!F171,0)</f>
        <v/>
      </c>
      <c r="G76" s="21">
        <f>IF(ISNUMBER('Input LRCX'!G171),'Input LRCX'!G171,0)</f>
        <v/>
      </c>
    </row>
    <row r="77">
      <c r="A77" s="11" t="inlineStr">
        <is>
          <t xml:space="preserve">  + Lease Liabilities (non-current)</t>
        </is>
      </c>
      <c r="B77" s="21">
        <f>IF(ISNUMBER('Input LRCX'!B177),'Input LRCX'!B177,0)</f>
        <v/>
      </c>
      <c r="C77" s="21">
        <f>IF(ISNUMBER('Input LRCX'!C177),'Input LRCX'!C177,0)</f>
        <v/>
      </c>
      <c r="D77" s="21">
        <f>IF(ISNUMBER('Input LRCX'!D177),'Input LRCX'!D177,0)</f>
        <v/>
      </c>
      <c r="E77" s="21">
        <f>IF(ISNUMBER('Input LRCX'!E177),'Input LRCX'!E177,0)</f>
        <v/>
      </c>
      <c r="F77" s="21">
        <f>IF(ISNUMBER('Input LRCX'!F177),'Input LRCX'!F177,0)</f>
        <v/>
      </c>
      <c r="G77" s="21">
        <f>IF(ISNUMBER('Input LRCX'!G177),'Input LRCX'!G177,0)</f>
        <v/>
      </c>
    </row>
    <row r="78">
      <c r="A78" s="24">
        <f> Total Debt</f>
        <v/>
      </c>
      <c r="B78" s="25">
        <f>IF(ISNUMBER('Input LRCX'!B195),'Input LRCX'!B195,0)</f>
        <v/>
      </c>
      <c r="C78" s="25">
        <f>IF(ISNUMBER('Input LRCX'!C195),'Input LRCX'!C195,0)</f>
        <v/>
      </c>
      <c r="D78" s="25">
        <f>IF(ISNUMBER('Input LRCX'!D195),'Input LRCX'!D195,0)</f>
        <v/>
      </c>
      <c r="E78" s="25">
        <f>IF(ISNUMBER('Input LRCX'!E195),'Input LRCX'!E195,0)</f>
        <v/>
      </c>
      <c r="F78" s="25">
        <f>IF(ISNUMBER('Input LRCX'!F195),'Input LRCX'!F195,0)</f>
        <v/>
      </c>
      <c r="G78" s="25">
        <f>IF(ISNUMBER('Input LRCX'!G195),'Input LRCX'!G195,0)</f>
        <v/>
      </c>
    </row>
    <row r="79">
      <c r="A79" s="11" t="inlineStr">
        <is>
          <t xml:space="preserve">  Cash &amp; Equivalents</t>
        </is>
      </c>
      <c r="B79" s="21">
        <f>IF(ISNUMBER('Input LRCX'!B151),'Input LRCX'!B151,0)</f>
        <v/>
      </c>
      <c r="C79" s="21">
        <f>IF(ISNUMBER('Input LRCX'!C151),'Input LRCX'!C151,0)</f>
        <v/>
      </c>
      <c r="D79" s="21">
        <f>IF(ISNUMBER('Input LRCX'!D151),'Input LRCX'!D151,0)</f>
        <v/>
      </c>
      <c r="E79" s="21">
        <f>IF(ISNUMBER('Input LRCX'!E151),'Input LRCX'!E151,0)</f>
        <v/>
      </c>
      <c r="F79" s="21">
        <f>IF(ISNUMBER('Input LRCX'!F151),'Input LRCX'!F151,0)</f>
        <v/>
      </c>
      <c r="G79" s="21">
        <f>IF(ISNUMBER('Input LRCX'!G151),'Input LRCX'!G151,0)</f>
        <v/>
      </c>
    </row>
    <row r="80">
      <c r="A80" s="22">
        <f> Net Debt</f>
        <v/>
      </c>
      <c r="B80" s="23">
        <f>B78-B79</f>
        <v/>
      </c>
      <c r="C80" s="23">
        <f>C78-C79</f>
        <v/>
      </c>
      <c r="D80" s="23">
        <f>D78-D79</f>
        <v/>
      </c>
      <c r="E80" s="23">
        <f>E78-E79</f>
        <v/>
      </c>
      <c r="F80" s="23">
        <f>F78-F79</f>
        <v/>
      </c>
      <c r="G80" s="23">
        <f>G78-G79</f>
        <v/>
      </c>
    </row>
    <row r="81">
      <c r="A81" s="11" t="inlineStr">
        <is>
          <t>Group Equity</t>
        </is>
      </c>
      <c r="B81" s="21">
        <f>IF(ISNUMBER('Input LRCX'!B187),'Input LRCX'!B187,0)</f>
        <v/>
      </c>
      <c r="C81" s="21">
        <f>IF(ISNUMBER('Input LRCX'!C187),'Input LRCX'!C187,0)</f>
        <v/>
      </c>
      <c r="D81" s="21">
        <f>IF(ISNUMBER('Input LRCX'!D187),'Input LRCX'!D187,0)</f>
        <v/>
      </c>
      <c r="E81" s="21">
        <f>IF(ISNUMBER('Input LRCX'!E187),'Input LRCX'!E187,0)</f>
        <v/>
      </c>
      <c r="F81" s="21">
        <f>IF(ISNUMBER('Input LRCX'!F187),'Input LRCX'!F187,0)</f>
        <v/>
      </c>
      <c r="G81" s="21">
        <f>IF(ISNUMBER('Input LRCX'!G187),'Input LRCX'!G187,0)</f>
        <v/>
      </c>
    </row>
    <row r="82">
      <c r="A82" s="26">
        <f> Invested Capital</f>
        <v/>
      </c>
      <c r="B82" s="27">
        <f>B80+B81</f>
        <v/>
      </c>
      <c r="C82" s="27">
        <f>C80+C81</f>
        <v/>
      </c>
      <c r="D82" s="27">
        <f>D80+D81</f>
        <v/>
      </c>
      <c r="E82" s="27">
        <f>E80+E81</f>
        <v/>
      </c>
      <c r="F82" s="27">
        <f>F80+F81</f>
        <v/>
      </c>
      <c r="G82" s="27">
        <f>G80+G81</f>
        <v/>
      </c>
    </row>
    <row r="83">
      <c r="A83" s="22" t="inlineStr">
        <is>
          <t>BS Check (should = 0)</t>
        </is>
      </c>
      <c r="B83" s="23">
        <f>B73-B82</f>
        <v/>
      </c>
      <c r="C83" s="23">
        <f>C73-C82</f>
        <v/>
      </c>
      <c r="D83" s="23">
        <f>D73-D82</f>
        <v/>
      </c>
      <c r="E83" s="23">
        <f>E73-E82</f>
        <v/>
      </c>
      <c r="F83" s="23">
        <f>F73-F82</f>
        <v/>
      </c>
      <c r="G83" s="23">
        <f>G73-G82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31">
        <f>B36</f>
        <v/>
      </c>
      <c r="C87" s="31">
        <f>C36</f>
        <v/>
      </c>
      <c r="D87" s="31">
        <f>D36</f>
        <v/>
      </c>
      <c r="E87" s="31">
        <f>E36</f>
        <v/>
      </c>
      <c r="F87" s="31">
        <f>F36</f>
        <v/>
      </c>
      <c r="G87" s="31">
        <f>G36</f>
        <v/>
      </c>
    </row>
    <row r="88">
      <c r="A88" s="11" t="inlineStr">
        <is>
          <t>+ D&amp;A</t>
        </is>
      </c>
      <c r="B88" s="21">
        <f>IF(ISNUMBER('Input LRCX'!B98),'Input LRCX'!B98,0)</f>
        <v/>
      </c>
      <c r="C88" s="21">
        <f>IF(ISNUMBER('Input LRCX'!C98),'Input LRCX'!C98,0)</f>
        <v/>
      </c>
      <c r="D88" s="21">
        <f>IF(ISNUMBER('Input LRCX'!D98),'Input LRCX'!D98,0)</f>
        <v/>
      </c>
      <c r="E88" s="21">
        <f>IF(ISNUMBER('Input LRCX'!E98),'Input LRCX'!E98,0)</f>
        <v/>
      </c>
      <c r="F88" s="21">
        <f>IF(ISNUMBER('Input LRCX'!F98),'Input LRCX'!F98,0)</f>
        <v/>
      </c>
      <c r="G88" s="21">
        <f>IF(ISNUMBER('Input LRCX'!G98),'Input LRCX'!G98,0)</f>
        <v/>
      </c>
    </row>
    <row r="89">
      <c r="A89" s="11" t="inlineStr">
        <is>
          <t>- Change in OWC</t>
        </is>
      </c>
      <c r="B89" s="31" t="n">
        <v>0</v>
      </c>
      <c r="C89" s="31">
        <f>C54-B54</f>
        <v/>
      </c>
      <c r="D89" s="31">
        <f>D54-C54</f>
        <v/>
      </c>
      <c r="E89" s="31">
        <f>E54-D54</f>
        <v/>
      </c>
      <c r="F89" s="31">
        <f>F54-E54</f>
        <v/>
      </c>
      <c r="G89" s="31">
        <f>G54-F54</f>
        <v/>
      </c>
    </row>
    <row r="90">
      <c r="A90" s="11" t="inlineStr">
        <is>
          <t>- CapEx</t>
        </is>
      </c>
      <c r="B90" s="21">
        <f>ABS(IF(ISNUMBER('Input LRCX'!B108),'Input LRCX'!B108,0))</f>
        <v/>
      </c>
      <c r="C90" s="21">
        <f>ABS(IF(ISNUMBER('Input LRCX'!C108),'Input LRCX'!C108,0))</f>
        <v/>
      </c>
      <c r="D90" s="21">
        <f>ABS(IF(ISNUMBER('Input LRCX'!D108),'Input LRCX'!D108,0))</f>
        <v/>
      </c>
      <c r="E90" s="21">
        <f>ABS(IF(ISNUMBER('Input LRCX'!E108),'Input LRCX'!E108,0))</f>
        <v/>
      </c>
      <c r="F90" s="21">
        <f>ABS(IF(ISNUMBER('Input LRCX'!F108),'Input LRCX'!F108,0))</f>
        <v/>
      </c>
      <c r="G90" s="21">
        <f>ABS(IF(ISNUMBER('Input LRCX'!G108),'Input LRCX'!G108,0))</f>
        <v/>
      </c>
    </row>
    <row r="91">
      <c r="A91" s="11" t="inlineStr">
        <is>
          <t>- Purchase of Intangibles</t>
        </is>
      </c>
      <c r="B91" s="31" t="n">
        <v>0</v>
      </c>
      <c r="C91" s="31" t="n">
        <v>0</v>
      </c>
      <c r="D91" s="31" t="n">
        <v>0</v>
      </c>
      <c r="E91" s="31" t="n">
        <v>0</v>
      </c>
      <c r="F91" s="31" t="n">
        <v>0</v>
      </c>
      <c r="G91" s="31" t="n">
        <v>0</v>
      </c>
    </row>
    <row r="92">
      <c r="A92" s="24">
        <f> Operating CF after investment</f>
        <v/>
      </c>
      <c r="B92" s="25">
        <f>B87+B88-B89-B90-B91</f>
        <v/>
      </c>
      <c r="C92" s="25">
        <f>C87+C88-C89-C90-C91</f>
        <v/>
      </c>
      <c r="D92" s="25">
        <f>D87+D88-D89-D90-D91</f>
        <v/>
      </c>
      <c r="E92" s="25">
        <f>E87+E88-E89-E90-E91</f>
        <v/>
      </c>
      <c r="F92" s="25">
        <f>F87+F88-F89-F90-F91</f>
        <v/>
      </c>
      <c r="G92" s="25">
        <f>G87+G88-G89-G90-G91</f>
        <v/>
      </c>
    </row>
    <row r="93"/>
    <row r="94">
      <c r="A94" s="11" t="inlineStr">
        <is>
          <t>+ Net Investment Profit after tax</t>
        </is>
      </c>
      <c r="B94" s="31">
        <f>B27*(1-B35)</f>
        <v/>
      </c>
      <c r="C94" s="31">
        <f>C27*(1-C35)</f>
        <v/>
      </c>
      <c r="D94" s="31">
        <f>D27*(1-D35)</f>
        <v/>
      </c>
      <c r="E94" s="31">
        <f>E27*(1-E35)</f>
        <v/>
      </c>
      <c r="F94" s="31">
        <f>F27*(1-F35)</f>
        <v/>
      </c>
      <c r="G94" s="31">
        <f>G27*(1-G35)</f>
        <v/>
      </c>
    </row>
    <row r="95">
      <c r="A95" s="11" t="inlineStr">
        <is>
          <t>- Change in Investment Assets</t>
        </is>
      </c>
      <c r="B95" s="31" t="n">
        <v>0</v>
      </c>
      <c r="C95" s="31">
        <f>C71-B71</f>
        <v/>
      </c>
      <c r="D95" s="31">
        <f>D71-C71</f>
        <v/>
      </c>
      <c r="E95" s="31">
        <f>E71-D71</f>
        <v/>
      </c>
      <c r="F95" s="31">
        <f>F71-E71</f>
        <v/>
      </c>
      <c r="G95" s="31">
        <f>G71-F71</f>
        <v/>
      </c>
    </row>
    <row r="96">
      <c r="A96" s="24">
        <f> FCF to Debt &amp; Equity</f>
        <v/>
      </c>
      <c r="B96" s="25">
        <f>B92+B94-B95</f>
        <v/>
      </c>
      <c r="C96" s="25">
        <f>C92+C94-C95</f>
        <v/>
      </c>
      <c r="D96" s="25">
        <f>D92+D94-D95</f>
        <v/>
      </c>
      <c r="E96" s="25">
        <f>E92+E94-E95</f>
        <v/>
      </c>
      <c r="F96" s="25">
        <f>F92+F94-F95</f>
        <v/>
      </c>
      <c r="G96" s="25">
        <f>G92+G94-G95</f>
        <v/>
      </c>
    </row>
    <row r="97">
      <c r="A97" s="11" t="inlineStr">
        <is>
          <t>- Interest Expense after tax</t>
        </is>
      </c>
      <c r="B97" s="31">
        <f>B29*(1-B35)</f>
        <v/>
      </c>
      <c r="C97" s="31">
        <f>C29*(1-C35)</f>
        <v/>
      </c>
      <c r="D97" s="31">
        <f>D29*(1-D35)</f>
        <v/>
      </c>
      <c r="E97" s="31">
        <f>E29*(1-E35)</f>
        <v/>
      </c>
      <c r="F97" s="31">
        <f>F29*(1-F35)</f>
        <v/>
      </c>
      <c r="G97" s="31">
        <f>G29*(1-G35)</f>
        <v/>
      </c>
    </row>
    <row r="98">
      <c r="A98" s="11" t="inlineStr">
        <is>
          <t>+ Change in Debt</t>
        </is>
      </c>
      <c r="B98" s="31" t="n">
        <v>0</v>
      </c>
      <c r="C98" s="31">
        <f>C78-B78</f>
        <v/>
      </c>
      <c r="D98" s="31">
        <f>D78-C78</f>
        <v/>
      </c>
      <c r="E98" s="31">
        <f>E78-D78</f>
        <v/>
      </c>
      <c r="F98" s="31">
        <f>F78-E78</f>
        <v/>
      </c>
      <c r="G98" s="31">
        <f>G78-F78</f>
        <v/>
      </c>
    </row>
    <row r="99">
      <c r="A99" s="26">
        <f> FCF to Equity</f>
        <v/>
      </c>
      <c r="B99" s="27">
        <f>B96-B97+B98</f>
        <v/>
      </c>
      <c r="C99" s="27">
        <f>C96-C97+C98</f>
        <v/>
      </c>
      <c r="D99" s="27">
        <f>D96-D97+D98</f>
        <v/>
      </c>
      <c r="E99" s="27">
        <f>E96-E97+E98</f>
        <v/>
      </c>
      <c r="F99" s="27">
        <f>F96-F97+F98</f>
        <v/>
      </c>
      <c r="G99" s="27">
        <f>G96-G97+G98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</cols>
  <sheetData>
    <row r="1">
      <c r="A1" s="14" t="inlineStr">
        <is>
          <t>Accounting Analysis &amp; Adjustments - ASM International NV</t>
        </is>
      </c>
    </row>
    <row r="3">
      <c r="A3" s="32" t="inlineStr">
        <is>
          <t>Areas Examined</t>
        </is>
      </c>
    </row>
    <row r="5">
      <c r="A5" s="22" t="inlineStr">
        <is>
          <t>1. R&amp;D Capitalization Policy</t>
        </is>
      </c>
    </row>
    <row r="6">
      <c r="B6" s="22" t="inlineStr">
        <is>
          <t>Description:</t>
        </is>
      </c>
      <c r="C6" s="11" t="inlineStr">
        <is>
          <t>ASM capitalizes development expenditure (significant amounts).</t>
        </is>
      </c>
    </row>
    <row r="7">
      <c r="B7" s="22" t="inlineStr">
        <is>
          <t>Finding:</t>
        </is>
      </c>
      <c r="C7" s="11" t="inlineStr">
        <is>
          <t>Compare with peers: all semi equipment companies capitalize similarly.</t>
        </is>
      </c>
    </row>
    <row r="8">
      <c r="B8" s="22" t="inlineStr">
        <is>
          <t>Decision:</t>
        </is>
      </c>
      <c r="C8" s="11" t="inlineStr">
        <is>
          <t>No Adjustment</t>
        </is>
      </c>
    </row>
    <row r="9">
      <c r="B9" s="22" t="inlineStr">
        <is>
          <t>Justification:</t>
        </is>
      </c>
      <c r="C9" s="11" t="inlineStr">
        <is>
          <t>Consistent with industry practice and peers.</t>
        </is>
      </c>
    </row>
    <row r="11">
      <c r="A11" s="22" t="inlineStr">
        <is>
          <t>2. Equity Method Investment (ASMPT)</t>
        </is>
      </c>
    </row>
    <row r="12">
      <c r="B12" s="22" t="inlineStr">
        <is>
          <t>Description:</t>
        </is>
      </c>
      <c r="C12" s="11" t="inlineStr">
        <is>
          <t>~25% stake in ASM Pacific Technology.</t>
        </is>
      </c>
    </row>
    <row r="13">
      <c r="B13" s="22" t="inlineStr">
        <is>
          <t>Finding:</t>
        </is>
      </c>
      <c r="C13" s="11" t="inlineStr">
        <is>
          <t>Already separated as Investment Income in standardized IS.</t>
        </is>
      </c>
    </row>
    <row r="14">
      <c r="B14" s="22" t="inlineStr">
        <is>
          <t>Decision:</t>
        </is>
      </c>
      <c r="C14" s="11" t="inlineStr">
        <is>
          <t>No Adjustment</t>
        </is>
      </c>
    </row>
    <row r="15">
      <c r="B15" s="22" t="inlineStr">
        <is>
          <t>Justification:</t>
        </is>
      </c>
      <c r="C15" s="11" t="inlineStr">
        <is>
          <t>No further adjustment needed.</t>
        </is>
      </c>
    </row>
    <row r="17">
      <c r="A17" s="22" t="inlineStr">
        <is>
          <t>3. FX Gains/Losses</t>
        </is>
      </c>
    </row>
    <row r="18">
      <c r="B18" s="22" t="inlineStr">
        <is>
          <t>Description:</t>
        </is>
      </c>
      <c r="C18" s="11" t="inlineStr">
        <is>
          <t>Highly volatile: ranged from -23M (2020) to +45M (2024).</t>
        </is>
      </c>
    </row>
    <row r="19">
      <c r="B19" s="22" t="inlineStr">
        <is>
          <t>Finding:</t>
        </is>
      </c>
      <c r="C19" s="11" t="inlineStr">
        <is>
          <t>Already classified below EBIT in standardized IS (non-operating).</t>
        </is>
      </c>
    </row>
    <row r="20">
      <c r="B20" s="22" t="inlineStr">
        <is>
          <t>Decision:</t>
        </is>
      </c>
      <c r="C20" s="11" t="inlineStr">
        <is>
          <t>No Adjustment</t>
        </is>
      </c>
    </row>
    <row r="21">
      <c r="B21" s="22" t="inlineStr">
        <is>
          <t>Justification:</t>
        </is>
      </c>
      <c r="C21" s="11" t="inlineStr">
        <is>
          <t>Already handled in standardization.</t>
        </is>
      </c>
    </row>
    <row r="23">
      <c r="A23" s="22" t="inlineStr">
        <is>
          <t>4. Stock-Based Compensation</t>
        </is>
      </c>
    </row>
    <row r="24">
      <c r="B24" s="22" t="inlineStr">
        <is>
          <t>Description:</t>
        </is>
      </c>
      <c r="C24" s="11" t="inlineStr">
        <is>
          <t>EUR 42M in 2024, growing over time.</t>
        </is>
      </c>
    </row>
    <row r="25">
      <c r="B25" s="22" t="inlineStr">
        <is>
          <t>Finding:</t>
        </is>
      </c>
      <c r="C25" s="11" t="inlineStr">
        <is>
          <t>Already included in operating expenses in CapIQ data.</t>
        </is>
      </c>
    </row>
    <row r="26">
      <c r="B26" s="22" t="inlineStr">
        <is>
          <t>Decision:</t>
        </is>
      </c>
      <c r="C26" s="11" t="inlineStr">
        <is>
          <t>No Adjustment</t>
        </is>
      </c>
    </row>
    <row r="27">
      <c r="B27" s="22" t="inlineStr">
        <is>
          <t>Justification:</t>
        </is>
      </c>
      <c r="C27" s="11" t="inlineStr">
        <is>
          <t>No adjustment needed.</t>
        </is>
      </c>
    </row>
    <row r="29">
      <c r="A29" s="22" t="inlineStr">
        <is>
          <t>5. Goodwill (LPE Acquisition 2022)</t>
        </is>
      </c>
    </row>
    <row r="30">
      <c r="B30" s="22" t="inlineStr">
        <is>
          <t>Description:</t>
        </is>
      </c>
      <c r="C30" s="11" t="inlineStr">
        <is>
          <t>EUR 321M from LPE acquisition.</t>
        </is>
      </c>
    </row>
    <row r="31">
      <c r="B31" s="22" t="inlineStr">
        <is>
          <t>Finding:</t>
        </is>
      </c>
      <c r="C31" s="11" t="inlineStr">
        <is>
          <t>No impairment charges taken.</t>
        </is>
      </c>
    </row>
    <row r="32">
      <c r="B32" s="22" t="inlineStr">
        <is>
          <t>Decision:</t>
        </is>
      </c>
      <c r="C32" s="11" t="inlineStr">
        <is>
          <t>No Adjustment</t>
        </is>
      </c>
    </row>
    <row r="33">
      <c r="B33" s="22" t="inlineStr">
        <is>
          <t>Justification:</t>
        </is>
      </c>
      <c r="C33" s="11" t="inlineStr">
        <is>
          <t>Monitor for future impairment risk.</t>
        </is>
      </c>
    </row>
    <row r="35">
      <c r="A35" s="22" t="inlineStr">
        <is>
          <t>6. Asset Writedowns &amp; Unusual Items</t>
        </is>
      </c>
    </row>
    <row r="36">
      <c r="B36" s="22" t="inlineStr">
        <is>
          <t>Description:</t>
        </is>
      </c>
      <c r="C36" s="11" t="inlineStr">
        <is>
          <t>Small and sporadic.</t>
        </is>
      </c>
    </row>
    <row r="37">
      <c r="B37" s="22" t="inlineStr">
        <is>
          <t>Finding:</t>
        </is>
      </c>
      <c r="C37" s="11" t="inlineStr">
        <is>
          <t>Already classified as non-recurring in standardized IS.</t>
        </is>
      </c>
    </row>
    <row r="38">
      <c r="B38" s="22" t="inlineStr">
        <is>
          <t>Decision:</t>
        </is>
      </c>
      <c r="C38" s="11" t="inlineStr">
        <is>
          <t>No Adjustment</t>
        </is>
      </c>
    </row>
    <row r="39">
      <c r="B39" s="22" t="inlineStr">
        <is>
          <t>Justification:</t>
        </is>
      </c>
      <c r="C39" s="11" t="inlineStr">
        <is>
          <t>No adjustment needed.</t>
        </is>
      </c>
    </row>
    <row r="42">
      <c r="A42" s="32" t="inlineStr">
        <is>
          <t>Summary</t>
        </is>
      </c>
    </row>
    <row r="43">
      <c r="A43" s="11" t="inlineStr">
        <is>
          <t>No material adjustments required. The standardization process already handles all analytical reclassifications. Adjusted tabs pass through from Standardized tabs.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ASM International NV</t>
        </is>
      </c>
    </row>
    <row r="2">
      <c r="A2" s="15" t="inlineStr">
        <is>
          <t>(EUR 000)</t>
        </is>
      </c>
    </row>
    <row r="3">
      <c r="B3" s="33">
        <f>'Std ASM'!B3</f>
        <v/>
      </c>
      <c r="C3" s="33">
        <f>'Std ASM'!C3</f>
        <v/>
      </c>
      <c r="D3" s="33">
        <f>'Std ASM'!D3</f>
        <v/>
      </c>
      <c r="E3" s="33">
        <f>'Std ASM'!E3</f>
        <v/>
      </c>
      <c r="F3" s="33">
        <f>'Std ASM'!F3</f>
        <v/>
      </c>
      <c r="G3" s="33">
        <f>'Std ASM'!G3</f>
        <v/>
      </c>
    </row>
    <row r="4"/>
    <row r="5">
      <c r="A5" s="11" t="inlineStr">
        <is>
          <t>Operating cash %</t>
        </is>
      </c>
      <c r="B5" s="34">
        <f>'Std ASM'!B5</f>
        <v/>
      </c>
      <c r="C5" s="34">
        <f>'Std ASM'!C5</f>
        <v/>
      </c>
      <c r="D5" s="34">
        <f>'Std ASM'!D5</f>
        <v/>
      </c>
      <c r="E5" s="34">
        <f>'Std ASM'!E5</f>
        <v/>
      </c>
      <c r="F5" s="34">
        <f>'Std ASM'!F5</f>
        <v/>
      </c>
      <c r="G5" s="34">
        <f>'Std ASM'!G5</f>
        <v/>
      </c>
    </row>
    <row r="6">
      <c r="A6" s="11" t="inlineStr">
        <is>
          <t>Tax rate (effective)</t>
        </is>
      </c>
      <c r="B6" s="18">
        <f>'Std ASM'!B6</f>
        <v/>
      </c>
      <c r="C6" s="18">
        <f>'Std ASM'!C6</f>
        <v/>
      </c>
      <c r="D6" s="18">
        <f>'Std ASM'!D6</f>
        <v/>
      </c>
      <c r="E6" s="18">
        <f>'Std ASM'!E6</f>
        <v/>
      </c>
      <c r="F6" s="18">
        <f>'Std ASM'!F6</f>
        <v/>
      </c>
      <c r="G6" s="18">
        <f>'Std ASM'!G6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'Std ASM'!B9</f>
        <v/>
      </c>
      <c r="C9" s="21">
        <f>'Std ASM'!C9</f>
        <v/>
      </c>
      <c r="D9" s="21">
        <f>'Std ASM'!D9</f>
        <v/>
      </c>
      <c r="E9" s="21">
        <f>'Std ASM'!E9</f>
        <v/>
      </c>
      <c r="F9" s="21">
        <f>'Std ASM'!F9</f>
        <v/>
      </c>
      <c r="G9" s="21">
        <f>'Std ASM'!G9</f>
        <v/>
      </c>
    </row>
    <row r="10">
      <c r="A10" s="11" t="inlineStr">
        <is>
          <t>Cost of Sales</t>
        </is>
      </c>
      <c r="B10" s="21">
        <f>'Std ASM'!B10</f>
        <v/>
      </c>
      <c r="C10" s="21">
        <f>'Std ASM'!C10</f>
        <v/>
      </c>
      <c r="D10" s="21">
        <f>'Std ASM'!D10</f>
        <v/>
      </c>
      <c r="E10" s="21">
        <f>'Std ASM'!E10</f>
        <v/>
      </c>
      <c r="F10" s="21">
        <f>'Std ASM'!F10</f>
        <v/>
      </c>
      <c r="G10" s="21">
        <f>'Std ASM'!G10</f>
        <v/>
      </c>
    </row>
    <row r="11">
      <c r="A11" s="22" t="inlineStr">
        <is>
          <t>Gross Profit</t>
        </is>
      </c>
      <c r="B11" s="35">
        <f>'Std ASM'!B11</f>
        <v/>
      </c>
      <c r="C11" s="35">
        <f>'Std ASM'!C11</f>
        <v/>
      </c>
      <c r="D11" s="35">
        <f>'Std ASM'!D11</f>
        <v/>
      </c>
      <c r="E11" s="35">
        <f>'Std ASM'!E11</f>
        <v/>
      </c>
      <c r="F11" s="35">
        <f>'Std ASM'!F11</f>
        <v/>
      </c>
      <c r="G11" s="35">
        <f>'Std ASM'!G11</f>
        <v/>
      </c>
    </row>
    <row r="12">
      <c r="A12" s="11" t="inlineStr">
        <is>
          <t xml:space="preserve">  SG&amp;A</t>
        </is>
      </c>
      <c r="B12" s="21">
        <f>'Std ASM'!B12</f>
        <v/>
      </c>
      <c r="C12" s="21">
        <f>'Std ASM'!C12</f>
        <v/>
      </c>
      <c r="D12" s="21">
        <f>'Std ASM'!D12</f>
        <v/>
      </c>
      <c r="E12" s="21">
        <f>'Std ASM'!E12</f>
        <v/>
      </c>
      <c r="F12" s="21">
        <f>'Std ASM'!F12</f>
        <v/>
      </c>
      <c r="G12" s="21">
        <f>'Std ASM'!G12</f>
        <v/>
      </c>
    </row>
    <row r="13">
      <c r="A13" s="11" t="inlineStr">
        <is>
          <t xml:space="preserve">  R&amp;D</t>
        </is>
      </c>
      <c r="B13" s="21">
        <f>'Std ASM'!B13</f>
        <v/>
      </c>
      <c r="C13" s="21">
        <f>'Std ASM'!C13</f>
        <v/>
      </c>
      <c r="D13" s="21">
        <f>'Std ASM'!D13</f>
        <v/>
      </c>
      <c r="E13" s="21">
        <f>'Std ASM'!E13</f>
        <v/>
      </c>
      <c r="F13" s="21">
        <f>'Std ASM'!F13</f>
        <v/>
      </c>
      <c r="G13" s="21">
        <f>'Std ASM'!G13</f>
        <v/>
      </c>
    </row>
    <row r="14">
      <c r="A14" s="11" t="inlineStr">
        <is>
          <t xml:space="preserve">  Depreciation &amp; Amortization</t>
        </is>
      </c>
      <c r="B14" s="21">
        <f>'Std ASM'!B14</f>
        <v/>
      </c>
      <c r="C14" s="21">
        <f>'Std ASM'!C14</f>
        <v/>
      </c>
      <c r="D14" s="21">
        <f>'Std ASM'!D14</f>
        <v/>
      </c>
      <c r="E14" s="21">
        <f>'Std ASM'!E14</f>
        <v/>
      </c>
      <c r="F14" s="21">
        <f>'Std ASM'!F14</f>
        <v/>
      </c>
      <c r="G14" s="21">
        <f>'Std ASM'!G14</f>
        <v/>
      </c>
    </row>
    <row r="15">
      <c r="A15" s="11" t="inlineStr">
        <is>
          <t xml:space="preserve">  Other Operating Expense</t>
        </is>
      </c>
      <c r="B15" s="21">
        <f>'Std ASM'!B15</f>
        <v/>
      </c>
      <c r="C15" s="21">
        <f>'Std ASM'!C15</f>
        <v/>
      </c>
      <c r="D15" s="21">
        <f>'Std ASM'!D15</f>
        <v/>
      </c>
      <c r="E15" s="21">
        <f>'Std ASM'!E15</f>
        <v/>
      </c>
      <c r="F15" s="21">
        <f>'Std ASM'!F15</f>
        <v/>
      </c>
      <c r="G15" s="21">
        <f>'Std ASM'!G15</f>
        <v/>
      </c>
    </row>
    <row r="16">
      <c r="A16" s="24" t="inlineStr">
        <is>
          <t>Total Operating Expense</t>
        </is>
      </c>
      <c r="B16" s="36">
        <f>'Std ASM'!B16</f>
        <v/>
      </c>
      <c r="C16" s="36">
        <f>'Std ASM'!C16</f>
        <v/>
      </c>
      <c r="D16" s="36">
        <f>'Std ASM'!D16</f>
        <v/>
      </c>
      <c r="E16" s="36">
        <f>'Std ASM'!E16</f>
        <v/>
      </c>
      <c r="F16" s="36">
        <f>'Std ASM'!F16</f>
        <v/>
      </c>
      <c r="G16" s="36">
        <f>'Std ASM'!G16</f>
        <v/>
      </c>
    </row>
    <row r="17">
      <c r="A17" s="24" t="inlineStr">
        <is>
          <t>Recurring Operating Profit</t>
        </is>
      </c>
      <c r="B17" s="36">
        <f>'Std ASM'!B17</f>
        <v/>
      </c>
      <c r="C17" s="36">
        <f>'Std ASM'!C17</f>
        <v/>
      </c>
      <c r="D17" s="36">
        <f>'Std ASM'!D17</f>
        <v/>
      </c>
      <c r="E17" s="36">
        <f>'Std ASM'!E17</f>
        <v/>
      </c>
      <c r="F17" s="36">
        <f>'Std ASM'!F17</f>
        <v/>
      </c>
      <c r="G17" s="36">
        <f>'Std ASM'!G17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'Std ASM'!B20</f>
        <v/>
      </c>
      <c r="C20" s="21">
        <f>'Std ASM'!C20</f>
        <v/>
      </c>
      <c r="D20" s="21">
        <f>'Std ASM'!D20</f>
        <v/>
      </c>
      <c r="E20" s="21">
        <f>'Std ASM'!E20</f>
        <v/>
      </c>
      <c r="F20" s="21">
        <f>'Std ASM'!F20</f>
        <v/>
      </c>
      <c r="G20" s="21">
        <f>'Std ASM'!G20</f>
        <v/>
      </c>
    </row>
    <row r="21">
      <c r="A21" s="11" t="inlineStr">
        <is>
          <t xml:space="preserve">  Gain/Loss on Sale of Assets</t>
        </is>
      </c>
      <c r="B21" s="21">
        <f>'Std ASM'!B21</f>
        <v/>
      </c>
      <c r="C21" s="21">
        <f>'Std ASM'!C21</f>
        <v/>
      </c>
      <c r="D21" s="21">
        <f>'Std ASM'!D21</f>
        <v/>
      </c>
      <c r="E21" s="21">
        <f>'Std ASM'!E21</f>
        <v/>
      </c>
      <c r="F21" s="21">
        <f>'Std ASM'!F21</f>
        <v/>
      </c>
      <c r="G21" s="21">
        <f>'Std ASM'!G21</f>
        <v/>
      </c>
    </row>
    <row r="22">
      <c r="A22" s="11" t="inlineStr">
        <is>
          <t xml:space="preserve">  Asset Writedown</t>
        </is>
      </c>
      <c r="B22" s="21">
        <f>'Std ASM'!B22</f>
        <v/>
      </c>
      <c r="C22" s="21">
        <f>'Std ASM'!C22</f>
        <v/>
      </c>
      <c r="D22" s="21">
        <f>'Std ASM'!D22</f>
        <v/>
      </c>
      <c r="E22" s="21">
        <f>'Std ASM'!E22</f>
        <v/>
      </c>
      <c r="F22" s="21">
        <f>'Std ASM'!F22</f>
        <v/>
      </c>
      <c r="G22" s="21">
        <f>'Std ASM'!G22</f>
        <v/>
      </c>
    </row>
    <row r="23">
      <c r="A23" s="11" t="inlineStr">
        <is>
          <t xml:space="preserve">  Other Unusual Items</t>
        </is>
      </c>
      <c r="B23" s="21">
        <f>'Std ASM'!B23</f>
        <v/>
      </c>
      <c r="C23" s="21">
        <f>'Std ASM'!C23</f>
        <v/>
      </c>
      <c r="D23" s="21">
        <f>'Std ASM'!D23</f>
        <v/>
      </c>
      <c r="E23" s="21">
        <f>'Std ASM'!E23</f>
        <v/>
      </c>
      <c r="F23" s="21">
        <f>'Std ASM'!F23</f>
        <v/>
      </c>
      <c r="G23" s="21">
        <f>'Std ASM'!G23</f>
        <v/>
      </c>
    </row>
    <row r="24">
      <c r="A24" s="22" t="inlineStr">
        <is>
          <t>Total Non-recurring</t>
        </is>
      </c>
      <c r="B24" s="35">
        <f>'Std ASM'!B24</f>
        <v/>
      </c>
      <c r="C24" s="35">
        <f>'Std ASM'!C24</f>
        <v/>
      </c>
      <c r="D24" s="35">
        <f>'Std ASM'!D24</f>
        <v/>
      </c>
      <c r="E24" s="35">
        <f>'Std ASM'!E24</f>
        <v/>
      </c>
      <c r="F24" s="35">
        <f>'Std ASM'!F24</f>
        <v/>
      </c>
      <c r="G24" s="35">
        <f>'Std ASM'!G24</f>
        <v/>
      </c>
    </row>
    <row r="25">
      <c r="A25" s="24" t="inlineStr">
        <is>
          <t>EBIT</t>
        </is>
      </c>
      <c r="B25" s="36">
        <f>'Std ASM'!B25</f>
        <v/>
      </c>
      <c r="C25" s="36">
        <f>'Std ASM'!C25</f>
        <v/>
      </c>
      <c r="D25" s="36">
        <f>'Std ASM'!D25</f>
        <v/>
      </c>
      <c r="E25" s="36">
        <f>'Std ASM'!E25</f>
        <v/>
      </c>
      <c r="F25" s="36">
        <f>'Std ASM'!F25</f>
        <v/>
      </c>
      <c r="G25" s="36">
        <f>'Std ASM'!G25</f>
        <v/>
      </c>
    </row>
    <row r="26"/>
    <row r="27">
      <c r="A27" s="11" t="inlineStr">
        <is>
          <t xml:space="preserve">  Investment Income (Equity Method)</t>
        </is>
      </c>
      <c r="B27" s="21">
        <f>'Std ASM'!B27</f>
        <v/>
      </c>
      <c r="C27" s="21">
        <f>'Std ASM'!C27</f>
        <v/>
      </c>
      <c r="D27" s="21">
        <f>'Std ASM'!D27</f>
        <v/>
      </c>
      <c r="E27" s="21">
        <f>'Std ASM'!E27</f>
        <v/>
      </c>
      <c r="F27" s="21">
        <f>'Std ASM'!F27</f>
        <v/>
      </c>
      <c r="G27" s="21">
        <f>'Std ASM'!G27</f>
        <v/>
      </c>
    </row>
    <row r="28">
      <c r="A28" s="11" t="inlineStr">
        <is>
          <t xml:space="preserve">  Interest Income</t>
        </is>
      </c>
      <c r="B28" s="21">
        <f>'Std ASM'!B28</f>
        <v/>
      </c>
      <c r="C28" s="21">
        <f>'Std ASM'!C28</f>
        <v/>
      </c>
      <c r="D28" s="21">
        <f>'Std ASM'!D28</f>
        <v/>
      </c>
      <c r="E28" s="21">
        <f>'Std ASM'!E28</f>
        <v/>
      </c>
      <c r="F28" s="21">
        <f>'Std ASM'!F28</f>
        <v/>
      </c>
      <c r="G28" s="21">
        <f>'Std ASM'!G28</f>
        <v/>
      </c>
    </row>
    <row r="29">
      <c r="A29" s="11" t="inlineStr">
        <is>
          <t xml:space="preserve">  Interest Expense</t>
        </is>
      </c>
      <c r="B29" s="21">
        <f>'Std ASM'!B29</f>
        <v/>
      </c>
      <c r="C29" s="21">
        <f>'Std ASM'!C29</f>
        <v/>
      </c>
      <c r="D29" s="21">
        <f>'Std ASM'!D29</f>
        <v/>
      </c>
      <c r="E29" s="21">
        <f>'Std ASM'!E29</f>
        <v/>
      </c>
      <c r="F29" s="21">
        <f>'Std ASM'!F29</f>
        <v/>
      </c>
      <c r="G29" s="21">
        <f>'Std ASM'!G29</f>
        <v/>
      </c>
    </row>
    <row r="30">
      <c r="A30" s="11" t="inlineStr">
        <is>
          <t xml:space="preserve">  FX Gains/(Losses)</t>
        </is>
      </c>
      <c r="B30" s="21">
        <f>'Std ASM'!B30</f>
        <v/>
      </c>
      <c r="C30" s="21">
        <f>'Std ASM'!C30</f>
        <v/>
      </c>
      <c r="D30" s="21">
        <f>'Std ASM'!D30</f>
        <v/>
      </c>
      <c r="E30" s="21">
        <f>'Std ASM'!E30</f>
        <v/>
      </c>
      <c r="F30" s="21">
        <f>'Std ASM'!F30</f>
        <v/>
      </c>
      <c r="G30" s="21">
        <f>'Std ASM'!G30</f>
        <v/>
      </c>
    </row>
    <row r="31">
      <c r="A31" s="22" t="inlineStr">
        <is>
          <t>Profit Before Tax</t>
        </is>
      </c>
      <c r="B31" s="35">
        <f>'Std ASM'!B31</f>
        <v/>
      </c>
      <c r="C31" s="35">
        <f>'Std ASM'!C31</f>
        <v/>
      </c>
      <c r="D31" s="35">
        <f>'Std ASM'!D31</f>
        <v/>
      </c>
      <c r="E31" s="35">
        <f>'Std ASM'!E31</f>
        <v/>
      </c>
      <c r="F31" s="35">
        <f>'Std ASM'!F31</f>
        <v/>
      </c>
      <c r="G31" s="35">
        <f>'Std ASM'!G31</f>
        <v/>
      </c>
    </row>
    <row r="32">
      <c r="A32" s="11" t="inlineStr">
        <is>
          <t xml:space="preserve">  Tax Expense</t>
        </is>
      </c>
      <c r="B32" s="21">
        <f>'Std ASM'!B32</f>
        <v/>
      </c>
      <c r="C32" s="21">
        <f>'Std ASM'!C32</f>
        <v/>
      </c>
      <c r="D32" s="21">
        <f>'Std ASM'!D32</f>
        <v/>
      </c>
      <c r="E32" s="21">
        <f>'Std ASM'!E32</f>
        <v/>
      </c>
      <c r="F32" s="21">
        <f>'Std ASM'!F32</f>
        <v/>
      </c>
      <c r="G32" s="21">
        <f>'Std ASM'!G32</f>
        <v/>
      </c>
    </row>
    <row r="33">
      <c r="A33" s="26" t="inlineStr">
        <is>
          <t>Net Income</t>
        </is>
      </c>
      <c r="B33" s="37">
        <f>'Std ASM'!B33</f>
        <v/>
      </c>
      <c r="C33" s="37">
        <f>'Std ASM'!C33</f>
        <v/>
      </c>
      <c r="D33" s="37">
        <f>'Std ASM'!D33</f>
        <v/>
      </c>
      <c r="E33" s="37">
        <f>'Std ASM'!E33</f>
        <v/>
      </c>
      <c r="F33" s="37">
        <f>'Std ASM'!F33</f>
        <v/>
      </c>
      <c r="G33" s="37">
        <f>'Std ASM'!G33</f>
        <v/>
      </c>
    </row>
    <row r="34"/>
    <row r="35">
      <c r="A35" s="11" t="inlineStr">
        <is>
          <t>Effective Tax Rate</t>
        </is>
      </c>
      <c r="B35" s="18">
        <f>'Std ASM'!B35</f>
        <v/>
      </c>
      <c r="C35" s="18">
        <f>'Std ASM'!C35</f>
        <v/>
      </c>
      <c r="D35" s="18">
        <f>'Std ASM'!D35</f>
        <v/>
      </c>
      <c r="E35" s="18">
        <f>'Std ASM'!E35</f>
        <v/>
      </c>
      <c r="F35" s="18">
        <f>'Std ASM'!F35</f>
        <v/>
      </c>
      <c r="G35" s="18">
        <f>'Std ASM'!G35</f>
        <v/>
      </c>
    </row>
    <row r="36">
      <c r="A36" s="22" t="inlineStr">
        <is>
          <t>NOPAT</t>
        </is>
      </c>
      <c r="B36" s="35">
        <f>'Std ASM'!B36</f>
        <v/>
      </c>
      <c r="C36" s="35">
        <f>'Std ASM'!C36</f>
        <v/>
      </c>
      <c r="D36" s="35">
        <f>'Std ASM'!D36</f>
        <v/>
      </c>
      <c r="E36" s="35">
        <f>'Std ASM'!E36</f>
        <v/>
      </c>
      <c r="F36" s="35">
        <f>'Std ASM'!F36</f>
        <v/>
      </c>
      <c r="G36" s="35">
        <f>'Std ASM'!G36</f>
        <v/>
      </c>
    </row>
    <row r="37"/>
    <row r="38">
      <c r="A38" s="11" t="inlineStr">
        <is>
          <t>Shares Outstanding (diluted)</t>
        </is>
      </c>
      <c r="B38" s="21">
        <f>'Std ASM'!B38</f>
        <v/>
      </c>
      <c r="C38" s="21">
        <f>'Std ASM'!C38</f>
        <v/>
      </c>
      <c r="D38" s="21">
        <f>'Std ASM'!D38</f>
        <v/>
      </c>
      <c r="E38" s="21">
        <f>'Std ASM'!E38</f>
        <v/>
      </c>
      <c r="F38" s="21">
        <f>'Std ASM'!F38</f>
        <v/>
      </c>
      <c r="G38" s="21">
        <f>'Std ASM'!G38</f>
        <v/>
      </c>
    </row>
    <row r="39">
      <c r="A39" s="11" t="inlineStr">
        <is>
          <t>EPS (diluted)</t>
        </is>
      </c>
      <c r="B39" s="30">
        <f>'Std ASM'!B39</f>
        <v/>
      </c>
      <c r="C39" s="30">
        <f>'Std ASM'!C39</f>
        <v/>
      </c>
      <c r="D39" s="30">
        <f>'Std ASM'!D39</f>
        <v/>
      </c>
      <c r="E39" s="30">
        <f>'Std ASM'!E39</f>
        <v/>
      </c>
      <c r="F39" s="30">
        <f>'Std ASM'!F39</f>
        <v/>
      </c>
      <c r="G39" s="30">
        <f>'Std ASM'!G39</f>
        <v/>
      </c>
    </row>
    <row r="40">
      <c r="A40" s="11" t="inlineStr">
        <is>
          <t>Dividends per Share</t>
        </is>
      </c>
      <c r="B40" s="30">
        <f>'Std ASM'!B40</f>
        <v/>
      </c>
      <c r="C40" s="30">
        <f>'Std ASM'!C40</f>
        <v/>
      </c>
      <c r="D40" s="30">
        <f>'Std ASM'!D40</f>
        <v/>
      </c>
      <c r="E40" s="30">
        <f>'Std ASM'!E40</f>
        <v/>
      </c>
      <c r="F40" s="30">
        <f>'Std ASM'!F40</f>
        <v/>
      </c>
      <c r="G40" s="30">
        <f>'Std ASM'!G40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'Std ASM'!B45</f>
        <v/>
      </c>
      <c r="C45" s="21">
        <f>'Std ASM'!C45</f>
        <v/>
      </c>
      <c r="D45" s="21">
        <f>'Std ASM'!D45</f>
        <v/>
      </c>
      <c r="E45" s="21">
        <f>'Std ASM'!E45</f>
        <v/>
      </c>
      <c r="F45" s="21">
        <f>'Std ASM'!F45</f>
        <v/>
      </c>
      <c r="G45" s="21">
        <f>'Std ASM'!G45</f>
        <v/>
      </c>
    </row>
    <row r="46">
      <c r="A46" s="11" t="inlineStr">
        <is>
          <t xml:space="preserve">  + Other Receivables</t>
        </is>
      </c>
      <c r="B46" s="21">
        <f>'Std ASM'!B46</f>
        <v/>
      </c>
      <c r="C46" s="21">
        <f>'Std ASM'!C46</f>
        <v/>
      </c>
      <c r="D46" s="21">
        <f>'Std ASM'!D46</f>
        <v/>
      </c>
      <c r="E46" s="21">
        <f>'Std ASM'!E46</f>
        <v/>
      </c>
      <c r="F46" s="21">
        <f>'Std ASM'!F46</f>
        <v/>
      </c>
      <c r="G46" s="21">
        <f>'Std ASM'!G46</f>
        <v/>
      </c>
    </row>
    <row r="47">
      <c r="A47" s="11" t="inlineStr">
        <is>
          <t xml:space="preserve">  + Inventories</t>
        </is>
      </c>
      <c r="B47" s="21">
        <f>'Std ASM'!B47</f>
        <v/>
      </c>
      <c r="C47" s="21">
        <f>'Std ASM'!C47</f>
        <v/>
      </c>
      <c r="D47" s="21">
        <f>'Std ASM'!D47</f>
        <v/>
      </c>
      <c r="E47" s="21">
        <f>'Std ASM'!E47</f>
        <v/>
      </c>
      <c r="F47" s="21">
        <f>'Std ASM'!F47</f>
        <v/>
      </c>
      <c r="G47" s="21">
        <f>'Std ASM'!G47</f>
        <v/>
      </c>
    </row>
    <row r="48">
      <c r="A48" s="11" t="inlineStr">
        <is>
          <t xml:space="preserve">  + Prepaid &amp; Other CA</t>
        </is>
      </c>
      <c r="B48" s="21">
        <f>'Std ASM'!B48</f>
        <v/>
      </c>
      <c r="C48" s="21">
        <f>'Std ASM'!C48</f>
        <v/>
      </c>
      <c r="D48" s="21">
        <f>'Std ASM'!D48</f>
        <v/>
      </c>
      <c r="E48" s="21">
        <f>'Std ASM'!E48</f>
        <v/>
      </c>
      <c r="F48" s="21">
        <f>'Std ASM'!F48</f>
        <v/>
      </c>
      <c r="G48" s="21">
        <f>'Std ASM'!G48</f>
        <v/>
      </c>
    </row>
    <row r="49">
      <c r="A49" s="11" t="inlineStr">
        <is>
          <t xml:space="preserve">  - Accounts Payable</t>
        </is>
      </c>
      <c r="B49" s="21">
        <f>'Std ASM'!B49</f>
        <v/>
      </c>
      <c r="C49" s="21">
        <f>'Std ASM'!C49</f>
        <v/>
      </c>
      <c r="D49" s="21">
        <f>'Std ASM'!D49</f>
        <v/>
      </c>
      <c r="E49" s="21">
        <f>'Std ASM'!E49</f>
        <v/>
      </c>
      <c r="F49" s="21">
        <f>'Std ASM'!F49</f>
        <v/>
      </c>
      <c r="G49" s="21">
        <f>'Std ASM'!G49</f>
        <v/>
      </c>
    </row>
    <row r="50">
      <c r="A50" s="11" t="inlineStr">
        <is>
          <t xml:space="preserve">  - Accrued Expenses</t>
        </is>
      </c>
      <c r="B50" s="21">
        <f>'Std ASM'!B50</f>
        <v/>
      </c>
      <c r="C50" s="21">
        <f>'Std ASM'!C50</f>
        <v/>
      </c>
      <c r="D50" s="21">
        <f>'Std ASM'!D50</f>
        <v/>
      </c>
      <c r="E50" s="21">
        <f>'Std ASM'!E50</f>
        <v/>
      </c>
      <c r="F50" s="21">
        <f>'Std ASM'!F50</f>
        <v/>
      </c>
      <c r="G50" s="21">
        <f>'Std ASM'!G50</f>
        <v/>
      </c>
    </row>
    <row r="51">
      <c r="A51" s="11" t="inlineStr">
        <is>
          <t xml:space="preserve">  - Unearned Revenue / Contract Liabilities</t>
        </is>
      </c>
      <c r="B51" s="21">
        <f>'Std ASM'!B51</f>
        <v/>
      </c>
      <c r="C51" s="21">
        <f>'Std ASM'!C51</f>
        <v/>
      </c>
      <c r="D51" s="21">
        <f>'Std ASM'!D51</f>
        <v/>
      </c>
      <c r="E51" s="21">
        <f>'Std ASM'!E51</f>
        <v/>
      </c>
      <c r="F51" s="21">
        <f>'Std ASM'!F51</f>
        <v/>
      </c>
      <c r="G51" s="21">
        <f>'Std ASM'!G51</f>
        <v/>
      </c>
    </row>
    <row r="52">
      <c r="A52" s="11" t="inlineStr">
        <is>
          <t xml:space="preserve">  - Income Taxes Payable</t>
        </is>
      </c>
      <c r="B52" s="21">
        <f>'Std ASM'!B52</f>
        <v/>
      </c>
      <c r="C52" s="21">
        <f>'Std ASM'!C52</f>
        <v/>
      </c>
      <c r="D52" s="21">
        <f>'Std ASM'!D52</f>
        <v/>
      </c>
      <c r="E52" s="21">
        <f>'Std ASM'!E52</f>
        <v/>
      </c>
      <c r="F52" s="21">
        <f>'Std ASM'!F52</f>
        <v/>
      </c>
      <c r="G52" s="21">
        <f>'Std ASM'!G52</f>
        <v/>
      </c>
    </row>
    <row r="53">
      <c r="A53" s="11" t="inlineStr">
        <is>
          <t xml:space="preserve">  - Other Current Liabilities</t>
        </is>
      </c>
      <c r="B53" s="21">
        <f>'Std ASM'!B53</f>
        <v/>
      </c>
      <c r="C53" s="21">
        <f>'Std ASM'!C53</f>
        <v/>
      </c>
      <c r="D53" s="21">
        <f>'Std ASM'!D53</f>
        <v/>
      </c>
      <c r="E53" s="21">
        <f>'Std ASM'!E53</f>
        <v/>
      </c>
      <c r="F53" s="21">
        <f>'Std ASM'!F53</f>
        <v/>
      </c>
      <c r="G53" s="21">
        <f>'Std ASM'!G53</f>
        <v/>
      </c>
    </row>
    <row r="54">
      <c r="A54" s="24">
        <f> Operating Working Capital</f>
        <v/>
      </c>
      <c r="B54" s="36">
        <f>'Std ASM'!B54</f>
        <v/>
      </c>
      <c r="C54" s="36">
        <f>'Std ASM'!C54</f>
        <v/>
      </c>
      <c r="D54" s="36">
        <f>'Std ASM'!D54</f>
        <v/>
      </c>
      <c r="E54" s="36">
        <f>'Std ASM'!E54</f>
        <v/>
      </c>
      <c r="F54" s="36">
        <f>'Std ASM'!F54</f>
        <v/>
      </c>
      <c r="G54" s="36">
        <f>'Std ASM'!G54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'Std ASM'!B57</f>
        <v/>
      </c>
      <c r="C57" s="21">
        <f>'Std ASM'!C57</f>
        <v/>
      </c>
      <c r="D57" s="21">
        <f>'Std ASM'!D57</f>
        <v/>
      </c>
      <c r="E57" s="21">
        <f>'Std ASM'!E57</f>
        <v/>
      </c>
      <c r="F57" s="21">
        <f>'Std ASM'!F57</f>
        <v/>
      </c>
      <c r="G57" s="21">
        <f>'Std ASM'!G57</f>
        <v/>
      </c>
    </row>
    <row r="58">
      <c r="A58" s="11" t="inlineStr">
        <is>
          <t xml:space="preserve">  + Goodwill</t>
        </is>
      </c>
      <c r="B58" s="21">
        <f>'Std ASM'!B58</f>
        <v/>
      </c>
      <c r="C58" s="21">
        <f>'Std ASM'!C58</f>
        <v/>
      </c>
      <c r="D58" s="21">
        <f>'Std ASM'!D58</f>
        <v/>
      </c>
      <c r="E58" s="21">
        <f>'Std ASM'!E58</f>
        <v/>
      </c>
      <c r="F58" s="21">
        <f>'Std ASM'!F58</f>
        <v/>
      </c>
      <c r="G58" s="21">
        <f>'Std ASM'!G58</f>
        <v/>
      </c>
    </row>
    <row r="59">
      <c r="A59" s="11" t="inlineStr">
        <is>
          <t xml:space="preserve">  + Other Intangible Assets</t>
        </is>
      </c>
      <c r="B59" s="21">
        <f>'Std ASM'!B59</f>
        <v/>
      </c>
      <c r="C59" s="21">
        <f>'Std ASM'!C59</f>
        <v/>
      </c>
      <c r="D59" s="21">
        <f>'Std ASM'!D59</f>
        <v/>
      </c>
      <c r="E59" s="21">
        <f>'Std ASM'!E59</f>
        <v/>
      </c>
      <c r="F59" s="21">
        <f>'Std ASM'!F59</f>
        <v/>
      </c>
      <c r="G59" s="21">
        <f>'Std ASM'!G59</f>
        <v/>
      </c>
    </row>
    <row r="60">
      <c r="A60" s="11" t="inlineStr">
        <is>
          <t xml:space="preserve">  + Deferred Tax Assets</t>
        </is>
      </c>
      <c r="B60" s="21">
        <f>'Std ASM'!B60</f>
        <v/>
      </c>
      <c r="C60" s="21">
        <f>'Std ASM'!C60</f>
        <v/>
      </c>
      <c r="D60" s="21">
        <f>'Std ASM'!D60</f>
        <v/>
      </c>
      <c r="E60" s="21">
        <f>'Std ASM'!E60</f>
        <v/>
      </c>
      <c r="F60" s="21">
        <f>'Std ASM'!F60</f>
        <v/>
      </c>
      <c r="G60" s="21">
        <f>'Std ASM'!G60</f>
        <v/>
      </c>
    </row>
    <row r="61">
      <c r="A61" s="11" t="inlineStr">
        <is>
          <t xml:space="preserve">  + Deferred Charges &amp; LT Intangibles</t>
        </is>
      </c>
      <c r="B61" s="21">
        <f>'Std ASM'!B61</f>
        <v/>
      </c>
      <c r="C61" s="21">
        <f>'Std ASM'!C61</f>
        <v/>
      </c>
      <c r="D61" s="21">
        <f>'Std ASM'!D61</f>
        <v/>
      </c>
      <c r="E61" s="21">
        <f>'Std ASM'!E61</f>
        <v/>
      </c>
      <c r="F61" s="21">
        <f>'Std ASM'!F61</f>
        <v/>
      </c>
      <c r="G61" s="21">
        <f>'Std ASM'!G61</f>
        <v/>
      </c>
    </row>
    <row r="62">
      <c r="A62" s="11" t="inlineStr">
        <is>
          <t xml:space="preserve">  + Other Non-Current Assets</t>
        </is>
      </c>
      <c r="B62" s="21">
        <f>'Std ASM'!B62</f>
        <v/>
      </c>
      <c r="C62" s="21">
        <f>'Std ASM'!C62</f>
        <v/>
      </c>
      <c r="D62" s="21">
        <f>'Std ASM'!D62</f>
        <v/>
      </c>
      <c r="E62" s="21">
        <f>'Std ASM'!E62</f>
        <v/>
      </c>
      <c r="F62" s="21">
        <f>'Std ASM'!F62</f>
        <v/>
      </c>
      <c r="G62" s="21">
        <f>'Std ASM'!G62</f>
        <v/>
      </c>
    </row>
    <row r="63">
      <c r="A63" s="11" t="inlineStr">
        <is>
          <t xml:space="preserve">  - Deferred Tax Liabilities</t>
        </is>
      </c>
      <c r="B63" s="21">
        <f>'Std ASM'!B63</f>
        <v/>
      </c>
      <c r="C63" s="21">
        <f>'Std ASM'!C63</f>
        <v/>
      </c>
      <c r="D63" s="21">
        <f>'Std ASM'!D63</f>
        <v/>
      </c>
      <c r="E63" s="21">
        <f>'Std ASM'!E63</f>
        <v/>
      </c>
      <c r="F63" s="21">
        <f>'Std ASM'!F63</f>
        <v/>
      </c>
      <c r="G63" s="21">
        <f>'Std ASM'!G63</f>
        <v/>
      </c>
    </row>
    <row r="64">
      <c r="A64" s="11" t="inlineStr">
        <is>
          <t xml:space="preserve">  - Other Non-Current Liabilities</t>
        </is>
      </c>
      <c r="B64" s="21">
        <f>'Std ASM'!B64</f>
        <v/>
      </c>
      <c r="C64" s="21">
        <f>'Std ASM'!C64</f>
        <v/>
      </c>
      <c r="D64" s="21">
        <f>'Std ASM'!D64</f>
        <v/>
      </c>
      <c r="E64" s="21">
        <f>'Std ASM'!E64</f>
        <v/>
      </c>
      <c r="F64" s="21">
        <f>'Std ASM'!F64</f>
        <v/>
      </c>
      <c r="G64" s="21">
        <f>'Std ASM'!G64</f>
        <v/>
      </c>
    </row>
    <row r="65">
      <c r="A65" s="24">
        <f> Net Non-Current Operating Assets</f>
        <v/>
      </c>
      <c r="B65" s="36">
        <f>'Std ASM'!B65</f>
        <v/>
      </c>
      <c r="C65" s="36">
        <f>'Std ASM'!C65</f>
        <v/>
      </c>
      <c r="D65" s="36">
        <f>'Std ASM'!D65</f>
        <v/>
      </c>
      <c r="E65" s="36">
        <f>'Std ASM'!E65</f>
        <v/>
      </c>
      <c r="F65" s="36">
        <f>'Std ASM'!F65</f>
        <v/>
      </c>
      <c r="G65" s="36">
        <f>'Std ASM'!G65</f>
        <v/>
      </c>
    </row>
    <row r="66"/>
    <row r="67">
      <c r="A67" s="24">
        <f> Net Operating Assets</f>
        <v/>
      </c>
      <c r="B67" s="36">
        <f>'Std ASM'!B67</f>
        <v/>
      </c>
      <c r="C67" s="36">
        <f>'Std ASM'!C67</f>
        <v/>
      </c>
      <c r="D67" s="36">
        <f>'Std ASM'!D67</f>
        <v/>
      </c>
      <c r="E67" s="36">
        <f>'Std ASM'!E67</f>
        <v/>
      </c>
      <c r="F67" s="36">
        <f>'Std ASM'!F67</f>
        <v/>
      </c>
      <c r="G67" s="36">
        <f>'Std ASM'!G67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'Std ASM'!B70</f>
        <v/>
      </c>
      <c r="C70" s="21">
        <f>'Std ASM'!C70</f>
        <v/>
      </c>
      <c r="D70" s="21">
        <f>'Std ASM'!D70</f>
        <v/>
      </c>
      <c r="E70" s="21">
        <f>'Std ASM'!E70</f>
        <v/>
      </c>
      <c r="F70" s="21">
        <f>'Std ASM'!F70</f>
        <v/>
      </c>
      <c r="G70" s="21">
        <f>'Std ASM'!G70</f>
        <v/>
      </c>
    </row>
    <row r="71">
      <c r="A71" s="24">
        <f> Total Investment Assets</f>
        <v/>
      </c>
      <c r="B71" s="36">
        <f>'Std ASM'!B71</f>
        <v/>
      </c>
      <c r="C71" s="36">
        <f>'Std ASM'!C71</f>
        <v/>
      </c>
      <c r="D71" s="36">
        <f>'Std ASM'!D71</f>
        <v/>
      </c>
      <c r="E71" s="36">
        <f>'Std ASM'!E71</f>
        <v/>
      </c>
      <c r="F71" s="36">
        <f>'Std ASM'!F71</f>
        <v/>
      </c>
      <c r="G71" s="36">
        <f>'Std ASM'!G71</f>
        <v/>
      </c>
    </row>
    <row r="72"/>
    <row r="73">
      <c r="A73" s="26">
        <f> Business Assets</f>
        <v/>
      </c>
      <c r="B73" s="37">
        <f>'Std ASM'!B73</f>
        <v/>
      </c>
      <c r="C73" s="37">
        <f>'Std ASM'!C73</f>
        <v/>
      </c>
      <c r="D73" s="37">
        <f>'Std ASM'!D73</f>
        <v/>
      </c>
      <c r="E73" s="37">
        <f>'Std ASM'!E73</f>
        <v/>
      </c>
      <c r="F73" s="37">
        <f>'Std ASM'!F73</f>
        <v/>
      </c>
      <c r="G73" s="37">
        <f>'Std ASM'!G73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'Std ASM'!B76</f>
        <v/>
      </c>
      <c r="C76" s="21">
        <f>'Std ASM'!C76</f>
        <v/>
      </c>
      <c r="D76" s="21">
        <f>'Std ASM'!D76</f>
        <v/>
      </c>
      <c r="E76" s="21">
        <f>'Std ASM'!E76</f>
        <v/>
      </c>
      <c r="F76" s="21">
        <f>'Std ASM'!F76</f>
        <v/>
      </c>
      <c r="G76" s="21">
        <f>'Std ASM'!G76</f>
        <v/>
      </c>
    </row>
    <row r="77">
      <c r="A77" s="11" t="inlineStr">
        <is>
          <t xml:space="preserve">  + Lease Liabilities (non-current)</t>
        </is>
      </c>
      <c r="B77" s="21">
        <f>'Std ASM'!B77</f>
        <v/>
      </c>
      <c r="C77" s="21">
        <f>'Std ASM'!C77</f>
        <v/>
      </c>
      <c r="D77" s="21">
        <f>'Std ASM'!D77</f>
        <v/>
      </c>
      <c r="E77" s="21">
        <f>'Std ASM'!E77</f>
        <v/>
      </c>
      <c r="F77" s="21">
        <f>'Std ASM'!F77</f>
        <v/>
      </c>
      <c r="G77" s="21">
        <f>'Std ASM'!G77</f>
        <v/>
      </c>
    </row>
    <row r="78">
      <c r="A78" s="24">
        <f> Total Debt</f>
        <v/>
      </c>
      <c r="B78" s="36">
        <f>'Std ASM'!B78</f>
        <v/>
      </c>
      <c r="C78" s="36">
        <f>'Std ASM'!C78</f>
        <v/>
      </c>
      <c r="D78" s="36">
        <f>'Std ASM'!D78</f>
        <v/>
      </c>
      <c r="E78" s="36">
        <f>'Std ASM'!E78</f>
        <v/>
      </c>
      <c r="F78" s="36">
        <f>'Std ASM'!F78</f>
        <v/>
      </c>
      <c r="G78" s="36">
        <f>'Std ASM'!G78</f>
        <v/>
      </c>
    </row>
    <row r="79">
      <c r="A79" s="11" t="inlineStr">
        <is>
          <t xml:space="preserve">  Cash &amp; Equivalents</t>
        </is>
      </c>
      <c r="B79" s="21">
        <f>'Std ASM'!B79</f>
        <v/>
      </c>
      <c r="C79" s="21">
        <f>'Std ASM'!C79</f>
        <v/>
      </c>
      <c r="D79" s="21">
        <f>'Std ASM'!D79</f>
        <v/>
      </c>
      <c r="E79" s="21">
        <f>'Std ASM'!E79</f>
        <v/>
      </c>
      <c r="F79" s="21">
        <f>'Std ASM'!F79</f>
        <v/>
      </c>
      <c r="G79" s="21">
        <f>'Std ASM'!G79</f>
        <v/>
      </c>
    </row>
    <row r="80">
      <c r="A80" s="22">
        <f> Net Debt</f>
        <v/>
      </c>
      <c r="B80" s="35">
        <f>'Std ASM'!B80</f>
        <v/>
      </c>
      <c r="C80" s="35">
        <f>'Std ASM'!C80</f>
        <v/>
      </c>
      <c r="D80" s="35">
        <f>'Std ASM'!D80</f>
        <v/>
      </c>
      <c r="E80" s="35">
        <f>'Std ASM'!E80</f>
        <v/>
      </c>
      <c r="F80" s="35">
        <f>'Std ASM'!F80</f>
        <v/>
      </c>
      <c r="G80" s="35">
        <f>'Std ASM'!G80</f>
        <v/>
      </c>
    </row>
    <row r="81">
      <c r="A81" s="11" t="inlineStr">
        <is>
          <t>Group Equity</t>
        </is>
      </c>
      <c r="B81" s="21">
        <f>'Std ASM'!B81</f>
        <v/>
      </c>
      <c r="C81" s="21">
        <f>'Std ASM'!C81</f>
        <v/>
      </c>
      <c r="D81" s="21">
        <f>'Std ASM'!D81</f>
        <v/>
      </c>
      <c r="E81" s="21">
        <f>'Std ASM'!E81</f>
        <v/>
      </c>
      <c r="F81" s="21">
        <f>'Std ASM'!F81</f>
        <v/>
      </c>
      <c r="G81" s="21">
        <f>'Std ASM'!G81</f>
        <v/>
      </c>
    </row>
    <row r="82">
      <c r="A82" s="26">
        <f> Invested Capital</f>
        <v/>
      </c>
      <c r="B82" s="37">
        <f>'Std ASM'!B82</f>
        <v/>
      </c>
      <c r="C82" s="37">
        <f>'Std ASM'!C82</f>
        <v/>
      </c>
      <c r="D82" s="37">
        <f>'Std ASM'!D82</f>
        <v/>
      </c>
      <c r="E82" s="37">
        <f>'Std ASM'!E82</f>
        <v/>
      </c>
      <c r="F82" s="37">
        <f>'Std ASM'!F82</f>
        <v/>
      </c>
      <c r="G82" s="37">
        <f>'Std ASM'!G82</f>
        <v/>
      </c>
    </row>
    <row r="83">
      <c r="A83" s="22" t="inlineStr">
        <is>
          <t>BS Check (should = 0)</t>
        </is>
      </c>
      <c r="B83" s="35">
        <f>'Std ASM'!B83</f>
        <v/>
      </c>
      <c r="C83" s="35">
        <f>'Std ASM'!C83</f>
        <v/>
      </c>
      <c r="D83" s="35">
        <f>'Std ASM'!D83</f>
        <v/>
      </c>
      <c r="E83" s="35">
        <f>'Std ASM'!E83</f>
        <v/>
      </c>
      <c r="F83" s="35">
        <f>'Std ASM'!F83</f>
        <v/>
      </c>
      <c r="G83" s="35">
        <f>'Std ASM'!G83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21">
        <f>'Std ASM'!B87</f>
        <v/>
      </c>
      <c r="C87" s="21">
        <f>'Std ASM'!C87</f>
        <v/>
      </c>
      <c r="D87" s="21">
        <f>'Std ASM'!D87</f>
        <v/>
      </c>
      <c r="E87" s="21">
        <f>'Std ASM'!E87</f>
        <v/>
      </c>
      <c r="F87" s="21">
        <f>'Std ASM'!F87</f>
        <v/>
      </c>
      <c r="G87" s="21">
        <f>'Std ASM'!G87</f>
        <v/>
      </c>
    </row>
    <row r="88">
      <c r="A88" s="11" t="inlineStr">
        <is>
          <t>+ D&amp;A</t>
        </is>
      </c>
      <c r="B88" s="21">
        <f>'Std ASM'!B88</f>
        <v/>
      </c>
      <c r="C88" s="21">
        <f>'Std ASM'!C88</f>
        <v/>
      </c>
      <c r="D88" s="21">
        <f>'Std ASM'!D88</f>
        <v/>
      </c>
      <c r="E88" s="21">
        <f>'Std ASM'!E88</f>
        <v/>
      </c>
      <c r="F88" s="21">
        <f>'Std ASM'!F88</f>
        <v/>
      </c>
      <c r="G88" s="21">
        <f>'Std ASM'!G88</f>
        <v/>
      </c>
    </row>
    <row r="89">
      <c r="A89" s="11" t="inlineStr">
        <is>
          <t>- Change in OWC</t>
        </is>
      </c>
      <c r="B89" s="21">
        <f>'Std ASM'!B89</f>
        <v/>
      </c>
      <c r="C89" s="21">
        <f>'Std ASM'!C89</f>
        <v/>
      </c>
      <c r="D89" s="21">
        <f>'Std ASM'!D89</f>
        <v/>
      </c>
      <c r="E89" s="21">
        <f>'Std ASM'!E89</f>
        <v/>
      </c>
      <c r="F89" s="21">
        <f>'Std ASM'!F89</f>
        <v/>
      </c>
      <c r="G89" s="21">
        <f>'Std ASM'!G89</f>
        <v/>
      </c>
    </row>
    <row r="90">
      <c r="A90" s="11" t="inlineStr">
        <is>
          <t>- CapEx</t>
        </is>
      </c>
      <c r="B90" s="21">
        <f>'Std ASM'!B90</f>
        <v/>
      </c>
      <c r="C90" s="21">
        <f>'Std ASM'!C90</f>
        <v/>
      </c>
      <c r="D90" s="21">
        <f>'Std ASM'!D90</f>
        <v/>
      </c>
      <c r="E90" s="21">
        <f>'Std ASM'!E90</f>
        <v/>
      </c>
      <c r="F90" s="21">
        <f>'Std ASM'!F90</f>
        <v/>
      </c>
      <c r="G90" s="21">
        <f>'Std ASM'!G90</f>
        <v/>
      </c>
    </row>
    <row r="91">
      <c r="A91" s="11" t="inlineStr">
        <is>
          <t>- Purchase of Intangibles</t>
        </is>
      </c>
      <c r="B91" s="21">
        <f>'Std ASM'!B91</f>
        <v/>
      </c>
      <c r="C91" s="21">
        <f>'Std ASM'!C91</f>
        <v/>
      </c>
      <c r="D91" s="21">
        <f>'Std ASM'!D91</f>
        <v/>
      </c>
      <c r="E91" s="21">
        <f>'Std ASM'!E91</f>
        <v/>
      </c>
      <c r="F91" s="21">
        <f>'Std ASM'!F91</f>
        <v/>
      </c>
      <c r="G91" s="21">
        <f>'Std ASM'!G91</f>
        <v/>
      </c>
    </row>
    <row r="92">
      <c r="A92" s="24">
        <f> Operating CF after investment</f>
        <v/>
      </c>
      <c r="B92" s="36">
        <f>'Std ASM'!B92</f>
        <v/>
      </c>
      <c r="C92" s="36">
        <f>'Std ASM'!C92</f>
        <v/>
      </c>
      <c r="D92" s="36">
        <f>'Std ASM'!D92</f>
        <v/>
      </c>
      <c r="E92" s="36">
        <f>'Std ASM'!E92</f>
        <v/>
      </c>
      <c r="F92" s="36">
        <f>'Std ASM'!F92</f>
        <v/>
      </c>
      <c r="G92" s="36">
        <f>'Std ASM'!G92</f>
        <v/>
      </c>
    </row>
    <row r="93"/>
    <row r="94">
      <c r="A94" s="11" t="inlineStr">
        <is>
          <t>+ Net Investment Profit after tax</t>
        </is>
      </c>
      <c r="B94" s="21">
        <f>'Std ASM'!B94</f>
        <v/>
      </c>
      <c r="C94" s="21">
        <f>'Std ASM'!C94</f>
        <v/>
      </c>
      <c r="D94" s="21">
        <f>'Std ASM'!D94</f>
        <v/>
      </c>
      <c r="E94" s="21">
        <f>'Std ASM'!E94</f>
        <v/>
      </c>
      <c r="F94" s="21">
        <f>'Std ASM'!F94</f>
        <v/>
      </c>
      <c r="G94" s="21">
        <f>'Std ASM'!G94</f>
        <v/>
      </c>
    </row>
    <row r="95">
      <c r="A95" s="11" t="inlineStr">
        <is>
          <t>- Change in Investment Assets</t>
        </is>
      </c>
      <c r="B95" s="21">
        <f>'Std ASM'!B95</f>
        <v/>
      </c>
      <c r="C95" s="21">
        <f>'Std ASM'!C95</f>
        <v/>
      </c>
      <c r="D95" s="21">
        <f>'Std ASM'!D95</f>
        <v/>
      </c>
      <c r="E95" s="21">
        <f>'Std ASM'!E95</f>
        <v/>
      </c>
      <c r="F95" s="21">
        <f>'Std ASM'!F95</f>
        <v/>
      </c>
      <c r="G95" s="21">
        <f>'Std ASM'!G95</f>
        <v/>
      </c>
    </row>
    <row r="96">
      <c r="A96" s="24">
        <f> FCF to Debt &amp; Equity</f>
        <v/>
      </c>
      <c r="B96" s="36">
        <f>'Std ASM'!B96</f>
        <v/>
      </c>
      <c r="C96" s="36">
        <f>'Std ASM'!C96</f>
        <v/>
      </c>
      <c r="D96" s="36">
        <f>'Std ASM'!D96</f>
        <v/>
      </c>
      <c r="E96" s="36">
        <f>'Std ASM'!E96</f>
        <v/>
      </c>
      <c r="F96" s="36">
        <f>'Std ASM'!F96</f>
        <v/>
      </c>
      <c r="G96" s="36">
        <f>'Std ASM'!G96</f>
        <v/>
      </c>
    </row>
    <row r="97">
      <c r="A97" s="11" t="inlineStr">
        <is>
          <t>- Interest Expense after tax</t>
        </is>
      </c>
      <c r="B97" s="21">
        <f>'Std ASM'!B97</f>
        <v/>
      </c>
      <c r="C97" s="21">
        <f>'Std ASM'!C97</f>
        <v/>
      </c>
      <c r="D97" s="21">
        <f>'Std ASM'!D97</f>
        <v/>
      </c>
      <c r="E97" s="21">
        <f>'Std ASM'!E97</f>
        <v/>
      </c>
      <c r="F97" s="21">
        <f>'Std ASM'!F97</f>
        <v/>
      </c>
      <c r="G97" s="21">
        <f>'Std ASM'!G97</f>
        <v/>
      </c>
    </row>
    <row r="98">
      <c r="A98" s="11" t="inlineStr">
        <is>
          <t>+ Change in Debt</t>
        </is>
      </c>
      <c r="B98" s="21">
        <f>'Std ASM'!B98</f>
        <v/>
      </c>
      <c r="C98" s="21">
        <f>'Std ASM'!C98</f>
        <v/>
      </c>
      <c r="D98" s="21">
        <f>'Std ASM'!D98</f>
        <v/>
      </c>
      <c r="E98" s="21">
        <f>'Std ASM'!E98</f>
        <v/>
      </c>
      <c r="F98" s="21">
        <f>'Std ASM'!F98</f>
        <v/>
      </c>
      <c r="G98" s="21">
        <f>'Std ASM'!G98</f>
        <v/>
      </c>
    </row>
    <row r="99">
      <c r="A99" s="26">
        <f> FCF to Equity</f>
        <v/>
      </c>
      <c r="B99" s="37">
        <f>'Std ASM'!B99</f>
        <v/>
      </c>
      <c r="C99" s="37">
        <f>'Std ASM'!C99</f>
        <v/>
      </c>
      <c r="D99" s="37">
        <f>'Std ASM'!D99</f>
        <v/>
      </c>
      <c r="E99" s="37">
        <f>'Std ASM'!E99</f>
        <v/>
      </c>
      <c r="F99" s="37">
        <f>'Std ASM'!F99</f>
        <v/>
      </c>
      <c r="G99" s="37">
        <f>'Std ASM'!G99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AIXTRON SE</t>
        </is>
      </c>
    </row>
    <row r="2">
      <c r="A2" s="15" t="inlineStr">
        <is>
          <t>(EUR 000)</t>
        </is>
      </c>
    </row>
    <row r="3">
      <c r="B3" s="33">
        <f>'Std AIXTRON'!B3</f>
        <v/>
      </c>
      <c r="C3" s="33">
        <f>'Std AIXTRON'!C3</f>
        <v/>
      </c>
      <c r="D3" s="33">
        <f>'Std AIXTRON'!D3</f>
        <v/>
      </c>
      <c r="E3" s="33">
        <f>'Std AIXTRON'!E3</f>
        <v/>
      </c>
      <c r="F3" s="33">
        <f>'Std AIXTRON'!F3</f>
        <v/>
      </c>
      <c r="G3" s="33">
        <f>'Std AIXTRON'!G3</f>
        <v/>
      </c>
    </row>
    <row r="4"/>
    <row r="5">
      <c r="A5" s="11" t="inlineStr">
        <is>
          <t>Operating cash %</t>
        </is>
      </c>
      <c r="B5" s="34">
        <f>'Std AIXTRON'!B5</f>
        <v/>
      </c>
      <c r="C5" s="34">
        <f>'Std AIXTRON'!C5</f>
        <v/>
      </c>
      <c r="D5" s="34">
        <f>'Std AIXTRON'!D5</f>
        <v/>
      </c>
      <c r="E5" s="34">
        <f>'Std AIXTRON'!E5</f>
        <v/>
      </c>
      <c r="F5" s="34">
        <f>'Std AIXTRON'!F5</f>
        <v/>
      </c>
      <c r="G5" s="34">
        <f>'Std AIXTRON'!G5</f>
        <v/>
      </c>
    </row>
    <row r="6">
      <c r="A6" s="11" t="inlineStr">
        <is>
          <t>Tax rate (effective)</t>
        </is>
      </c>
      <c r="B6" s="18">
        <f>'Std AIXTRON'!B6</f>
        <v/>
      </c>
      <c r="C6" s="18">
        <f>'Std AIXTRON'!C6</f>
        <v/>
      </c>
      <c r="D6" s="18">
        <f>'Std AIXTRON'!D6</f>
        <v/>
      </c>
      <c r="E6" s="18">
        <f>'Std AIXTRON'!E6</f>
        <v/>
      </c>
      <c r="F6" s="18">
        <f>'Std AIXTRON'!F6</f>
        <v/>
      </c>
      <c r="G6" s="18">
        <f>'Std AIXTRON'!G6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'Std AIXTRON'!B9</f>
        <v/>
      </c>
      <c r="C9" s="21">
        <f>'Std AIXTRON'!C9</f>
        <v/>
      </c>
      <c r="D9" s="21">
        <f>'Std AIXTRON'!D9</f>
        <v/>
      </c>
      <c r="E9" s="21">
        <f>'Std AIXTRON'!E9</f>
        <v/>
      </c>
      <c r="F9" s="21">
        <f>'Std AIXTRON'!F9</f>
        <v/>
      </c>
      <c r="G9" s="21">
        <f>'Std AIXTRON'!G9</f>
        <v/>
      </c>
    </row>
    <row r="10">
      <c r="A10" s="11" t="inlineStr">
        <is>
          <t>Cost of Sales</t>
        </is>
      </c>
      <c r="B10" s="21">
        <f>'Std AIXTRON'!B10</f>
        <v/>
      </c>
      <c r="C10" s="21">
        <f>'Std AIXTRON'!C10</f>
        <v/>
      </c>
      <c r="D10" s="21">
        <f>'Std AIXTRON'!D10</f>
        <v/>
      </c>
      <c r="E10" s="21">
        <f>'Std AIXTRON'!E10</f>
        <v/>
      </c>
      <c r="F10" s="21">
        <f>'Std AIXTRON'!F10</f>
        <v/>
      </c>
      <c r="G10" s="21">
        <f>'Std AIXTRON'!G10</f>
        <v/>
      </c>
    </row>
    <row r="11">
      <c r="A11" s="22" t="inlineStr">
        <is>
          <t>Gross Profit</t>
        </is>
      </c>
      <c r="B11" s="35">
        <f>'Std AIXTRON'!B11</f>
        <v/>
      </c>
      <c r="C11" s="35">
        <f>'Std AIXTRON'!C11</f>
        <v/>
      </c>
      <c r="D11" s="35">
        <f>'Std AIXTRON'!D11</f>
        <v/>
      </c>
      <c r="E11" s="35">
        <f>'Std AIXTRON'!E11</f>
        <v/>
      </c>
      <c r="F11" s="35">
        <f>'Std AIXTRON'!F11</f>
        <v/>
      </c>
      <c r="G11" s="35">
        <f>'Std AIXTRON'!G11</f>
        <v/>
      </c>
    </row>
    <row r="12">
      <c r="A12" s="11" t="inlineStr">
        <is>
          <t xml:space="preserve">  SG&amp;A</t>
        </is>
      </c>
      <c r="B12" s="21">
        <f>'Std AIXTRON'!B12</f>
        <v/>
      </c>
      <c r="C12" s="21">
        <f>'Std AIXTRON'!C12</f>
        <v/>
      </c>
      <c r="D12" s="21">
        <f>'Std AIXTRON'!D12</f>
        <v/>
      </c>
      <c r="E12" s="21">
        <f>'Std AIXTRON'!E12</f>
        <v/>
      </c>
      <c r="F12" s="21">
        <f>'Std AIXTRON'!F12</f>
        <v/>
      </c>
      <c r="G12" s="21">
        <f>'Std AIXTRON'!G12</f>
        <v/>
      </c>
    </row>
    <row r="13">
      <c r="A13" s="11" t="inlineStr">
        <is>
          <t xml:space="preserve">  R&amp;D</t>
        </is>
      </c>
      <c r="B13" s="21">
        <f>'Std AIXTRON'!B13</f>
        <v/>
      </c>
      <c r="C13" s="21">
        <f>'Std AIXTRON'!C13</f>
        <v/>
      </c>
      <c r="D13" s="21">
        <f>'Std AIXTRON'!D13</f>
        <v/>
      </c>
      <c r="E13" s="21">
        <f>'Std AIXTRON'!E13</f>
        <v/>
      </c>
      <c r="F13" s="21">
        <f>'Std AIXTRON'!F13</f>
        <v/>
      </c>
      <c r="G13" s="21">
        <f>'Std AIXTRON'!G13</f>
        <v/>
      </c>
    </row>
    <row r="14">
      <c r="A14" s="11" t="inlineStr">
        <is>
          <t xml:space="preserve">  Depreciation &amp; Amortization</t>
        </is>
      </c>
      <c r="B14" s="21">
        <f>'Std AIXTRON'!B14</f>
        <v/>
      </c>
      <c r="C14" s="21">
        <f>'Std AIXTRON'!C14</f>
        <v/>
      </c>
      <c r="D14" s="21">
        <f>'Std AIXTRON'!D14</f>
        <v/>
      </c>
      <c r="E14" s="21">
        <f>'Std AIXTRON'!E14</f>
        <v/>
      </c>
      <c r="F14" s="21">
        <f>'Std AIXTRON'!F14</f>
        <v/>
      </c>
      <c r="G14" s="21">
        <f>'Std AIXTRON'!G14</f>
        <v/>
      </c>
    </row>
    <row r="15">
      <c r="A15" s="11" t="inlineStr">
        <is>
          <t xml:space="preserve">  Other Operating Expense</t>
        </is>
      </c>
      <c r="B15" s="21">
        <f>'Std AIXTRON'!B15</f>
        <v/>
      </c>
      <c r="C15" s="21">
        <f>'Std AIXTRON'!C15</f>
        <v/>
      </c>
      <c r="D15" s="21">
        <f>'Std AIXTRON'!D15</f>
        <v/>
      </c>
      <c r="E15" s="21">
        <f>'Std AIXTRON'!E15</f>
        <v/>
      </c>
      <c r="F15" s="21">
        <f>'Std AIXTRON'!F15</f>
        <v/>
      </c>
      <c r="G15" s="21">
        <f>'Std AIXTRON'!G15</f>
        <v/>
      </c>
    </row>
    <row r="16">
      <c r="A16" s="24" t="inlineStr">
        <is>
          <t>Total Operating Expense</t>
        </is>
      </c>
      <c r="B16" s="36">
        <f>'Std AIXTRON'!B16</f>
        <v/>
      </c>
      <c r="C16" s="36">
        <f>'Std AIXTRON'!C16</f>
        <v/>
      </c>
      <c r="D16" s="36">
        <f>'Std AIXTRON'!D16</f>
        <v/>
      </c>
      <c r="E16" s="36">
        <f>'Std AIXTRON'!E16</f>
        <v/>
      </c>
      <c r="F16" s="36">
        <f>'Std AIXTRON'!F16</f>
        <v/>
      </c>
      <c r="G16" s="36">
        <f>'Std AIXTRON'!G16</f>
        <v/>
      </c>
    </row>
    <row r="17">
      <c r="A17" s="24" t="inlineStr">
        <is>
          <t>Recurring Operating Profit</t>
        </is>
      </c>
      <c r="B17" s="36">
        <f>'Std AIXTRON'!B17</f>
        <v/>
      </c>
      <c r="C17" s="36">
        <f>'Std AIXTRON'!C17</f>
        <v/>
      </c>
      <c r="D17" s="36">
        <f>'Std AIXTRON'!D17</f>
        <v/>
      </c>
      <c r="E17" s="36">
        <f>'Std AIXTRON'!E17</f>
        <v/>
      </c>
      <c r="F17" s="36">
        <f>'Std AIXTRON'!F17</f>
        <v/>
      </c>
      <c r="G17" s="36">
        <f>'Std AIXTRON'!G17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'Std AIXTRON'!B20</f>
        <v/>
      </c>
      <c r="C20" s="21">
        <f>'Std AIXTRON'!C20</f>
        <v/>
      </c>
      <c r="D20" s="21">
        <f>'Std AIXTRON'!D20</f>
        <v/>
      </c>
      <c r="E20" s="21">
        <f>'Std AIXTRON'!E20</f>
        <v/>
      </c>
      <c r="F20" s="21">
        <f>'Std AIXTRON'!F20</f>
        <v/>
      </c>
      <c r="G20" s="21">
        <f>'Std AIXTRON'!G20</f>
        <v/>
      </c>
    </row>
    <row r="21">
      <c r="A21" s="11" t="inlineStr">
        <is>
          <t xml:space="preserve">  Gain/Loss on Sale of Assets</t>
        </is>
      </c>
      <c r="B21" s="21">
        <f>'Std AIXTRON'!B21</f>
        <v/>
      </c>
      <c r="C21" s="21">
        <f>'Std AIXTRON'!C21</f>
        <v/>
      </c>
      <c r="D21" s="21">
        <f>'Std AIXTRON'!D21</f>
        <v/>
      </c>
      <c r="E21" s="21">
        <f>'Std AIXTRON'!E21</f>
        <v/>
      </c>
      <c r="F21" s="21">
        <f>'Std AIXTRON'!F21</f>
        <v/>
      </c>
      <c r="G21" s="21">
        <f>'Std AIXTRON'!G21</f>
        <v/>
      </c>
    </row>
    <row r="22">
      <c r="A22" s="11" t="inlineStr">
        <is>
          <t xml:space="preserve">  Asset Writedown</t>
        </is>
      </c>
      <c r="B22" s="21">
        <f>'Std AIXTRON'!B22</f>
        <v/>
      </c>
      <c r="C22" s="21">
        <f>'Std AIXTRON'!C22</f>
        <v/>
      </c>
      <c r="D22" s="21">
        <f>'Std AIXTRON'!D22</f>
        <v/>
      </c>
      <c r="E22" s="21">
        <f>'Std AIXTRON'!E22</f>
        <v/>
      </c>
      <c r="F22" s="21">
        <f>'Std AIXTRON'!F22</f>
        <v/>
      </c>
      <c r="G22" s="21">
        <f>'Std AIXTRON'!G22</f>
        <v/>
      </c>
    </row>
    <row r="23">
      <c r="A23" s="11" t="inlineStr">
        <is>
          <t xml:space="preserve">  Other Unusual Items</t>
        </is>
      </c>
      <c r="B23" s="21">
        <f>'Std AIXTRON'!B23</f>
        <v/>
      </c>
      <c r="C23" s="21">
        <f>'Std AIXTRON'!C23</f>
        <v/>
      </c>
      <c r="D23" s="21">
        <f>'Std AIXTRON'!D23</f>
        <v/>
      </c>
      <c r="E23" s="21">
        <f>'Std AIXTRON'!E23</f>
        <v/>
      </c>
      <c r="F23" s="21">
        <f>'Std AIXTRON'!F23</f>
        <v/>
      </c>
      <c r="G23" s="21">
        <f>'Std AIXTRON'!G23</f>
        <v/>
      </c>
    </row>
    <row r="24">
      <c r="A24" s="22" t="inlineStr">
        <is>
          <t>Total Non-recurring</t>
        </is>
      </c>
      <c r="B24" s="35">
        <f>'Std AIXTRON'!B24</f>
        <v/>
      </c>
      <c r="C24" s="35">
        <f>'Std AIXTRON'!C24</f>
        <v/>
      </c>
      <c r="D24" s="35">
        <f>'Std AIXTRON'!D24</f>
        <v/>
      </c>
      <c r="E24" s="35">
        <f>'Std AIXTRON'!E24</f>
        <v/>
      </c>
      <c r="F24" s="35">
        <f>'Std AIXTRON'!F24</f>
        <v/>
      </c>
      <c r="G24" s="35">
        <f>'Std AIXTRON'!G24</f>
        <v/>
      </c>
    </row>
    <row r="25">
      <c r="A25" s="24" t="inlineStr">
        <is>
          <t>EBIT</t>
        </is>
      </c>
      <c r="B25" s="36">
        <f>'Std AIXTRON'!B25</f>
        <v/>
      </c>
      <c r="C25" s="36">
        <f>'Std AIXTRON'!C25</f>
        <v/>
      </c>
      <c r="D25" s="36">
        <f>'Std AIXTRON'!D25</f>
        <v/>
      </c>
      <c r="E25" s="36">
        <f>'Std AIXTRON'!E25</f>
        <v/>
      </c>
      <c r="F25" s="36">
        <f>'Std AIXTRON'!F25</f>
        <v/>
      </c>
      <c r="G25" s="36">
        <f>'Std AIXTRON'!G25</f>
        <v/>
      </c>
    </row>
    <row r="26"/>
    <row r="27">
      <c r="A27" s="11" t="inlineStr">
        <is>
          <t xml:space="preserve">  Investment Income (Equity Method)</t>
        </is>
      </c>
      <c r="B27" s="21">
        <f>'Std AIXTRON'!B27</f>
        <v/>
      </c>
      <c r="C27" s="21">
        <f>'Std AIXTRON'!C27</f>
        <v/>
      </c>
      <c r="D27" s="21">
        <f>'Std AIXTRON'!D27</f>
        <v/>
      </c>
      <c r="E27" s="21">
        <f>'Std AIXTRON'!E27</f>
        <v/>
      </c>
      <c r="F27" s="21">
        <f>'Std AIXTRON'!F27</f>
        <v/>
      </c>
      <c r="G27" s="21">
        <f>'Std AIXTRON'!G27</f>
        <v/>
      </c>
    </row>
    <row r="28">
      <c r="A28" s="11" t="inlineStr">
        <is>
          <t xml:space="preserve">  Interest Income</t>
        </is>
      </c>
      <c r="B28" s="21">
        <f>'Std AIXTRON'!B28</f>
        <v/>
      </c>
      <c r="C28" s="21">
        <f>'Std AIXTRON'!C28</f>
        <v/>
      </c>
      <c r="D28" s="21">
        <f>'Std AIXTRON'!D28</f>
        <v/>
      </c>
      <c r="E28" s="21">
        <f>'Std AIXTRON'!E28</f>
        <v/>
      </c>
      <c r="F28" s="21">
        <f>'Std AIXTRON'!F28</f>
        <v/>
      </c>
      <c r="G28" s="21">
        <f>'Std AIXTRON'!G28</f>
        <v/>
      </c>
    </row>
    <row r="29">
      <c r="A29" s="11" t="inlineStr">
        <is>
          <t xml:space="preserve">  Interest Expense</t>
        </is>
      </c>
      <c r="B29" s="21">
        <f>'Std AIXTRON'!B29</f>
        <v/>
      </c>
      <c r="C29" s="21">
        <f>'Std AIXTRON'!C29</f>
        <v/>
      </c>
      <c r="D29" s="21">
        <f>'Std AIXTRON'!D29</f>
        <v/>
      </c>
      <c r="E29" s="21">
        <f>'Std AIXTRON'!E29</f>
        <v/>
      </c>
      <c r="F29" s="21">
        <f>'Std AIXTRON'!F29</f>
        <v/>
      </c>
      <c r="G29" s="21">
        <f>'Std AIXTRON'!G29</f>
        <v/>
      </c>
    </row>
    <row r="30">
      <c r="A30" s="11" t="inlineStr">
        <is>
          <t xml:space="preserve">  FX Gains/(Losses)</t>
        </is>
      </c>
      <c r="B30" s="21">
        <f>'Std AIXTRON'!B30</f>
        <v/>
      </c>
      <c r="C30" s="21">
        <f>'Std AIXTRON'!C30</f>
        <v/>
      </c>
      <c r="D30" s="21">
        <f>'Std AIXTRON'!D30</f>
        <v/>
      </c>
      <c r="E30" s="21">
        <f>'Std AIXTRON'!E30</f>
        <v/>
      </c>
      <c r="F30" s="21">
        <f>'Std AIXTRON'!F30</f>
        <v/>
      </c>
      <c r="G30" s="21">
        <f>'Std AIXTRON'!G30</f>
        <v/>
      </c>
    </row>
    <row r="31">
      <c r="A31" s="22" t="inlineStr">
        <is>
          <t>Profit Before Tax</t>
        </is>
      </c>
      <c r="B31" s="35">
        <f>'Std AIXTRON'!B31</f>
        <v/>
      </c>
      <c r="C31" s="35">
        <f>'Std AIXTRON'!C31</f>
        <v/>
      </c>
      <c r="D31" s="35">
        <f>'Std AIXTRON'!D31</f>
        <v/>
      </c>
      <c r="E31" s="35">
        <f>'Std AIXTRON'!E31</f>
        <v/>
      </c>
      <c r="F31" s="35">
        <f>'Std AIXTRON'!F31</f>
        <v/>
      </c>
      <c r="G31" s="35">
        <f>'Std AIXTRON'!G31</f>
        <v/>
      </c>
    </row>
    <row r="32">
      <c r="A32" s="11" t="inlineStr">
        <is>
          <t xml:space="preserve">  Tax Expense</t>
        </is>
      </c>
      <c r="B32" s="21">
        <f>'Std AIXTRON'!B32</f>
        <v/>
      </c>
      <c r="C32" s="21">
        <f>'Std AIXTRON'!C32</f>
        <v/>
      </c>
      <c r="D32" s="21">
        <f>'Std AIXTRON'!D32</f>
        <v/>
      </c>
      <c r="E32" s="21">
        <f>'Std AIXTRON'!E32</f>
        <v/>
      </c>
      <c r="F32" s="21">
        <f>'Std AIXTRON'!F32</f>
        <v/>
      </c>
      <c r="G32" s="21">
        <f>'Std AIXTRON'!G32</f>
        <v/>
      </c>
    </row>
    <row r="33">
      <c r="A33" s="26" t="inlineStr">
        <is>
          <t>Net Income</t>
        </is>
      </c>
      <c r="B33" s="37">
        <f>'Std AIXTRON'!B33</f>
        <v/>
      </c>
      <c r="C33" s="37">
        <f>'Std AIXTRON'!C33</f>
        <v/>
      </c>
      <c r="D33" s="37">
        <f>'Std AIXTRON'!D33</f>
        <v/>
      </c>
      <c r="E33" s="37">
        <f>'Std AIXTRON'!E33</f>
        <v/>
      </c>
      <c r="F33" s="37">
        <f>'Std AIXTRON'!F33</f>
        <v/>
      </c>
      <c r="G33" s="37">
        <f>'Std AIXTRON'!G33</f>
        <v/>
      </c>
    </row>
    <row r="34"/>
    <row r="35">
      <c r="A35" s="11" t="inlineStr">
        <is>
          <t>Effective Tax Rate</t>
        </is>
      </c>
      <c r="B35" s="18">
        <f>'Std AIXTRON'!B35</f>
        <v/>
      </c>
      <c r="C35" s="18">
        <f>'Std AIXTRON'!C35</f>
        <v/>
      </c>
      <c r="D35" s="18">
        <f>'Std AIXTRON'!D35</f>
        <v/>
      </c>
      <c r="E35" s="18">
        <f>'Std AIXTRON'!E35</f>
        <v/>
      </c>
      <c r="F35" s="18">
        <f>'Std AIXTRON'!F35</f>
        <v/>
      </c>
      <c r="G35" s="18">
        <f>'Std AIXTRON'!G35</f>
        <v/>
      </c>
    </row>
    <row r="36">
      <c r="A36" s="22" t="inlineStr">
        <is>
          <t>NOPAT</t>
        </is>
      </c>
      <c r="B36" s="35">
        <f>'Std AIXTRON'!B36</f>
        <v/>
      </c>
      <c r="C36" s="35">
        <f>'Std AIXTRON'!C36</f>
        <v/>
      </c>
      <c r="D36" s="35">
        <f>'Std AIXTRON'!D36</f>
        <v/>
      </c>
      <c r="E36" s="35">
        <f>'Std AIXTRON'!E36</f>
        <v/>
      </c>
      <c r="F36" s="35">
        <f>'Std AIXTRON'!F36</f>
        <v/>
      </c>
      <c r="G36" s="35">
        <f>'Std AIXTRON'!G36</f>
        <v/>
      </c>
    </row>
    <row r="37"/>
    <row r="38">
      <c r="A38" s="11" t="inlineStr">
        <is>
          <t>Shares Outstanding (diluted)</t>
        </is>
      </c>
      <c r="B38" s="21">
        <f>'Std AIXTRON'!B38</f>
        <v/>
      </c>
      <c r="C38" s="21">
        <f>'Std AIXTRON'!C38</f>
        <v/>
      </c>
      <c r="D38" s="21">
        <f>'Std AIXTRON'!D38</f>
        <v/>
      </c>
      <c r="E38" s="21">
        <f>'Std AIXTRON'!E38</f>
        <v/>
      </c>
      <c r="F38" s="21">
        <f>'Std AIXTRON'!F38</f>
        <v/>
      </c>
      <c r="G38" s="21">
        <f>'Std AIXTRON'!G38</f>
        <v/>
      </c>
    </row>
    <row r="39">
      <c r="A39" s="11" t="inlineStr">
        <is>
          <t>EPS (diluted)</t>
        </is>
      </c>
      <c r="B39" s="30">
        <f>'Std AIXTRON'!B39</f>
        <v/>
      </c>
      <c r="C39" s="30">
        <f>'Std AIXTRON'!C39</f>
        <v/>
      </c>
      <c r="D39" s="30">
        <f>'Std AIXTRON'!D39</f>
        <v/>
      </c>
      <c r="E39" s="30">
        <f>'Std AIXTRON'!E39</f>
        <v/>
      </c>
      <c r="F39" s="30">
        <f>'Std AIXTRON'!F39</f>
        <v/>
      </c>
      <c r="G39" s="30">
        <f>'Std AIXTRON'!G39</f>
        <v/>
      </c>
    </row>
    <row r="40">
      <c r="A40" s="11" t="inlineStr">
        <is>
          <t>Dividends per Share</t>
        </is>
      </c>
      <c r="B40" s="30">
        <f>'Std AIXTRON'!B40</f>
        <v/>
      </c>
      <c r="C40" s="30">
        <f>'Std AIXTRON'!C40</f>
        <v/>
      </c>
      <c r="D40" s="30">
        <f>'Std AIXTRON'!D40</f>
        <v/>
      </c>
      <c r="E40" s="30">
        <f>'Std AIXTRON'!E40</f>
        <v/>
      </c>
      <c r="F40" s="30">
        <f>'Std AIXTRON'!F40</f>
        <v/>
      </c>
      <c r="G40" s="30">
        <f>'Std AIXTRON'!G40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'Std AIXTRON'!B45</f>
        <v/>
      </c>
      <c r="C45" s="21">
        <f>'Std AIXTRON'!C45</f>
        <v/>
      </c>
      <c r="D45" s="21">
        <f>'Std AIXTRON'!D45</f>
        <v/>
      </c>
      <c r="E45" s="21">
        <f>'Std AIXTRON'!E45</f>
        <v/>
      </c>
      <c r="F45" s="21">
        <f>'Std AIXTRON'!F45</f>
        <v/>
      </c>
      <c r="G45" s="21">
        <f>'Std AIXTRON'!G45</f>
        <v/>
      </c>
    </row>
    <row r="46">
      <c r="A46" s="11" t="inlineStr">
        <is>
          <t xml:space="preserve">  + Other Receivables</t>
        </is>
      </c>
      <c r="B46" s="21">
        <f>'Std AIXTRON'!B46</f>
        <v/>
      </c>
      <c r="C46" s="21">
        <f>'Std AIXTRON'!C46</f>
        <v/>
      </c>
      <c r="D46" s="21">
        <f>'Std AIXTRON'!D46</f>
        <v/>
      </c>
      <c r="E46" s="21">
        <f>'Std AIXTRON'!E46</f>
        <v/>
      </c>
      <c r="F46" s="21">
        <f>'Std AIXTRON'!F46</f>
        <v/>
      </c>
      <c r="G46" s="21">
        <f>'Std AIXTRON'!G46</f>
        <v/>
      </c>
    </row>
    <row r="47">
      <c r="A47" s="11" t="inlineStr">
        <is>
          <t xml:space="preserve">  + Inventories</t>
        </is>
      </c>
      <c r="B47" s="21">
        <f>'Std AIXTRON'!B47</f>
        <v/>
      </c>
      <c r="C47" s="21">
        <f>'Std AIXTRON'!C47</f>
        <v/>
      </c>
      <c r="D47" s="21">
        <f>'Std AIXTRON'!D47</f>
        <v/>
      </c>
      <c r="E47" s="21">
        <f>'Std AIXTRON'!E47</f>
        <v/>
      </c>
      <c r="F47" s="21">
        <f>'Std AIXTRON'!F47</f>
        <v/>
      </c>
      <c r="G47" s="21">
        <f>'Std AIXTRON'!G47</f>
        <v/>
      </c>
    </row>
    <row r="48">
      <c r="A48" s="11" t="inlineStr">
        <is>
          <t xml:space="preserve">  + Prepaid &amp; Other CA</t>
        </is>
      </c>
      <c r="B48" s="21">
        <f>'Std AIXTRON'!B48</f>
        <v/>
      </c>
      <c r="C48" s="21">
        <f>'Std AIXTRON'!C48</f>
        <v/>
      </c>
      <c r="D48" s="21">
        <f>'Std AIXTRON'!D48</f>
        <v/>
      </c>
      <c r="E48" s="21">
        <f>'Std AIXTRON'!E48</f>
        <v/>
      </c>
      <c r="F48" s="21">
        <f>'Std AIXTRON'!F48</f>
        <v/>
      </c>
      <c r="G48" s="21">
        <f>'Std AIXTRON'!G48</f>
        <v/>
      </c>
    </row>
    <row r="49">
      <c r="A49" s="11" t="inlineStr">
        <is>
          <t xml:space="preserve">  - Accounts Payable</t>
        </is>
      </c>
      <c r="B49" s="21">
        <f>'Std AIXTRON'!B49</f>
        <v/>
      </c>
      <c r="C49" s="21">
        <f>'Std AIXTRON'!C49</f>
        <v/>
      </c>
      <c r="D49" s="21">
        <f>'Std AIXTRON'!D49</f>
        <v/>
      </c>
      <c r="E49" s="21">
        <f>'Std AIXTRON'!E49</f>
        <v/>
      </c>
      <c r="F49" s="21">
        <f>'Std AIXTRON'!F49</f>
        <v/>
      </c>
      <c r="G49" s="21">
        <f>'Std AIXTRON'!G49</f>
        <v/>
      </c>
    </row>
    <row r="50">
      <c r="A50" s="11" t="inlineStr">
        <is>
          <t xml:space="preserve">  - Accrued Expenses</t>
        </is>
      </c>
      <c r="B50" s="21">
        <f>'Std AIXTRON'!B50</f>
        <v/>
      </c>
      <c r="C50" s="21">
        <f>'Std AIXTRON'!C50</f>
        <v/>
      </c>
      <c r="D50" s="21">
        <f>'Std AIXTRON'!D50</f>
        <v/>
      </c>
      <c r="E50" s="21">
        <f>'Std AIXTRON'!E50</f>
        <v/>
      </c>
      <c r="F50" s="21">
        <f>'Std AIXTRON'!F50</f>
        <v/>
      </c>
      <c r="G50" s="21">
        <f>'Std AIXTRON'!G50</f>
        <v/>
      </c>
    </row>
    <row r="51">
      <c r="A51" s="11" t="inlineStr">
        <is>
          <t xml:space="preserve">  - Unearned Revenue / Contract Liabilities</t>
        </is>
      </c>
      <c r="B51" s="21">
        <f>'Std AIXTRON'!B51</f>
        <v/>
      </c>
      <c r="C51" s="21">
        <f>'Std AIXTRON'!C51</f>
        <v/>
      </c>
      <c r="D51" s="21">
        <f>'Std AIXTRON'!D51</f>
        <v/>
      </c>
      <c r="E51" s="21">
        <f>'Std AIXTRON'!E51</f>
        <v/>
      </c>
      <c r="F51" s="21">
        <f>'Std AIXTRON'!F51</f>
        <v/>
      </c>
      <c r="G51" s="21">
        <f>'Std AIXTRON'!G51</f>
        <v/>
      </c>
    </row>
    <row r="52">
      <c r="A52" s="11" t="inlineStr">
        <is>
          <t xml:space="preserve">  - Income Taxes Payable</t>
        </is>
      </c>
      <c r="B52" s="21">
        <f>'Std AIXTRON'!B52</f>
        <v/>
      </c>
      <c r="C52" s="21">
        <f>'Std AIXTRON'!C52</f>
        <v/>
      </c>
      <c r="D52" s="21">
        <f>'Std AIXTRON'!D52</f>
        <v/>
      </c>
      <c r="E52" s="21">
        <f>'Std AIXTRON'!E52</f>
        <v/>
      </c>
      <c r="F52" s="21">
        <f>'Std AIXTRON'!F52</f>
        <v/>
      </c>
      <c r="G52" s="21">
        <f>'Std AIXTRON'!G52</f>
        <v/>
      </c>
    </row>
    <row r="53">
      <c r="A53" s="11" t="inlineStr">
        <is>
          <t xml:space="preserve">  - Other Current Liabilities</t>
        </is>
      </c>
      <c r="B53" s="21">
        <f>'Std AIXTRON'!B53</f>
        <v/>
      </c>
      <c r="C53" s="21">
        <f>'Std AIXTRON'!C53</f>
        <v/>
      </c>
      <c r="D53" s="21">
        <f>'Std AIXTRON'!D53</f>
        <v/>
      </c>
      <c r="E53" s="21">
        <f>'Std AIXTRON'!E53</f>
        <v/>
      </c>
      <c r="F53" s="21">
        <f>'Std AIXTRON'!F53</f>
        <v/>
      </c>
      <c r="G53" s="21">
        <f>'Std AIXTRON'!G53</f>
        <v/>
      </c>
    </row>
    <row r="54">
      <c r="A54" s="24">
        <f> Operating Working Capital</f>
        <v/>
      </c>
      <c r="B54" s="36">
        <f>'Std AIXTRON'!B54</f>
        <v/>
      </c>
      <c r="C54" s="36">
        <f>'Std AIXTRON'!C54</f>
        <v/>
      </c>
      <c r="D54" s="36">
        <f>'Std AIXTRON'!D54</f>
        <v/>
      </c>
      <c r="E54" s="36">
        <f>'Std AIXTRON'!E54</f>
        <v/>
      </c>
      <c r="F54" s="36">
        <f>'Std AIXTRON'!F54</f>
        <v/>
      </c>
      <c r="G54" s="36">
        <f>'Std AIXTRON'!G54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'Std AIXTRON'!B57</f>
        <v/>
      </c>
      <c r="C57" s="21">
        <f>'Std AIXTRON'!C57</f>
        <v/>
      </c>
      <c r="D57" s="21">
        <f>'Std AIXTRON'!D57</f>
        <v/>
      </c>
      <c r="E57" s="21">
        <f>'Std AIXTRON'!E57</f>
        <v/>
      </c>
      <c r="F57" s="21">
        <f>'Std AIXTRON'!F57</f>
        <v/>
      </c>
      <c r="G57" s="21">
        <f>'Std AIXTRON'!G57</f>
        <v/>
      </c>
    </row>
    <row r="58">
      <c r="A58" s="11" t="inlineStr">
        <is>
          <t xml:space="preserve">  + Goodwill</t>
        </is>
      </c>
      <c r="B58" s="21">
        <f>'Std AIXTRON'!B58</f>
        <v/>
      </c>
      <c r="C58" s="21">
        <f>'Std AIXTRON'!C58</f>
        <v/>
      </c>
      <c r="D58" s="21">
        <f>'Std AIXTRON'!D58</f>
        <v/>
      </c>
      <c r="E58" s="21">
        <f>'Std AIXTRON'!E58</f>
        <v/>
      </c>
      <c r="F58" s="21">
        <f>'Std AIXTRON'!F58</f>
        <v/>
      </c>
      <c r="G58" s="21">
        <f>'Std AIXTRON'!G58</f>
        <v/>
      </c>
    </row>
    <row r="59">
      <c r="A59" s="11" t="inlineStr">
        <is>
          <t xml:space="preserve">  + Other Intangible Assets</t>
        </is>
      </c>
      <c r="B59" s="21">
        <f>'Std AIXTRON'!B59</f>
        <v/>
      </c>
      <c r="C59" s="21">
        <f>'Std AIXTRON'!C59</f>
        <v/>
      </c>
      <c r="D59" s="21">
        <f>'Std AIXTRON'!D59</f>
        <v/>
      </c>
      <c r="E59" s="21">
        <f>'Std AIXTRON'!E59</f>
        <v/>
      </c>
      <c r="F59" s="21">
        <f>'Std AIXTRON'!F59</f>
        <v/>
      </c>
      <c r="G59" s="21">
        <f>'Std AIXTRON'!G59</f>
        <v/>
      </c>
    </row>
    <row r="60">
      <c r="A60" s="11" t="inlineStr">
        <is>
          <t xml:space="preserve">  + Deferred Tax Assets</t>
        </is>
      </c>
      <c r="B60" s="21">
        <f>'Std AIXTRON'!B60</f>
        <v/>
      </c>
      <c r="C60" s="21">
        <f>'Std AIXTRON'!C60</f>
        <v/>
      </c>
      <c r="D60" s="21">
        <f>'Std AIXTRON'!D60</f>
        <v/>
      </c>
      <c r="E60" s="21">
        <f>'Std AIXTRON'!E60</f>
        <v/>
      </c>
      <c r="F60" s="21">
        <f>'Std AIXTRON'!F60</f>
        <v/>
      </c>
      <c r="G60" s="21">
        <f>'Std AIXTRON'!G60</f>
        <v/>
      </c>
    </row>
    <row r="61">
      <c r="A61" s="11" t="inlineStr">
        <is>
          <t xml:space="preserve">  + Deferred Charges &amp; LT Intangibles</t>
        </is>
      </c>
      <c r="B61" s="21">
        <f>'Std AIXTRON'!B61</f>
        <v/>
      </c>
      <c r="C61" s="21">
        <f>'Std AIXTRON'!C61</f>
        <v/>
      </c>
      <c r="D61" s="21">
        <f>'Std AIXTRON'!D61</f>
        <v/>
      </c>
      <c r="E61" s="21">
        <f>'Std AIXTRON'!E61</f>
        <v/>
      </c>
      <c r="F61" s="21">
        <f>'Std AIXTRON'!F61</f>
        <v/>
      </c>
      <c r="G61" s="21">
        <f>'Std AIXTRON'!G61</f>
        <v/>
      </c>
    </row>
    <row r="62">
      <c r="A62" s="11" t="inlineStr">
        <is>
          <t xml:space="preserve">  + Other Non-Current Assets</t>
        </is>
      </c>
      <c r="B62" s="21">
        <f>'Std AIXTRON'!B62</f>
        <v/>
      </c>
      <c r="C62" s="21">
        <f>'Std AIXTRON'!C62</f>
        <v/>
      </c>
      <c r="D62" s="21">
        <f>'Std AIXTRON'!D62</f>
        <v/>
      </c>
      <c r="E62" s="21">
        <f>'Std AIXTRON'!E62</f>
        <v/>
      </c>
      <c r="F62" s="21">
        <f>'Std AIXTRON'!F62</f>
        <v/>
      </c>
      <c r="G62" s="21">
        <f>'Std AIXTRON'!G62</f>
        <v/>
      </c>
    </row>
    <row r="63">
      <c r="A63" s="11" t="inlineStr">
        <is>
          <t xml:space="preserve">  - Deferred Tax Liabilities</t>
        </is>
      </c>
      <c r="B63" s="21">
        <f>'Std AIXTRON'!B63</f>
        <v/>
      </c>
      <c r="C63" s="21">
        <f>'Std AIXTRON'!C63</f>
        <v/>
      </c>
      <c r="D63" s="21">
        <f>'Std AIXTRON'!D63</f>
        <v/>
      </c>
      <c r="E63" s="21">
        <f>'Std AIXTRON'!E63</f>
        <v/>
      </c>
      <c r="F63" s="21">
        <f>'Std AIXTRON'!F63</f>
        <v/>
      </c>
      <c r="G63" s="21">
        <f>'Std AIXTRON'!G63</f>
        <v/>
      </c>
    </row>
    <row r="64">
      <c r="A64" s="11" t="inlineStr">
        <is>
          <t xml:space="preserve">  - Other Non-Current Liabilities</t>
        </is>
      </c>
      <c r="B64" s="21">
        <f>'Std AIXTRON'!B64</f>
        <v/>
      </c>
      <c r="C64" s="21">
        <f>'Std AIXTRON'!C64</f>
        <v/>
      </c>
      <c r="D64" s="21">
        <f>'Std AIXTRON'!D64</f>
        <v/>
      </c>
      <c r="E64" s="21">
        <f>'Std AIXTRON'!E64</f>
        <v/>
      </c>
      <c r="F64" s="21">
        <f>'Std AIXTRON'!F64</f>
        <v/>
      </c>
      <c r="G64" s="21">
        <f>'Std AIXTRON'!G64</f>
        <v/>
      </c>
    </row>
    <row r="65">
      <c r="A65" s="24">
        <f> Net Non-Current Operating Assets</f>
        <v/>
      </c>
      <c r="B65" s="36">
        <f>'Std AIXTRON'!B65</f>
        <v/>
      </c>
      <c r="C65" s="36">
        <f>'Std AIXTRON'!C65</f>
        <v/>
      </c>
      <c r="D65" s="36">
        <f>'Std AIXTRON'!D65</f>
        <v/>
      </c>
      <c r="E65" s="36">
        <f>'Std AIXTRON'!E65</f>
        <v/>
      </c>
      <c r="F65" s="36">
        <f>'Std AIXTRON'!F65</f>
        <v/>
      </c>
      <c r="G65" s="36">
        <f>'Std AIXTRON'!G65</f>
        <v/>
      </c>
    </row>
    <row r="66"/>
    <row r="67">
      <c r="A67" s="24">
        <f> Net Operating Assets</f>
        <v/>
      </c>
      <c r="B67" s="36">
        <f>'Std AIXTRON'!B67</f>
        <v/>
      </c>
      <c r="C67" s="36">
        <f>'Std AIXTRON'!C67</f>
        <v/>
      </c>
      <c r="D67" s="36">
        <f>'Std AIXTRON'!D67</f>
        <v/>
      </c>
      <c r="E67" s="36">
        <f>'Std AIXTRON'!E67</f>
        <v/>
      </c>
      <c r="F67" s="36">
        <f>'Std AIXTRON'!F67</f>
        <v/>
      </c>
      <c r="G67" s="36">
        <f>'Std AIXTRON'!G67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'Std AIXTRON'!B70</f>
        <v/>
      </c>
      <c r="C70" s="21">
        <f>'Std AIXTRON'!C70</f>
        <v/>
      </c>
      <c r="D70" s="21">
        <f>'Std AIXTRON'!D70</f>
        <v/>
      </c>
      <c r="E70" s="21">
        <f>'Std AIXTRON'!E70</f>
        <v/>
      </c>
      <c r="F70" s="21">
        <f>'Std AIXTRON'!F70</f>
        <v/>
      </c>
      <c r="G70" s="21">
        <f>'Std AIXTRON'!G70</f>
        <v/>
      </c>
    </row>
    <row r="71">
      <c r="A71" s="24">
        <f> Total Investment Assets</f>
        <v/>
      </c>
      <c r="B71" s="36">
        <f>'Std AIXTRON'!B71</f>
        <v/>
      </c>
      <c r="C71" s="36">
        <f>'Std AIXTRON'!C71</f>
        <v/>
      </c>
      <c r="D71" s="36">
        <f>'Std AIXTRON'!D71</f>
        <v/>
      </c>
      <c r="E71" s="36">
        <f>'Std AIXTRON'!E71</f>
        <v/>
      </c>
      <c r="F71" s="36">
        <f>'Std AIXTRON'!F71</f>
        <v/>
      </c>
      <c r="G71" s="36">
        <f>'Std AIXTRON'!G71</f>
        <v/>
      </c>
    </row>
    <row r="72"/>
    <row r="73">
      <c r="A73" s="26">
        <f> Business Assets</f>
        <v/>
      </c>
      <c r="B73" s="37">
        <f>'Std AIXTRON'!B73</f>
        <v/>
      </c>
      <c r="C73" s="37">
        <f>'Std AIXTRON'!C73</f>
        <v/>
      </c>
      <c r="D73" s="37">
        <f>'Std AIXTRON'!D73</f>
        <v/>
      </c>
      <c r="E73" s="37">
        <f>'Std AIXTRON'!E73</f>
        <v/>
      </c>
      <c r="F73" s="37">
        <f>'Std AIXTRON'!F73</f>
        <v/>
      </c>
      <c r="G73" s="37">
        <f>'Std AIXTRON'!G73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'Std AIXTRON'!B76</f>
        <v/>
      </c>
      <c r="C76" s="21">
        <f>'Std AIXTRON'!C76</f>
        <v/>
      </c>
      <c r="D76" s="21">
        <f>'Std AIXTRON'!D76</f>
        <v/>
      </c>
      <c r="E76" s="21">
        <f>'Std AIXTRON'!E76</f>
        <v/>
      </c>
      <c r="F76" s="21">
        <f>'Std AIXTRON'!F76</f>
        <v/>
      </c>
      <c r="G76" s="21">
        <f>'Std AIXTRON'!G76</f>
        <v/>
      </c>
    </row>
    <row r="77">
      <c r="A77" s="11" t="inlineStr">
        <is>
          <t xml:space="preserve">  + Lease Liabilities (non-current)</t>
        </is>
      </c>
      <c r="B77" s="21">
        <f>'Std AIXTRON'!B77</f>
        <v/>
      </c>
      <c r="C77" s="21">
        <f>'Std AIXTRON'!C77</f>
        <v/>
      </c>
      <c r="D77" s="21">
        <f>'Std AIXTRON'!D77</f>
        <v/>
      </c>
      <c r="E77" s="21">
        <f>'Std AIXTRON'!E77</f>
        <v/>
      </c>
      <c r="F77" s="21">
        <f>'Std AIXTRON'!F77</f>
        <v/>
      </c>
      <c r="G77" s="21">
        <f>'Std AIXTRON'!G77</f>
        <v/>
      </c>
    </row>
    <row r="78">
      <c r="A78" s="24">
        <f> Total Debt</f>
        <v/>
      </c>
      <c r="B78" s="36">
        <f>'Std AIXTRON'!B78</f>
        <v/>
      </c>
      <c r="C78" s="36">
        <f>'Std AIXTRON'!C78</f>
        <v/>
      </c>
      <c r="D78" s="36">
        <f>'Std AIXTRON'!D78</f>
        <v/>
      </c>
      <c r="E78" s="36">
        <f>'Std AIXTRON'!E78</f>
        <v/>
      </c>
      <c r="F78" s="36">
        <f>'Std AIXTRON'!F78</f>
        <v/>
      </c>
      <c r="G78" s="36">
        <f>'Std AIXTRON'!G78</f>
        <v/>
      </c>
    </row>
    <row r="79">
      <c r="A79" s="11" t="inlineStr">
        <is>
          <t xml:space="preserve">  Cash &amp; Equivalents</t>
        </is>
      </c>
      <c r="B79" s="21">
        <f>'Std AIXTRON'!B79</f>
        <v/>
      </c>
      <c r="C79" s="21">
        <f>'Std AIXTRON'!C79</f>
        <v/>
      </c>
      <c r="D79" s="21">
        <f>'Std AIXTRON'!D79</f>
        <v/>
      </c>
      <c r="E79" s="21">
        <f>'Std AIXTRON'!E79</f>
        <v/>
      </c>
      <c r="F79" s="21">
        <f>'Std AIXTRON'!F79</f>
        <v/>
      </c>
      <c r="G79" s="21">
        <f>'Std AIXTRON'!G79</f>
        <v/>
      </c>
    </row>
    <row r="80">
      <c r="A80" s="22">
        <f> Net Debt</f>
        <v/>
      </c>
      <c r="B80" s="35">
        <f>'Std AIXTRON'!B80</f>
        <v/>
      </c>
      <c r="C80" s="35">
        <f>'Std AIXTRON'!C80</f>
        <v/>
      </c>
      <c r="D80" s="35">
        <f>'Std AIXTRON'!D80</f>
        <v/>
      </c>
      <c r="E80" s="35">
        <f>'Std AIXTRON'!E80</f>
        <v/>
      </c>
      <c r="F80" s="35">
        <f>'Std AIXTRON'!F80</f>
        <v/>
      </c>
      <c r="G80" s="35">
        <f>'Std AIXTRON'!G80</f>
        <v/>
      </c>
    </row>
    <row r="81">
      <c r="A81" s="11" t="inlineStr">
        <is>
          <t>Group Equity</t>
        </is>
      </c>
      <c r="B81" s="21">
        <f>'Std AIXTRON'!B81</f>
        <v/>
      </c>
      <c r="C81" s="21">
        <f>'Std AIXTRON'!C81</f>
        <v/>
      </c>
      <c r="D81" s="21">
        <f>'Std AIXTRON'!D81</f>
        <v/>
      </c>
      <c r="E81" s="21">
        <f>'Std AIXTRON'!E81</f>
        <v/>
      </c>
      <c r="F81" s="21">
        <f>'Std AIXTRON'!F81</f>
        <v/>
      </c>
      <c r="G81" s="21">
        <f>'Std AIXTRON'!G81</f>
        <v/>
      </c>
    </row>
    <row r="82">
      <c r="A82" s="26">
        <f> Invested Capital</f>
        <v/>
      </c>
      <c r="B82" s="37">
        <f>'Std AIXTRON'!B82</f>
        <v/>
      </c>
      <c r="C82" s="37">
        <f>'Std AIXTRON'!C82</f>
        <v/>
      </c>
      <c r="D82" s="37">
        <f>'Std AIXTRON'!D82</f>
        <v/>
      </c>
      <c r="E82" s="37">
        <f>'Std AIXTRON'!E82</f>
        <v/>
      </c>
      <c r="F82" s="37">
        <f>'Std AIXTRON'!F82</f>
        <v/>
      </c>
      <c r="G82" s="37">
        <f>'Std AIXTRON'!G82</f>
        <v/>
      </c>
    </row>
    <row r="83">
      <c r="A83" s="22" t="inlineStr">
        <is>
          <t>BS Check (should = 0)</t>
        </is>
      </c>
      <c r="B83" s="35">
        <f>'Std AIXTRON'!B83</f>
        <v/>
      </c>
      <c r="C83" s="35">
        <f>'Std AIXTRON'!C83</f>
        <v/>
      </c>
      <c r="D83" s="35">
        <f>'Std AIXTRON'!D83</f>
        <v/>
      </c>
      <c r="E83" s="35">
        <f>'Std AIXTRON'!E83</f>
        <v/>
      </c>
      <c r="F83" s="35">
        <f>'Std AIXTRON'!F83</f>
        <v/>
      </c>
      <c r="G83" s="35">
        <f>'Std AIXTRON'!G83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21">
        <f>'Std AIXTRON'!B87</f>
        <v/>
      </c>
      <c r="C87" s="21">
        <f>'Std AIXTRON'!C87</f>
        <v/>
      </c>
      <c r="D87" s="21">
        <f>'Std AIXTRON'!D87</f>
        <v/>
      </c>
      <c r="E87" s="21">
        <f>'Std AIXTRON'!E87</f>
        <v/>
      </c>
      <c r="F87" s="21">
        <f>'Std AIXTRON'!F87</f>
        <v/>
      </c>
      <c r="G87" s="21">
        <f>'Std AIXTRON'!G87</f>
        <v/>
      </c>
    </row>
    <row r="88">
      <c r="A88" s="11" t="inlineStr">
        <is>
          <t>+ D&amp;A</t>
        </is>
      </c>
      <c r="B88" s="21">
        <f>'Std AIXTRON'!B88</f>
        <v/>
      </c>
      <c r="C88" s="21">
        <f>'Std AIXTRON'!C88</f>
        <v/>
      </c>
      <c r="D88" s="21">
        <f>'Std AIXTRON'!D88</f>
        <v/>
      </c>
      <c r="E88" s="21">
        <f>'Std AIXTRON'!E88</f>
        <v/>
      </c>
      <c r="F88" s="21">
        <f>'Std AIXTRON'!F88</f>
        <v/>
      </c>
      <c r="G88" s="21">
        <f>'Std AIXTRON'!G88</f>
        <v/>
      </c>
    </row>
    <row r="89">
      <c r="A89" s="11" t="inlineStr">
        <is>
          <t>- Change in OWC</t>
        </is>
      </c>
      <c r="B89" s="21">
        <f>'Std AIXTRON'!B89</f>
        <v/>
      </c>
      <c r="C89" s="21">
        <f>'Std AIXTRON'!C89</f>
        <v/>
      </c>
      <c r="D89" s="21">
        <f>'Std AIXTRON'!D89</f>
        <v/>
      </c>
      <c r="E89" s="21">
        <f>'Std AIXTRON'!E89</f>
        <v/>
      </c>
      <c r="F89" s="21">
        <f>'Std AIXTRON'!F89</f>
        <v/>
      </c>
      <c r="G89" s="21">
        <f>'Std AIXTRON'!G89</f>
        <v/>
      </c>
    </row>
    <row r="90">
      <c r="A90" s="11" t="inlineStr">
        <is>
          <t>- CapEx</t>
        </is>
      </c>
      <c r="B90" s="21">
        <f>'Std AIXTRON'!B90</f>
        <v/>
      </c>
      <c r="C90" s="21">
        <f>'Std AIXTRON'!C90</f>
        <v/>
      </c>
      <c r="D90" s="21">
        <f>'Std AIXTRON'!D90</f>
        <v/>
      </c>
      <c r="E90" s="21">
        <f>'Std AIXTRON'!E90</f>
        <v/>
      </c>
      <c r="F90" s="21">
        <f>'Std AIXTRON'!F90</f>
        <v/>
      </c>
      <c r="G90" s="21">
        <f>'Std AIXTRON'!G90</f>
        <v/>
      </c>
    </row>
    <row r="91">
      <c r="A91" s="11" t="inlineStr">
        <is>
          <t>- Purchase of Intangibles</t>
        </is>
      </c>
      <c r="B91" s="21">
        <f>'Std AIXTRON'!B91</f>
        <v/>
      </c>
      <c r="C91" s="21">
        <f>'Std AIXTRON'!C91</f>
        <v/>
      </c>
      <c r="D91" s="21">
        <f>'Std AIXTRON'!D91</f>
        <v/>
      </c>
      <c r="E91" s="21">
        <f>'Std AIXTRON'!E91</f>
        <v/>
      </c>
      <c r="F91" s="21">
        <f>'Std AIXTRON'!F91</f>
        <v/>
      </c>
      <c r="G91" s="21">
        <f>'Std AIXTRON'!G91</f>
        <v/>
      </c>
    </row>
    <row r="92">
      <c r="A92" s="24">
        <f> Operating CF after investment</f>
        <v/>
      </c>
      <c r="B92" s="36">
        <f>'Std AIXTRON'!B92</f>
        <v/>
      </c>
      <c r="C92" s="36">
        <f>'Std AIXTRON'!C92</f>
        <v/>
      </c>
      <c r="D92" s="36">
        <f>'Std AIXTRON'!D92</f>
        <v/>
      </c>
      <c r="E92" s="36">
        <f>'Std AIXTRON'!E92</f>
        <v/>
      </c>
      <c r="F92" s="36">
        <f>'Std AIXTRON'!F92</f>
        <v/>
      </c>
      <c r="G92" s="36">
        <f>'Std AIXTRON'!G92</f>
        <v/>
      </c>
    </row>
    <row r="93"/>
    <row r="94">
      <c r="A94" s="11" t="inlineStr">
        <is>
          <t>+ Net Investment Profit after tax</t>
        </is>
      </c>
      <c r="B94" s="21">
        <f>'Std AIXTRON'!B94</f>
        <v/>
      </c>
      <c r="C94" s="21">
        <f>'Std AIXTRON'!C94</f>
        <v/>
      </c>
      <c r="D94" s="21">
        <f>'Std AIXTRON'!D94</f>
        <v/>
      </c>
      <c r="E94" s="21">
        <f>'Std AIXTRON'!E94</f>
        <v/>
      </c>
      <c r="F94" s="21">
        <f>'Std AIXTRON'!F94</f>
        <v/>
      </c>
      <c r="G94" s="21">
        <f>'Std AIXTRON'!G94</f>
        <v/>
      </c>
    </row>
    <row r="95">
      <c r="A95" s="11" t="inlineStr">
        <is>
          <t>- Change in Investment Assets</t>
        </is>
      </c>
      <c r="B95" s="21">
        <f>'Std AIXTRON'!B95</f>
        <v/>
      </c>
      <c r="C95" s="21">
        <f>'Std AIXTRON'!C95</f>
        <v/>
      </c>
      <c r="D95" s="21">
        <f>'Std AIXTRON'!D95</f>
        <v/>
      </c>
      <c r="E95" s="21">
        <f>'Std AIXTRON'!E95</f>
        <v/>
      </c>
      <c r="F95" s="21">
        <f>'Std AIXTRON'!F95</f>
        <v/>
      </c>
      <c r="G95" s="21">
        <f>'Std AIXTRON'!G95</f>
        <v/>
      </c>
    </row>
    <row r="96">
      <c r="A96" s="24">
        <f> FCF to Debt &amp; Equity</f>
        <v/>
      </c>
      <c r="B96" s="36">
        <f>'Std AIXTRON'!B96</f>
        <v/>
      </c>
      <c r="C96" s="36">
        <f>'Std AIXTRON'!C96</f>
        <v/>
      </c>
      <c r="D96" s="36">
        <f>'Std AIXTRON'!D96</f>
        <v/>
      </c>
      <c r="E96" s="36">
        <f>'Std AIXTRON'!E96</f>
        <v/>
      </c>
      <c r="F96" s="36">
        <f>'Std AIXTRON'!F96</f>
        <v/>
      </c>
      <c r="G96" s="36">
        <f>'Std AIXTRON'!G96</f>
        <v/>
      </c>
    </row>
    <row r="97">
      <c r="A97" s="11" t="inlineStr">
        <is>
          <t>- Interest Expense after tax</t>
        </is>
      </c>
      <c r="B97" s="21">
        <f>'Std AIXTRON'!B97</f>
        <v/>
      </c>
      <c r="C97" s="21">
        <f>'Std AIXTRON'!C97</f>
        <v/>
      </c>
      <c r="D97" s="21">
        <f>'Std AIXTRON'!D97</f>
        <v/>
      </c>
      <c r="E97" s="21">
        <f>'Std AIXTRON'!E97</f>
        <v/>
      </c>
      <c r="F97" s="21">
        <f>'Std AIXTRON'!F97</f>
        <v/>
      </c>
      <c r="G97" s="21">
        <f>'Std AIXTRON'!G97</f>
        <v/>
      </c>
    </row>
    <row r="98">
      <c r="A98" s="11" t="inlineStr">
        <is>
          <t>+ Change in Debt</t>
        </is>
      </c>
      <c r="B98" s="21">
        <f>'Std AIXTRON'!B98</f>
        <v/>
      </c>
      <c r="C98" s="21">
        <f>'Std AIXTRON'!C98</f>
        <v/>
      </c>
      <c r="D98" s="21">
        <f>'Std AIXTRON'!D98</f>
        <v/>
      </c>
      <c r="E98" s="21">
        <f>'Std AIXTRON'!E98</f>
        <v/>
      </c>
      <c r="F98" s="21">
        <f>'Std AIXTRON'!F98</f>
        <v/>
      </c>
      <c r="G98" s="21">
        <f>'Std AIXTRON'!G98</f>
        <v/>
      </c>
    </row>
    <row r="99">
      <c r="A99" s="26">
        <f> FCF to Equity</f>
        <v/>
      </c>
      <c r="B99" s="37">
        <f>'Std AIXTRON'!B99</f>
        <v/>
      </c>
      <c r="C99" s="37">
        <f>'Std AIXTRON'!C99</f>
        <v/>
      </c>
      <c r="D99" s="37">
        <f>'Std AIXTRON'!D99</f>
        <v/>
      </c>
      <c r="E99" s="37">
        <f>'Std AIXTRON'!E99</f>
        <v/>
      </c>
      <c r="F99" s="37">
        <f>'Std AIXTRON'!F99</f>
        <v/>
      </c>
      <c r="G99" s="37">
        <f>'Std AIXTRON'!G99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Applied Materials, Inc.</t>
        </is>
      </c>
    </row>
    <row r="2">
      <c r="A2" s="15" t="inlineStr">
        <is>
          <t>(EUR 000)</t>
        </is>
      </c>
    </row>
    <row r="3">
      <c r="B3" s="33">
        <f>'Std AMAT'!B3</f>
        <v/>
      </c>
      <c r="C3" s="33">
        <f>'Std AMAT'!C3</f>
        <v/>
      </c>
      <c r="D3" s="33">
        <f>'Std AMAT'!D3</f>
        <v/>
      </c>
      <c r="E3" s="33">
        <f>'Std AMAT'!E3</f>
        <v/>
      </c>
      <c r="F3" s="33">
        <f>'Std AMAT'!F3</f>
        <v/>
      </c>
      <c r="G3" s="33">
        <f>'Std AMAT'!G3</f>
        <v/>
      </c>
    </row>
    <row r="4"/>
    <row r="5">
      <c r="A5" s="11" t="inlineStr">
        <is>
          <t>Operating cash %</t>
        </is>
      </c>
      <c r="B5" s="34">
        <f>'Std AMAT'!B5</f>
        <v/>
      </c>
      <c r="C5" s="34">
        <f>'Std AMAT'!C5</f>
        <v/>
      </c>
      <c r="D5" s="34">
        <f>'Std AMAT'!D5</f>
        <v/>
      </c>
      <c r="E5" s="34">
        <f>'Std AMAT'!E5</f>
        <v/>
      </c>
      <c r="F5" s="34">
        <f>'Std AMAT'!F5</f>
        <v/>
      </c>
      <c r="G5" s="34">
        <f>'Std AMAT'!G5</f>
        <v/>
      </c>
    </row>
    <row r="6">
      <c r="A6" s="11" t="inlineStr">
        <is>
          <t>Tax rate (effective)</t>
        </is>
      </c>
      <c r="B6" s="18">
        <f>'Std AMAT'!B6</f>
        <v/>
      </c>
      <c r="C6" s="18">
        <f>'Std AMAT'!C6</f>
        <v/>
      </c>
      <c r="D6" s="18">
        <f>'Std AMAT'!D6</f>
        <v/>
      </c>
      <c r="E6" s="18">
        <f>'Std AMAT'!E6</f>
        <v/>
      </c>
      <c r="F6" s="18">
        <f>'Std AMAT'!F6</f>
        <v/>
      </c>
      <c r="G6" s="18">
        <f>'Std AMAT'!G6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'Std AMAT'!B9</f>
        <v/>
      </c>
      <c r="C9" s="21">
        <f>'Std AMAT'!C9</f>
        <v/>
      </c>
      <c r="D9" s="21">
        <f>'Std AMAT'!D9</f>
        <v/>
      </c>
      <c r="E9" s="21">
        <f>'Std AMAT'!E9</f>
        <v/>
      </c>
      <c r="F9" s="21">
        <f>'Std AMAT'!F9</f>
        <v/>
      </c>
      <c r="G9" s="21">
        <f>'Std AMAT'!G9</f>
        <v/>
      </c>
    </row>
    <row r="10">
      <c r="A10" s="11" t="inlineStr">
        <is>
          <t>Cost of Sales</t>
        </is>
      </c>
      <c r="B10" s="21">
        <f>'Std AMAT'!B10</f>
        <v/>
      </c>
      <c r="C10" s="21">
        <f>'Std AMAT'!C10</f>
        <v/>
      </c>
      <c r="D10" s="21">
        <f>'Std AMAT'!D10</f>
        <v/>
      </c>
      <c r="E10" s="21">
        <f>'Std AMAT'!E10</f>
        <v/>
      </c>
      <c r="F10" s="21">
        <f>'Std AMAT'!F10</f>
        <v/>
      </c>
      <c r="G10" s="21">
        <f>'Std AMAT'!G10</f>
        <v/>
      </c>
    </row>
    <row r="11">
      <c r="A11" s="22" t="inlineStr">
        <is>
          <t>Gross Profit</t>
        </is>
      </c>
      <c r="B11" s="35">
        <f>'Std AMAT'!B11</f>
        <v/>
      </c>
      <c r="C11" s="35">
        <f>'Std AMAT'!C11</f>
        <v/>
      </c>
      <c r="D11" s="35">
        <f>'Std AMAT'!D11</f>
        <v/>
      </c>
      <c r="E11" s="35">
        <f>'Std AMAT'!E11</f>
        <v/>
      </c>
      <c r="F11" s="35">
        <f>'Std AMAT'!F11</f>
        <v/>
      </c>
      <c r="G11" s="35">
        <f>'Std AMAT'!G11</f>
        <v/>
      </c>
    </row>
    <row r="12">
      <c r="A12" s="11" t="inlineStr">
        <is>
          <t xml:space="preserve">  SG&amp;A</t>
        </is>
      </c>
      <c r="B12" s="21">
        <f>'Std AMAT'!B12</f>
        <v/>
      </c>
      <c r="C12" s="21">
        <f>'Std AMAT'!C12</f>
        <v/>
      </c>
      <c r="D12" s="21">
        <f>'Std AMAT'!D12</f>
        <v/>
      </c>
      <c r="E12" s="21">
        <f>'Std AMAT'!E12</f>
        <v/>
      </c>
      <c r="F12" s="21">
        <f>'Std AMAT'!F12</f>
        <v/>
      </c>
      <c r="G12" s="21">
        <f>'Std AMAT'!G12</f>
        <v/>
      </c>
    </row>
    <row r="13">
      <c r="A13" s="11" t="inlineStr">
        <is>
          <t xml:space="preserve">  R&amp;D</t>
        </is>
      </c>
      <c r="B13" s="21">
        <f>'Std AMAT'!B13</f>
        <v/>
      </c>
      <c r="C13" s="21">
        <f>'Std AMAT'!C13</f>
        <v/>
      </c>
      <c r="D13" s="21">
        <f>'Std AMAT'!D13</f>
        <v/>
      </c>
      <c r="E13" s="21">
        <f>'Std AMAT'!E13</f>
        <v/>
      </c>
      <c r="F13" s="21">
        <f>'Std AMAT'!F13</f>
        <v/>
      </c>
      <c r="G13" s="21">
        <f>'Std AMAT'!G13</f>
        <v/>
      </c>
    </row>
    <row r="14">
      <c r="A14" s="11" t="inlineStr">
        <is>
          <t xml:space="preserve">  Depreciation &amp; Amortization</t>
        </is>
      </c>
      <c r="B14" s="21">
        <f>'Std AMAT'!B14</f>
        <v/>
      </c>
      <c r="C14" s="21">
        <f>'Std AMAT'!C14</f>
        <v/>
      </c>
      <c r="D14" s="21">
        <f>'Std AMAT'!D14</f>
        <v/>
      </c>
      <c r="E14" s="21">
        <f>'Std AMAT'!E14</f>
        <v/>
      </c>
      <c r="F14" s="21">
        <f>'Std AMAT'!F14</f>
        <v/>
      </c>
      <c r="G14" s="21">
        <f>'Std AMAT'!G14</f>
        <v/>
      </c>
    </row>
    <row r="15">
      <c r="A15" s="11" t="inlineStr">
        <is>
          <t xml:space="preserve">  Other Operating Expense</t>
        </is>
      </c>
      <c r="B15" s="21">
        <f>'Std AMAT'!B15</f>
        <v/>
      </c>
      <c r="C15" s="21">
        <f>'Std AMAT'!C15</f>
        <v/>
      </c>
      <c r="D15" s="21">
        <f>'Std AMAT'!D15</f>
        <v/>
      </c>
      <c r="E15" s="21">
        <f>'Std AMAT'!E15</f>
        <v/>
      </c>
      <c r="F15" s="21">
        <f>'Std AMAT'!F15</f>
        <v/>
      </c>
      <c r="G15" s="21">
        <f>'Std AMAT'!G15</f>
        <v/>
      </c>
    </row>
    <row r="16">
      <c r="A16" s="24" t="inlineStr">
        <is>
          <t>Total Operating Expense</t>
        </is>
      </c>
      <c r="B16" s="36">
        <f>'Std AMAT'!B16</f>
        <v/>
      </c>
      <c r="C16" s="36">
        <f>'Std AMAT'!C16</f>
        <v/>
      </c>
      <c r="D16" s="36">
        <f>'Std AMAT'!D16</f>
        <v/>
      </c>
      <c r="E16" s="36">
        <f>'Std AMAT'!E16</f>
        <v/>
      </c>
      <c r="F16" s="36">
        <f>'Std AMAT'!F16</f>
        <v/>
      </c>
      <c r="G16" s="36">
        <f>'Std AMAT'!G16</f>
        <v/>
      </c>
    </row>
    <row r="17">
      <c r="A17" s="24" t="inlineStr">
        <is>
          <t>Recurring Operating Profit</t>
        </is>
      </c>
      <c r="B17" s="36">
        <f>'Std AMAT'!B17</f>
        <v/>
      </c>
      <c r="C17" s="36">
        <f>'Std AMAT'!C17</f>
        <v/>
      </c>
      <c r="D17" s="36">
        <f>'Std AMAT'!D17</f>
        <v/>
      </c>
      <c r="E17" s="36">
        <f>'Std AMAT'!E17</f>
        <v/>
      </c>
      <c r="F17" s="36">
        <f>'Std AMAT'!F17</f>
        <v/>
      </c>
      <c r="G17" s="36">
        <f>'Std AMAT'!G17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'Std AMAT'!B20</f>
        <v/>
      </c>
      <c r="C20" s="21">
        <f>'Std AMAT'!C20</f>
        <v/>
      </c>
      <c r="D20" s="21">
        <f>'Std AMAT'!D20</f>
        <v/>
      </c>
      <c r="E20" s="21">
        <f>'Std AMAT'!E20</f>
        <v/>
      </c>
      <c r="F20" s="21">
        <f>'Std AMAT'!F20</f>
        <v/>
      </c>
      <c r="G20" s="21">
        <f>'Std AMAT'!G20</f>
        <v/>
      </c>
    </row>
    <row r="21">
      <c r="A21" s="11" t="inlineStr">
        <is>
          <t xml:space="preserve">  Gain/Loss on Sale of Assets</t>
        </is>
      </c>
      <c r="B21" s="21">
        <f>'Std AMAT'!B21</f>
        <v/>
      </c>
      <c r="C21" s="21">
        <f>'Std AMAT'!C21</f>
        <v/>
      </c>
      <c r="D21" s="21">
        <f>'Std AMAT'!D21</f>
        <v/>
      </c>
      <c r="E21" s="21">
        <f>'Std AMAT'!E21</f>
        <v/>
      </c>
      <c r="F21" s="21">
        <f>'Std AMAT'!F21</f>
        <v/>
      </c>
      <c r="G21" s="21">
        <f>'Std AMAT'!G21</f>
        <v/>
      </c>
    </row>
    <row r="22">
      <c r="A22" s="11" t="inlineStr">
        <is>
          <t xml:space="preserve">  Asset Writedown</t>
        </is>
      </c>
      <c r="B22" s="21">
        <f>'Std AMAT'!B22</f>
        <v/>
      </c>
      <c r="C22" s="21">
        <f>'Std AMAT'!C22</f>
        <v/>
      </c>
      <c r="D22" s="21">
        <f>'Std AMAT'!D22</f>
        <v/>
      </c>
      <c r="E22" s="21">
        <f>'Std AMAT'!E22</f>
        <v/>
      </c>
      <c r="F22" s="21">
        <f>'Std AMAT'!F22</f>
        <v/>
      </c>
      <c r="G22" s="21">
        <f>'Std AMAT'!G22</f>
        <v/>
      </c>
    </row>
    <row r="23">
      <c r="A23" s="11" t="inlineStr">
        <is>
          <t xml:space="preserve">  Other Unusual Items</t>
        </is>
      </c>
      <c r="B23" s="21">
        <f>'Std AMAT'!B23</f>
        <v/>
      </c>
      <c r="C23" s="21">
        <f>'Std AMAT'!C23</f>
        <v/>
      </c>
      <c r="D23" s="21">
        <f>'Std AMAT'!D23</f>
        <v/>
      </c>
      <c r="E23" s="21">
        <f>'Std AMAT'!E23</f>
        <v/>
      </c>
      <c r="F23" s="21">
        <f>'Std AMAT'!F23</f>
        <v/>
      </c>
      <c r="G23" s="21">
        <f>'Std AMAT'!G23</f>
        <v/>
      </c>
    </row>
    <row r="24">
      <c r="A24" s="22" t="inlineStr">
        <is>
          <t>Total Non-recurring</t>
        </is>
      </c>
      <c r="B24" s="35">
        <f>'Std AMAT'!B24</f>
        <v/>
      </c>
      <c r="C24" s="35">
        <f>'Std AMAT'!C24</f>
        <v/>
      </c>
      <c r="D24" s="35">
        <f>'Std AMAT'!D24</f>
        <v/>
      </c>
      <c r="E24" s="35">
        <f>'Std AMAT'!E24</f>
        <v/>
      </c>
      <c r="F24" s="35">
        <f>'Std AMAT'!F24</f>
        <v/>
      </c>
      <c r="G24" s="35">
        <f>'Std AMAT'!G24</f>
        <v/>
      </c>
    </row>
    <row r="25">
      <c r="A25" s="24" t="inlineStr">
        <is>
          <t>EBIT</t>
        </is>
      </c>
      <c r="B25" s="36">
        <f>'Std AMAT'!B25</f>
        <v/>
      </c>
      <c r="C25" s="36">
        <f>'Std AMAT'!C25</f>
        <v/>
      </c>
      <c r="D25" s="36">
        <f>'Std AMAT'!D25</f>
        <v/>
      </c>
      <c r="E25" s="36">
        <f>'Std AMAT'!E25</f>
        <v/>
      </c>
      <c r="F25" s="36">
        <f>'Std AMAT'!F25</f>
        <v/>
      </c>
      <c r="G25" s="36">
        <f>'Std AMAT'!G25</f>
        <v/>
      </c>
    </row>
    <row r="26"/>
    <row r="27">
      <c r="A27" s="11" t="inlineStr">
        <is>
          <t xml:space="preserve">  Investment Income (Equity Method)</t>
        </is>
      </c>
      <c r="B27" s="21">
        <f>'Std AMAT'!B27</f>
        <v/>
      </c>
      <c r="C27" s="21">
        <f>'Std AMAT'!C27</f>
        <v/>
      </c>
      <c r="D27" s="21">
        <f>'Std AMAT'!D27</f>
        <v/>
      </c>
      <c r="E27" s="21">
        <f>'Std AMAT'!E27</f>
        <v/>
      </c>
      <c r="F27" s="21">
        <f>'Std AMAT'!F27</f>
        <v/>
      </c>
      <c r="G27" s="21">
        <f>'Std AMAT'!G27</f>
        <v/>
      </c>
    </row>
    <row r="28">
      <c r="A28" s="11" t="inlineStr">
        <is>
          <t xml:space="preserve">  Interest Income</t>
        </is>
      </c>
      <c r="B28" s="21">
        <f>'Std AMAT'!B28</f>
        <v/>
      </c>
      <c r="C28" s="21">
        <f>'Std AMAT'!C28</f>
        <v/>
      </c>
      <c r="D28" s="21">
        <f>'Std AMAT'!D28</f>
        <v/>
      </c>
      <c r="E28" s="21">
        <f>'Std AMAT'!E28</f>
        <v/>
      </c>
      <c r="F28" s="21">
        <f>'Std AMAT'!F28</f>
        <v/>
      </c>
      <c r="G28" s="21">
        <f>'Std AMAT'!G28</f>
        <v/>
      </c>
    </row>
    <row r="29">
      <c r="A29" s="11" t="inlineStr">
        <is>
          <t xml:space="preserve">  Interest Expense</t>
        </is>
      </c>
      <c r="B29" s="21">
        <f>'Std AMAT'!B29</f>
        <v/>
      </c>
      <c r="C29" s="21">
        <f>'Std AMAT'!C29</f>
        <v/>
      </c>
      <c r="D29" s="21">
        <f>'Std AMAT'!D29</f>
        <v/>
      </c>
      <c r="E29" s="21">
        <f>'Std AMAT'!E29</f>
        <v/>
      </c>
      <c r="F29" s="21">
        <f>'Std AMAT'!F29</f>
        <v/>
      </c>
      <c r="G29" s="21">
        <f>'Std AMAT'!G29</f>
        <v/>
      </c>
    </row>
    <row r="30">
      <c r="A30" s="11" t="inlineStr">
        <is>
          <t xml:space="preserve">  FX Gains/(Losses)</t>
        </is>
      </c>
      <c r="B30" s="21">
        <f>'Std AMAT'!B30</f>
        <v/>
      </c>
      <c r="C30" s="21">
        <f>'Std AMAT'!C30</f>
        <v/>
      </c>
      <c r="D30" s="21">
        <f>'Std AMAT'!D30</f>
        <v/>
      </c>
      <c r="E30" s="21">
        <f>'Std AMAT'!E30</f>
        <v/>
      </c>
      <c r="F30" s="21">
        <f>'Std AMAT'!F30</f>
        <v/>
      </c>
      <c r="G30" s="21">
        <f>'Std AMAT'!G30</f>
        <v/>
      </c>
    </row>
    <row r="31">
      <c r="A31" s="22" t="inlineStr">
        <is>
          <t>Profit Before Tax</t>
        </is>
      </c>
      <c r="B31" s="35">
        <f>'Std AMAT'!B31</f>
        <v/>
      </c>
      <c r="C31" s="35">
        <f>'Std AMAT'!C31</f>
        <v/>
      </c>
      <c r="D31" s="35">
        <f>'Std AMAT'!D31</f>
        <v/>
      </c>
      <c r="E31" s="35">
        <f>'Std AMAT'!E31</f>
        <v/>
      </c>
      <c r="F31" s="35">
        <f>'Std AMAT'!F31</f>
        <v/>
      </c>
      <c r="G31" s="35">
        <f>'Std AMAT'!G31</f>
        <v/>
      </c>
    </row>
    <row r="32">
      <c r="A32" s="11" t="inlineStr">
        <is>
          <t xml:space="preserve">  Tax Expense</t>
        </is>
      </c>
      <c r="B32" s="21">
        <f>'Std AMAT'!B32</f>
        <v/>
      </c>
      <c r="C32" s="21">
        <f>'Std AMAT'!C32</f>
        <v/>
      </c>
      <c r="D32" s="21">
        <f>'Std AMAT'!D32</f>
        <v/>
      </c>
      <c r="E32" s="21">
        <f>'Std AMAT'!E32</f>
        <v/>
      </c>
      <c r="F32" s="21">
        <f>'Std AMAT'!F32</f>
        <v/>
      </c>
      <c r="G32" s="21">
        <f>'Std AMAT'!G32</f>
        <v/>
      </c>
    </row>
    <row r="33">
      <c r="A33" s="26" t="inlineStr">
        <is>
          <t>Net Income</t>
        </is>
      </c>
      <c r="B33" s="37">
        <f>'Std AMAT'!B33</f>
        <v/>
      </c>
      <c r="C33" s="37">
        <f>'Std AMAT'!C33</f>
        <v/>
      </c>
      <c r="D33" s="37">
        <f>'Std AMAT'!D33</f>
        <v/>
      </c>
      <c r="E33" s="37">
        <f>'Std AMAT'!E33</f>
        <v/>
      </c>
      <c r="F33" s="37">
        <f>'Std AMAT'!F33</f>
        <v/>
      </c>
      <c r="G33" s="37">
        <f>'Std AMAT'!G33</f>
        <v/>
      </c>
    </row>
    <row r="34"/>
    <row r="35">
      <c r="A35" s="11" t="inlineStr">
        <is>
          <t>Effective Tax Rate</t>
        </is>
      </c>
      <c r="B35" s="18">
        <f>'Std AMAT'!B35</f>
        <v/>
      </c>
      <c r="C35" s="18">
        <f>'Std AMAT'!C35</f>
        <v/>
      </c>
      <c r="D35" s="18">
        <f>'Std AMAT'!D35</f>
        <v/>
      </c>
      <c r="E35" s="18">
        <f>'Std AMAT'!E35</f>
        <v/>
      </c>
      <c r="F35" s="18">
        <f>'Std AMAT'!F35</f>
        <v/>
      </c>
      <c r="G35" s="18">
        <f>'Std AMAT'!G35</f>
        <v/>
      </c>
    </row>
    <row r="36">
      <c r="A36" s="22" t="inlineStr">
        <is>
          <t>NOPAT</t>
        </is>
      </c>
      <c r="B36" s="35">
        <f>'Std AMAT'!B36</f>
        <v/>
      </c>
      <c r="C36" s="35">
        <f>'Std AMAT'!C36</f>
        <v/>
      </c>
      <c r="D36" s="35">
        <f>'Std AMAT'!D36</f>
        <v/>
      </c>
      <c r="E36" s="35">
        <f>'Std AMAT'!E36</f>
        <v/>
      </c>
      <c r="F36" s="35">
        <f>'Std AMAT'!F36</f>
        <v/>
      </c>
      <c r="G36" s="35">
        <f>'Std AMAT'!G36</f>
        <v/>
      </c>
    </row>
    <row r="37"/>
    <row r="38">
      <c r="A38" s="11" t="inlineStr">
        <is>
          <t>Shares Outstanding (diluted)</t>
        </is>
      </c>
      <c r="B38" s="21">
        <f>'Std AMAT'!B38</f>
        <v/>
      </c>
      <c r="C38" s="21">
        <f>'Std AMAT'!C38</f>
        <v/>
      </c>
      <c r="D38" s="21">
        <f>'Std AMAT'!D38</f>
        <v/>
      </c>
      <c r="E38" s="21">
        <f>'Std AMAT'!E38</f>
        <v/>
      </c>
      <c r="F38" s="21">
        <f>'Std AMAT'!F38</f>
        <v/>
      </c>
      <c r="G38" s="21">
        <f>'Std AMAT'!G38</f>
        <v/>
      </c>
    </row>
    <row r="39">
      <c r="A39" s="11" t="inlineStr">
        <is>
          <t>EPS (diluted)</t>
        </is>
      </c>
      <c r="B39" s="30">
        <f>'Std AMAT'!B39</f>
        <v/>
      </c>
      <c r="C39" s="30">
        <f>'Std AMAT'!C39</f>
        <v/>
      </c>
      <c r="D39" s="30">
        <f>'Std AMAT'!D39</f>
        <v/>
      </c>
      <c r="E39" s="30">
        <f>'Std AMAT'!E39</f>
        <v/>
      </c>
      <c r="F39" s="30">
        <f>'Std AMAT'!F39</f>
        <v/>
      </c>
      <c r="G39" s="30">
        <f>'Std AMAT'!G39</f>
        <v/>
      </c>
    </row>
    <row r="40">
      <c r="A40" s="11" t="inlineStr">
        <is>
          <t>Dividends per Share</t>
        </is>
      </c>
      <c r="B40" s="30">
        <f>'Std AMAT'!B40</f>
        <v/>
      </c>
      <c r="C40" s="30">
        <f>'Std AMAT'!C40</f>
        <v/>
      </c>
      <c r="D40" s="30">
        <f>'Std AMAT'!D40</f>
        <v/>
      </c>
      <c r="E40" s="30">
        <f>'Std AMAT'!E40</f>
        <v/>
      </c>
      <c r="F40" s="30">
        <f>'Std AMAT'!F40</f>
        <v/>
      </c>
      <c r="G40" s="30">
        <f>'Std AMAT'!G40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'Std AMAT'!B45</f>
        <v/>
      </c>
      <c r="C45" s="21">
        <f>'Std AMAT'!C45</f>
        <v/>
      </c>
      <c r="D45" s="21">
        <f>'Std AMAT'!D45</f>
        <v/>
      </c>
      <c r="E45" s="21">
        <f>'Std AMAT'!E45</f>
        <v/>
      </c>
      <c r="F45" s="21">
        <f>'Std AMAT'!F45</f>
        <v/>
      </c>
      <c r="G45" s="21">
        <f>'Std AMAT'!G45</f>
        <v/>
      </c>
    </row>
    <row r="46">
      <c r="A46" s="11" t="inlineStr">
        <is>
          <t xml:space="preserve">  + Other Receivables</t>
        </is>
      </c>
      <c r="B46" s="21">
        <f>'Std AMAT'!B46</f>
        <v/>
      </c>
      <c r="C46" s="21">
        <f>'Std AMAT'!C46</f>
        <v/>
      </c>
      <c r="D46" s="21">
        <f>'Std AMAT'!D46</f>
        <v/>
      </c>
      <c r="E46" s="21">
        <f>'Std AMAT'!E46</f>
        <v/>
      </c>
      <c r="F46" s="21">
        <f>'Std AMAT'!F46</f>
        <v/>
      </c>
      <c r="G46" s="21">
        <f>'Std AMAT'!G46</f>
        <v/>
      </c>
    </row>
    <row r="47">
      <c r="A47" s="11" t="inlineStr">
        <is>
          <t xml:space="preserve">  + Inventories</t>
        </is>
      </c>
      <c r="B47" s="21">
        <f>'Std AMAT'!B47</f>
        <v/>
      </c>
      <c r="C47" s="21">
        <f>'Std AMAT'!C47</f>
        <v/>
      </c>
      <c r="D47" s="21">
        <f>'Std AMAT'!D47</f>
        <v/>
      </c>
      <c r="E47" s="21">
        <f>'Std AMAT'!E47</f>
        <v/>
      </c>
      <c r="F47" s="21">
        <f>'Std AMAT'!F47</f>
        <v/>
      </c>
      <c r="G47" s="21">
        <f>'Std AMAT'!G47</f>
        <v/>
      </c>
    </row>
    <row r="48">
      <c r="A48" s="11" t="inlineStr">
        <is>
          <t xml:space="preserve">  + Prepaid &amp; Other CA</t>
        </is>
      </c>
      <c r="B48" s="21">
        <f>'Std AMAT'!B48</f>
        <v/>
      </c>
      <c r="C48" s="21">
        <f>'Std AMAT'!C48</f>
        <v/>
      </c>
      <c r="D48" s="21">
        <f>'Std AMAT'!D48</f>
        <v/>
      </c>
      <c r="E48" s="21">
        <f>'Std AMAT'!E48</f>
        <v/>
      </c>
      <c r="F48" s="21">
        <f>'Std AMAT'!F48</f>
        <v/>
      </c>
      <c r="G48" s="21">
        <f>'Std AMAT'!G48</f>
        <v/>
      </c>
    </row>
    <row r="49">
      <c r="A49" s="11" t="inlineStr">
        <is>
          <t xml:space="preserve">  - Accounts Payable</t>
        </is>
      </c>
      <c r="B49" s="21">
        <f>'Std AMAT'!B49</f>
        <v/>
      </c>
      <c r="C49" s="21">
        <f>'Std AMAT'!C49</f>
        <v/>
      </c>
      <c r="D49" s="21">
        <f>'Std AMAT'!D49</f>
        <v/>
      </c>
      <c r="E49" s="21">
        <f>'Std AMAT'!E49</f>
        <v/>
      </c>
      <c r="F49" s="21">
        <f>'Std AMAT'!F49</f>
        <v/>
      </c>
      <c r="G49" s="21">
        <f>'Std AMAT'!G49</f>
        <v/>
      </c>
    </row>
    <row r="50">
      <c r="A50" s="11" t="inlineStr">
        <is>
          <t xml:space="preserve">  - Accrued Expenses</t>
        </is>
      </c>
      <c r="B50" s="21">
        <f>'Std AMAT'!B50</f>
        <v/>
      </c>
      <c r="C50" s="21">
        <f>'Std AMAT'!C50</f>
        <v/>
      </c>
      <c r="D50" s="21">
        <f>'Std AMAT'!D50</f>
        <v/>
      </c>
      <c r="E50" s="21">
        <f>'Std AMAT'!E50</f>
        <v/>
      </c>
      <c r="F50" s="21">
        <f>'Std AMAT'!F50</f>
        <v/>
      </c>
      <c r="G50" s="21">
        <f>'Std AMAT'!G50</f>
        <v/>
      </c>
    </row>
    <row r="51">
      <c r="A51" s="11" t="inlineStr">
        <is>
          <t xml:space="preserve">  - Unearned Revenue / Contract Liabilities</t>
        </is>
      </c>
      <c r="B51" s="21">
        <f>'Std AMAT'!B51</f>
        <v/>
      </c>
      <c r="C51" s="21">
        <f>'Std AMAT'!C51</f>
        <v/>
      </c>
      <c r="D51" s="21">
        <f>'Std AMAT'!D51</f>
        <v/>
      </c>
      <c r="E51" s="21">
        <f>'Std AMAT'!E51</f>
        <v/>
      </c>
      <c r="F51" s="21">
        <f>'Std AMAT'!F51</f>
        <v/>
      </c>
      <c r="G51" s="21">
        <f>'Std AMAT'!G51</f>
        <v/>
      </c>
    </row>
    <row r="52">
      <c r="A52" s="11" t="inlineStr">
        <is>
          <t xml:space="preserve">  - Income Taxes Payable</t>
        </is>
      </c>
      <c r="B52" s="21">
        <f>'Std AMAT'!B52</f>
        <v/>
      </c>
      <c r="C52" s="21">
        <f>'Std AMAT'!C52</f>
        <v/>
      </c>
      <c r="D52" s="21">
        <f>'Std AMAT'!D52</f>
        <v/>
      </c>
      <c r="E52" s="21">
        <f>'Std AMAT'!E52</f>
        <v/>
      </c>
      <c r="F52" s="21">
        <f>'Std AMAT'!F52</f>
        <v/>
      </c>
      <c r="G52" s="21">
        <f>'Std AMAT'!G52</f>
        <v/>
      </c>
    </row>
    <row r="53">
      <c r="A53" s="11" t="inlineStr">
        <is>
          <t xml:space="preserve">  - Other Current Liabilities</t>
        </is>
      </c>
      <c r="B53" s="21">
        <f>'Std AMAT'!B53</f>
        <v/>
      </c>
      <c r="C53" s="21">
        <f>'Std AMAT'!C53</f>
        <v/>
      </c>
      <c r="D53" s="21">
        <f>'Std AMAT'!D53</f>
        <v/>
      </c>
      <c r="E53" s="21">
        <f>'Std AMAT'!E53</f>
        <v/>
      </c>
      <c r="F53" s="21">
        <f>'Std AMAT'!F53</f>
        <v/>
      </c>
      <c r="G53" s="21">
        <f>'Std AMAT'!G53</f>
        <v/>
      </c>
    </row>
    <row r="54">
      <c r="A54" s="24">
        <f> Operating Working Capital</f>
        <v/>
      </c>
      <c r="B54" s="36">
        <f>'Std AMAT'!B54</f>
        <v/>
      </c>
      <c r="C54" s="36">
        <f>'Std AMAT'!C54</f>
        <v/>
      </c>
      <c r="D54" s="36">
        <f>'Std AMAT'!D54</f>
        <v/>
      </c>
      <c r="E54" s="36">
        <f>'Std AMAT'!E54</f>
        <v/>
      </c>
      <c r="F54" s="36">
        <f>'Std AMAT'!F54</f>
        <v/>
      </c>
      <c r="G54" s="36">
        <f>'Std AMAT'!G54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'Std AMAT'!B57</f>
        <v/>
      </c>
      <c r="C57" s="21">
        <f>'Std AMAT'!C57</f>
        <v/>
      </c>
      <c r="D57" s="21">
        <f>'Std AMAT'!D57</f>
        <v/>
      </c>
      <c r="E57" s="21">
        <f>'Std AMAT'!E57</f>
        <v/>
      </c>
      <c r="F57" s="21">
        <f>'Std AMAT'!F57</f>
        <v/>
      </c>
      <c r="G57" s="21">
        <f>'Std AMAT'!G57</f>
        <v/>
      </c>
    </row>
    <row r="58">
      <c r="A58" s="11" t="inlineStr">
        <is>
          <t xml:space="preserve">  + Goodwill</t>
        </is>
      </c>
      <c r="B58" s="21">
        <f>'Std AMAT'!B58</f>
        <v/>
      </c>
      <c r="C58" s="21">
        <f>'Std AMAT'!C58</f>
        <v/>
      </c>
      <c r="D58" s="21">
        <f>'Std AMAT'!D58</f>
        <v/>
      </c>
      <c r="E58" s="21">
        <f>'Std AMAT'!E58</f>
        <v/>
      </c>
      <c r="F58" s="21">
        <f>'Std AMAT'!F58</f>
        <v/>
      </c>
      <c r="G58" s="21">
        <f>'Std AMAT'!G58</f>
        <v/>
      </c>
    </row>
    <row r="59">
      <c r="A59" s="11" t="inlineStr">
        <is>
          <t xml:space="preserve">  + Other Intangible Assets</t>
        </is>
      </c>
      <c r="B59" s="21">
        <f>'Std AMAT'!B59</f>
        <v/>
      </c>
      <c r="C59" s="21">
        <f>'Std AMAT'!C59</f>
        <v/>
      </c>
      <c r="D59" s="21">
        <f>'Std AMAT'!D59</f>
        <v/>
      </c>
      <c r="E59" s="21">
        <f>'Std AMAT'!E59</f>
        <v/>
      </c>
      <c r="F59" s="21">
        <f>'Std AMAT'!F59</f>
        <v/>
      </c>
      <c r="G59" s="21">
        <f>'Std AMAT'!G59</f>
        <v/>
      </c>
    </row>
    <row r="60">
      <c r="A60" s="11" t="inlineStr">
        <is>
          <t xml:space="preserve">  + Deferred Tax Assets</t>
        </is>
      </c>
      <c r="B60" s="21">
        <f>'Std AMAT'!B60</f>
        <v/>
      </c>
      <c r="C60" s="21">
        <f>'Std AMAT'!C60</f>
        <v/>
      </c>
      <c r="D60" s="21">
        <f>'Std AMAT'!D60</f>
        <v/>
      </c>
      <c r="E60" s="21">
        <f>'Std AMAT'!E60</f>
        <v/>
      </c>
      <c r="F60" s="21">
        <f>'Std AMAT'!F60</f>
        <v/>
      </c>
      <c r="G60" s="21">
        <f>'Std AMAT'!G60</f>
        <v/>
      </c>
    </row>
    <row r="61">
      <c r="A61" s="11" t="inlineStr">
        <is>
          <t xml:space="preserve">  + Deferred Charges &amp; LT Intangibles</t>
        </is>
      </c>
      <c r="B61" s="21">
        <f>'Std AMAT'!B61</f>
        <v/>
      </c>
      <c r="C61" s="21">
        <f>'Std AMAT'!C61</f>
        <v/>
      </c>
      <c r="D61" s="21">
        <f>'Std AMAT'!D61</f>
        <v/>
      </c>
      <c r="E61" s="21">
        <f>'Std AMAT'!E61</f>
        <v/>
      </c>
      <c r="F61" s="21">
        <f>'Std AMAT'!F61</f>
        <v/>
      </c>
      <c r="G61" s="21">
        <f>'Std AMAT'!G61</f>
        <v/>
      </c>
    </row>
    <row r="62">
      <c r="A62" s="11" t="inlineStr">
        <is>
          <t xml:space="preserve">  + Other Non-Current Assets</t>
        </is>
      </c>
      <c r="B62" s="21">
        <f>'Std AMAT'!B62</f>
        <v/>
      </c>
      <c r="C62" s="21">
        <f>'Std AMAT'!C62</f>
        <v/>
      </c>
      <c r="D62" s="21">
        <f>'Std AMAT'!D62</f>
        <v/>
      </c>
      <c r="E62" s="21">
        <f>'Std AMAT'!E62</f>
        <v/>
      </c>
      <c r="F62" s="21">
        <f>'Std AMAT'!F62</f>
        <v/>
      </c>
      <c r="G62" s="21">
        <f>'Std AMAT'!G62</f>
        <v/>
      </c>
    </row>
    <row r="63">
      <c r="A63" s="11" t="inlineStr">
        <is>
          <t xml:space="preserve">  - Deferred Tax Liabilities</t>
        </is>
      </c>
      <c r="B63" s="21">
        <f>'Std AMAT'!B63</f>
        <v/>
      </c>
      <c r="C63" s="21">
        <f>'Std AMAT'!C63</f>
        <v/>
      </c>
      <c r="D63" s="21">
        <f>'Std AMAT'!D63</f>
        <v/>
      </c>
      <c r="E63" s="21">
        <f>'Std AMAT'!E63</f>
        <v/>
      </c>
      <c r="F63" s="21">
        <f>'Std AMAT'!F63</f>
        <v/>
      </c>
      <c r="G63" s="21">
        <f>'Std AMAT'!G63</f>
        <v/>
      </c>
    </row>
    <row r="64">
      <c r="A64" s="11" t="inlineStr">
        <is>
          <t xml:space="preserve">  - Other Non-Current Liabilities</t>
        </is>
      </c>
      <c r="B64" s="21">
        <f>'Std AMAT'!B64</f>
        <v/>
      </c>
      <c r="C64" s="21">
        <f>'Std AMAT'!C64</f>
        <v/>
      </c>
      <c r="D64" s="21">
        <f>'Std AMAT'!D64</f>
        <v/>
      </c>
      <c r="E64" s="21">
        <f>'Std AMAT'!E64</f>
        <v/>
      </c>
      <c r="F64" s="21">
        <f>'Std AMAT'!F64</f>
        <v/>
      </c>
      <c r="G64" s="21">
        <f>'Std AMAT'!G64</f>
        <v/>
      </c>
    </row>
    <row r="65">
      <c r="A65" s="24">
        <f> Net Non-Current Operating Assets</f>
        <v/>
      </c>
      <c r="B65" s="36">
        <f>'Std AMAT'!B65</f>
        <v/>
      </c>
      <c r="C65" s="36">
        <f>'Std AMAT'!C65</f>
        <v/>
      </c>
      <c r="D65" s="36">
        <f>'Std AMAT'!D65</f>
        <v/>
      </c>
      <c r="E65" s="36">
        <f>'Std AMAT'!E65</f>
        <v/>
      </c>
      <c r="F65" s="36">
        <f>'Std AMAT'!F65</f>
        <v/>
      </c>
      <c r="G65" s="36">
        <f>'Std AMAT'!G65</f>
        <v/>
      </c>
    </row>
    <row r="66"/>
    <row r="67">
      <c r="A67" s="24">
        <f> Net Operating Assets</f>
        <v/>
      </c>
      <c r="B67" s="36">
        <f>'Std AMAT'!B67</f>
        <v/>
      </c>
      <c r="C67" s="36">
        <f>'Std AMAT'!C67</f>
        <v/>
      </c>
      <c r="D67" s="36">
        <f>'Std AMAT'!D67</f>
        <v/>
      </c>
      <c r="E67" s="36">
        <f>'Std AMAT'!E67</f>
        <v/>
      </c>
      <c r="F67" s="36">
        <f>'Std AMAT'!F67</f>
        <v/>
      </c>
      <c r="G67" s="36">
        <f>'Std AMAT'!G67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'Std AMAT'!B70</f>
        <v/>
      </c>
      <c r="C70" s="21">
        <f>'Std AMAT'!C70</f>
        <v/>
      </c>
      <c r="D70" s="21">
        <f>'Std AMAT'!D70</f>
        <v/>
      </c>
      <c r="E70" s="21">
        <f>'Std AMAT'!E70</f>
        <v/>
      </c>
      <c r="F70" s="21">
        <f>'Std AMAT'!F70</f>
        <v/>
      </c>
      <c r="G70" s="21">
        <f>'Std AMAT'!G70</f>
        <v/>
      </c>
    </row>
    <row r="71">
      <c r="A71" s="24">
        <f> Total Investment Assets</f>
        <v/>
      </c>
      <c r="B71" s="36">
        <f>'Std AMAT'!B71</f>
        <v/>
      </c>
      <c r="C71" s="36">
        <f>'Std AMAT'!C71</f>
        <v/>
      </c>
      <c r="D71" s="36">
        <f>'Std AMAT'!D71</f>
        <v/>
      </c>
      <c r="E71" s="36">
        <f>'Std AMAT'!E71</f>
        <v/>
      </c>
      <c r="F71" s="36">
        <f>'Std AMAT'!F71</f>
        <v/>
      </c>
      <c r="G71" s="36">
        <f>'Std AMAT'!G71</f>
        <v/>
      </c>
    </row>
    <row r="72"/>
    <row r="73">
      <c r="A73" s="26">
        <f> Business Assets</f>
        <v/>
      </c>
      <c r="B73" s="37">
        <f>'Std AMAT'!B73</f>
        <v/>
      </c>
      <c r="C73" s="37">
        <f>'Std AMAT'!C73</f>
        <v/>
      </c>
      <c r="D73" s="37">
        <f>'Std AMAT'!D73</f>
        <v/>
      </c>
      <c r="E73" s="37">
        <f>'Std AMAT'!E73</f>
        <v/>
      </c>
      <c r="F73" s="37">
        <f>'Std AMAT'!F73</f>
        <v/>
      </c>
      <c r="G73" s="37">
        <f>'Std AMAT'!G73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'Std AMAT'!B76</f>
        <v/>
      </c>
      <c r="C76" s="21">
        <f>'Std AMAT'!C76</f>
        <v/>
      </c>
      <c r="D76" s="21">
        <f>'Std AMAT'!D76</f>
        <v/>
      </c>
      <c r="E76" s="21">
        <f>'Std AMAT'!E76</f>
        <v/>
      </c>
      <c r="F76" s="21">
        <f>'Std AMAT'!F76</f>
        <v/>
      </c>
      <c r="G76" s="21">
        <f>'Std AMAT'!G76</f>
        <v/>
      </c>
    </row>
    <row r="77">
      <c r="A77" s="11" t="inlineStr">
        <is>
          <t xml:space="preserve">  + Lease Liabilities (non-current)</t>
        </is>
      </c>
      <c r="B77" s="21">
        <f>'Std AMAT'!B77</f>
        <v/>
      </c>
      <c r="C77" s="21">
        <f>'Std AMAT'!C77</f>
        <v/>
      </c>
      <c r="D77" s="21">
        <f>'Std AMAT'!D77</f>
        <v/>
      </c>
      <c r="E77" s="21">
        <f>'Std AMAT'!E77</f>
        <v/>
      </c>
      <c r="F77" s="21">
        <f>'Std AMAT'!F77</f>
        <v/>
      </c>
      <c r="G77" s="21">
        <f>'Std AMAT'!G77</f>
        <v/>
      </c>
    </row>
    <row r="78">
      <c r="A78" s="24">
        <f> Total Debt</f>
        <v/>
      </c>
      <c r="B78" s="36">
        <f>'Std AMAT'!B78</f>
        <v/>
      </c>
      <c r="C78" s="36">
        <f>'Std AMAT'!C78</f>
        <v/>
      </c>
      <c r="D78" s="36">
        <f>'Std AMAT'!D78</f>
        <v/>
      </c>
      <c r="E78" s="36">
        <f>'Std AMAT'!E78</f>
        <v/>
      </c>
      <c r="F78" s="36">
        <f>'Std AMAT'!F78</f>
        <v/>
      </c>
      <c r="G78" s="36">
        <f>'Std AMAT'!G78</f>
        <v/>
      </c>
    </row>
    <row r="79">
      <c r="A79" s="11" t="inlineStr">
        <is>
          <t xml:space="preserve">  Cash &amp; Equivalents</t>
        </is>
      </c>
      <c r="B79" s="21">
        <f>'Std AMAT'!B79</f>
        <v/>
      </c>
      <c r="C79" s="21">
        <f>'Std AMAT'!C79</f>
        <v/>
      </c>
      <c r="D79" s="21">
        <f>'Std AMAT'!D79</f>
        <v/>
      </c>
      <c r="E79" s="21">
        <f>'Std AMAT'!E79</f>
        <v/>
      </c>
      <c r="F79" s="21">
        <f>'Std AMAT'!F79</f>
        <v/>
      </c>
      <c r="G79" s="21">
        <f>'Std AMAT'!G79</f>
        <v/>
      </c>
    </row>
    <row r="80">
      <c r="A80" s="22">
        <f> Net Debt</f>
        <v/>
      </c>
      <c r="B80" s="35">
        <f>'Std AMAT'!B80</f>
        <v/>
      </c>
      <c r="C80" s="35">
        <f>'Std AMAT'!C80</f>
        <v/>
      </c>
      <c r="D80" s="35">
        <f>'Std AMAT'!D80</f>
        <v/>
      </c>
      <c r="E80" s="35">
        <f>'Std AMAT'!E80</f>
        <v/>
      </c>
      <c r="F80" s="35">
        <f>'Std AMAT'!F80</f>
        <v/>
      </c>
      <c r="G80" s="35">
        <f>'Std AMAT'!G80</f>
        <v/>
      </c>
    </row>
    <row r="81">
      <c r="A81" s="11" t="inlineStr">
        <is>
          <t>Group Equity</t>
        </is>
      </c>
      <c r="B81" s="21">
        <f>'Std AMAT'!B81</f>
        <v/>
      </c>
      <c r="C81" s="21">
        <f>'Std AMAT'!C81</f>
        <v/>
      </c>
      <c r="D81" s="21">
        <f>'Std AMAT'!D81</f>
        <v/>
      </c>
      <c r="E81" s="21">
        <f>'Std AMAT'!E81</f>
        <v/>
      </c>
      <c r="F81" s="21">
        <f>'Std AMAT'!F81</f>
        <v/>
      </c>
      <c r="G81" s="21">
        <f>'Std AMAT'!G81</f>
        <v/>
      </c>
    </row>
    <row r="82">
      <c r="A82" s="26">
        <f> Invested Capital</f>
        <v/>
      </c>
      <c r="B82" s="37">
        <f>'Std AMAT'!B82</f>
        <v/>
      </c>
      <c r="C82" s="37">
        <f>'Std AMAT'!C82</f>
        <v/>
      </c>
      <c r="D82" s="37">
        <f>'Std AMAT'!D82</f>
        <v/>
      </c>
      <c r="E82" s="37">
        <f>'Std AMAT'!E82</f>
        <v/>
      </c>
      <c r="F82" s="37">
        <f>'Std AMAT'!F82</f>
        <v/>
      </c>
      <c r="G82" s="37">
        <f>'Std AMAT'!G82</f>
        <v/>
      </c>
    </row>
    <row r="83">
      <c r="A83" s="22" t="inlineStr">
        <is>
          <t>BS Check (should = 0)</t>
        </is>
      </c>
      <c r="B83" s="35">
        <f>'Std AMAT'!B83</f>
        <v/>
      </c>
      <c r="C83" s="35">
        <f>'Std AMAT'!C83</f>
        <v/>
      </c>
      <c r="D83" s="35">
        <f>'Std AMAT'!D83</f>
        <v/>
      </c>
      <c r="E83" s="35">
        <f>'Std AMAT'!E83</f>
        <v/>
      </c>
      <c r="F83" s="35">
        <f>'Std AMAT'!F83</f>
        <v/>
      </c>
      <c r="G83" s="35">
        <f>'Std AMAT'!G83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21">
        <f>'Std AMAT'!B87</f>
        <v/>
      </c>
      <c r="C87" s="21">
        <f>'Std AMAT'!C87</f>
        <v/>
      </c>
      <c r="D87" s="21">
        <f>'Std AMAT'!D87</f>
        <v/>
      </c>
      <c r="E87" s="21">
        <f>'Std AMAT'!E87</f>
        <v/>
      </c>
      <c r="F87" s="21">
        <f>'Std AMAT'!F87</f>
        <v/>
      </c>
      <c r="G87" s="21">
        <f>'Std AMAT'!G87</f>
        <v/>
      </c>
    </row>
    <row r="88">
      <c r="A88" s="11" t="inlineStr">
        <is>
          <t>+ D&amp;A</t>
        </is>
      </c>
      <c r="B88" s="21">
        <f>'Std AMAT'!B88</f>
        <v/>
      </c>
      <c r="C88" s="21">
        <f>'Std AMAT'!C88</f>
        <v/>
      </c>
      <c r="D88" s="21">
        <f>'Std AMAT'!D88</f>
        <v/>
      </c>
      <c r="E88" s="21">
        <f>'Std AMAT'!E88</f>
        <v/>
      </c>
      <c r="F88" s="21">
        <f>'Std AMAT'!F88</f>
        <v/>
      </c>
      <c r="G88" s="21">
        <f>'Std AMAT'!G88</f>
        <v/>
      </c>
    </row>
    <row r="89">
      <c r="A89" s="11" t="inlineStr">
        <is>
          <t>- Change in OWC</t>
        </is>
      </c>
      <c r="B89" s="21">
        <f>'Std AMAT'!B89</f>
        <v/>
      </c>
      <c r="C89" s="21">
        <f>'Std AMAT'!C89</f>
        <v/>
      </c>
      <c r="D89" s="21">
        <f>'Std AMAT'!D89</f>
        <v/>
      </c>
      <c r="E89" s="21">
        <f>'Std AMAT'!E89</f>
        <v/>
      </c>
      <c r="F89" s="21">
        <f>'Std AMAT'!F89</f>
        <v/>
      </c>
      <c r="G89" s="21">
        <f>'Std AMAT'!G89</f>
        <v/>
      </c>
    </row>
    <row r="90">
      <c r="A90" s="11" t="inlineStr">
        <is>
          <t>- CapEx</t>
        </is>
      </c>
      <c r="B90" s="21">
        <f>'Std AMAT'!B90</f>
        <v/>
      </c>
      <c r="C90" s="21">
        <f>'Std AMAT'!C90</f>
        <v/>
      </c>
      <c r="D90" s="21">
        <f>'Std AMAT'!D90</f>
        <v/>
      </c>
      <c r="E90" s="21">
        <f>'Std AMAT'!E90</f>
        <v/>
      </c>
      <c r="F90" s="21">
        <f>'Std AMAT'!F90</f>
        <v/>
      </c>
      <c r="G90" s="21">
        <f>'Std AMAT'!G90</f>
        <v/>
      </c>
    </row>
    <row r="91">
      <c r="A91" s="11" t="inlineStr">
        <is>
          <t>- Purchase of Intangibles</t>
        </is>
      </c>
      <c r="B91" s="21">
        <f>'Std AMAT'!B91</f>
        <v/>
      </c>
      <c r="C91" s="21">
        <f>'Std AMAT'!C91</f>
        <v/>
      </c>
      <c r="D91" s="21">
        <f>'Std AMAT'!D91</f>
        <v/>
      </c>
      <c r="E91" s="21">
        <f>'Std AMAT'!E91</f>
        <v/>
      </c>
      <c r="F91" s="21">
        <f>'Std AMAT'!F91</f>
        <v/>
      </c>
      <c r="G91" s="21">
        <f>'Std AMAT'!G91</f>
        <v/>
      </c>
    </row>
    <row r="92">
      <c r="A92" s="24">
        <f> Operating CF after investment</f>
        <v/>
      </c>
      <c r="B92" s="36">
        <f>'Std AMAT'!B92</f>
        <v/>
      </c>
      <c r="C92" s="36">
        <f>'Std AMAT'!C92</f>
        <v/>
      </c>
      <c r="D92" s="36">
        <f>'Std AMAT'!D92</f>
        <v/>
      </c>
      <c r="E92" s="36">
        <f>'Std AMAT'!E92</f>
        <v/>
      </c>
      <c r="F92" s="36">
        <f>'Std AMAT'!F92</f>
        <v/>
      </c>
      <c r="G92" s="36">
        <f>'Std AMAT'!G92</f>
        <v/>
      </c>
    </row>
    <row r="93"/>
    <row r="94">
      <c r="A94" s="11" t="inlineStr">
        <is>
          <t>+ Net Investment Profit after tax</t>
        </is>
      </c>
      <c r="B94" s="21">
        <f>'Std AMAT'!B94</f>
        <v/>
      </c>
      <c r="C94" s="21">
        <f>'Std AMAT'!C94</f>
        <v/>
      </c>
      <c r="D94" s="21">
        <f>'Std AMAT'!D94</f>
        <v/>
      </c>
      <c r="E94" s="21">
        <f>'Std AMAT'!E94</f>
        <v/>
      </c>
      <c r="F94" s="21">
        <f>'Std AMAT'!F94</f>
        <v/>
      </c>
      <c r="G94" s="21">
        <f>'Std AMAT'!G94</f>
        <v/>
      </c>
    </row>
    <row r="95">
      <c r="A95" s="11" t="inlineStr">
        <is>
          <t>- Change in Investment Assets</t>
        </is>
      </c>
      <c r="B95" s="21">
        <f>'Std AMAT'!B95</f>
        <v/>
      </c>
      <c r="C95" s="21">
        <f>'Std AMAT'!C95</f>
        <v/>
      </c>
      <c r="D95" s="21">
        <f>'Std AMAT'!D95</f>
        <v/>
      </c>
      <c r="E95" s="21">
        <f>'Std AMAT'!E95</f>
        <v/>
      </c>
      <c r="F95" s="21">
        <f>'Std AMAT'!F95</f>
        <v/>
      </c>
      <c r="G95" s="21">
        <f>'Std AMAT'!G95</f>
        <v/>
      </c>
    </row>
    <row r="96">
      <c r="A96" s="24">
        <f> FCF to Debt &amp; Equity</f>
        <v/>
      </c>
      <c r="B96" s="36">
        <f>'Std AMAT'!B96</f>
        <v/>
      </c>
      <c r="C96" s="36">
        <f>'Std AMAT'!C96</f>
        <v/>
      </c>
      <c r="D96" s="36">
        <f>'Std AMAT'!D96</f>
        <v/>
      </c>
      <c r="E96" s="36">
        <f>'Std AMAT'!E96</f>
        <v/>
      </c>
      <c r="F96" s="36">
        <f>'Std AMAT'!F96</f>
        <v/>
      </c>
      <c r="G96" s="36">
        <f>'Std AMAT'!G96</f>
        <v/>
      </c>
    </row>
    <row r="97">
      <c r="A97" s="11" t="inlineStr">
        <is>
          <t>- Interest Expense after tax</t>
        </is>
      </c>
      <c r="B97" s="21">
        <f>'Std AMAT'!B97</f>
        <v/>
      </c>
      <c r="C97" s="21">
        <f>'Std AMAT'!C97</f>
        <v/>
      </c>
      <c r="D97" s="21">
        <f>'Std AMAT'!D97</f>
        <v/>
      </c>
      <c r="E97" s="21">
        <f>'Std AMAT'!E97</f>
        <v/>
      </c>
      <c r="F97" s="21">
        <f>'Std AMAT'!F97</f>
        <v/>
      </c>
      <c r="G97" s="21">
        <f>'Std AMAT'!G97</f>
        <v/>
      </c>
    </row>
    <row r="98">
      <c r="A98" s="11" t="inlineStr">
        <is>
          <t>+ Change in Debt</t>
        </is>
      </c>
      <c r="B98" s="21">
        <f>'Std AMAT'!B98</f>
        <v/>
      </c>
      <c r="C98" s="21">
        <f>'Std AMAT'!C98</f>
        <v/>
      </c>
      <c r="D98" s="21">
        <f>'Std AMAT'!D98</f>
        <v/>
      </c>
      <c r="E98" s="21">
        <f>'Std AMAT'!E98</f>
        <v/>
      </c>
      <c r="F98" s="21">
        <f>'Std AMAT'!F98</f>
        <v/>
      </c>
      <c r="G98" s="21">
        <f>'Std AMAT'!G98</f>
        <v/>
      </c>
    </row>
    <row r="99">
      <c r="A99" s="26">
        <f> FCF to Equity</f>
        <v/>
      </c>
      <c r="B99" s="37">
        <f>'Std AMAT'!B99</f>
        <v/>
      </c>
      <c r="C99" s="37">
        <f>'Std AMAT'!C99</f>
        <v/>
      </c>
      <c r="D99" s="37">
        <f>'Std AMAT'!D99</f>
        <v/>
      </c>
      <c r="E99" s="37">
        <f>'Std AMAT'!E99</f>
        <v/>
      </c>
      <c r="F99" s="37">
        <f>'Std AMAT'!F99</f>
        <v/>
      </c>
      <c r="G99" s="37">
        <f>'Std AMAT'!G99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Standardized Financial Statements - Lam Research Corporation</t>
        </is>
      </c>
    </row>
    <row r="2">
      <c r="A2" s="15" t="inlineStr">
        <is>
          <t>(EUR 000)</t>
        </is>
      </c>
    </row>
    <row r="3">
      <c r="B3" s="33">
        <f>'Std LRCX'!B3</f>
        <v/>
      </c>
      <c r="C3" s="33">
        <f>'Std LRCX'!C3</f>
        <v/>
      </c>
      <c r="D3" s="33">
        <f>'Std LRCX'!D3</f>
        <v/>
      </c>
      <c r="E3" s="33">
        <f>'Std LRCX'!E3</f>
        <v/>
      </c>
      <c r="F3" s="33">
        <f>'Std LRCX'!F3</f>
        <v/>
      </c>
      <c r="G3" s="33">
        <f>'Std LRCX'!G3</f>
        <v/>
      </c>
    </row>
    <row r="4"/>
    <row r="5">
      <c r="A5" s="11" t="inlineStr">
        <is>
          <t>Operating cash %</t>
        </is>
      </c>
      <c r="B5" s="34">
        <f>'Std LRCX'!B5</f>
        <v/>
      </c>
      <c r="C5" s="34">
        <f>'Std LRCX'!C5</f>
        <v/>
      </c>
      <c r="D5" s="34">
        <f>'Std LRCX'!D5</f>
        <v/>
      </c>
      <c r="E5" s="34">
        <f>'Std LRCX'!E5</f>
        <v/>
      </c>
      <c r="F5" s="34">
        <f>'Std LRCX'!F5</f>
        <v/>
      </c>
      <c r="G5" s="34">
        <f>'Std LRCX'!G5</f>
        <v/>
      </c>
    </row>
    <row r="6">
      <c r="A6" s="11" t="inlineStr">
        <is>
          <t>Tax rate (effective)</t>
        </is>
      </c>
      <c r="B6" s="18">
        <f>'Std LRCX'!B6</f>
        <v/>
      </c>
      <c r="C6" s="18">
        <f>'Std LRCX'!C6</f>
        <v/>
      </c>
      <c r="D6" s="18">
        <f>'Std LRCX'!D6</f>
        <v/>
      </c>
      <c r="E6" s="18">
        <f>'Std LRCX'!E6</f>
        <v/>
      </c>
      <c r="F6" s="18">
        <f>'Std LRCX'!F6</f>
        <v/>
      </c>
      <c r="G6" s="18">
        <f>'Std LRCX'!G6</f>
        <v/>
      </c>
    </row>
    <row r="7"/>
    <row r="8">
      <c r="A8" s="19" t="inlineStr">
        <is>
          <t>INCOME STATEMENT</t>
        </is>
      </c>
      <c r="B8" s="20" t="n"/>
      <c r="C8" s="20" t="n"/>
      <c r="D8" s="20" t="n"/>
      <c r="E8" s="20" t="n"/>
      <c r="F8" s="20" t="n"/>
      <c r="G8" s="20" t="n"/>
    </row>
    <row r="9">
      <c r="A9" s="11" t="inlineStr">
        <is>
          <t>Revenue</t>
        </is>
      </c>
      <c r="B9" s="21">
        <f>'Std LRCX'!B9</f>
        <v/>
      </c>
      <c r="C9" s="21">
        <f>'Std LRCX'!C9</f>
        <v/>
      </c>
      <c r="D9" s="21">
        <f>'Std LRCX'!D9</f>
        <v/>
      </c>
      <c r="E9" s="21">
        <f>'Std LRCX'!E9</f>
        <v/>
      </c>
      <c r="F9" s="21">
        <f>'Std LRCX'!F9</f>
        <v/>
      </c>
      <c r="G9" s="21">
        <f>'Std LRCX'!G9</f>
        <v/>
      </c>
    </row>
    <row r="10">
      <c r="A10" s="11" t="inlineStr">
        <is>
          <t>Cost of Sales</t>
        </is>
      </c>
      <c r="B10" s="21">
        <f>'Std LRCX'!B10</f>
        <v/>
      </c>
      <c r="C10" s="21">
        <f>'Std LRCX'!C10</f>
        <v/>
      </c>
      <c r="D10" s="21">
        <f>'Std LRCX'!D10</f>
        <v/>
      </c>
      <c r="E10" s="21">
        <f>'Std LRCX'!E10</f>
        <v/>
      </c>
      <c r="F10" s="21">
        <f>'Std LRCX'!F10</f>
        <v/>
      </c>
      <c r="G10" s="21">
        <f>'Std LRCX'!G10</f>
        <v/>
      </c>
    </row>
    <row r="11">
      <c r="A11" s="22" t="inlineStr">
        <is>
          <t>Gross Profit</t>
        </is>
      </c>
      <c r="B11" s="35">
        <f>'Std LRCX'!B11</f>
        <v/>
      </c>
      <c r="C11" s="35">
        <f>'Std LRCX'!C11</f>
        <v/>
      </c>
      <c r="D11" s="35">
        <f>'Std LRCX'!D11</f>
        <v/>
      </c>
      <c r="E11" s="35">
        <f>'Std LRCX'!E11</f>
        <v/>
      </c>
      <c r="F11" s="35">
        <f>'Std LRCX'!F11</f>
        <v/>
      </c>
      <c r="G11" s="35">
        <f>'Std LRCX'!G11</f>
        <v/>
      </c>
    </row>
    <row r="12">
      <c r="A12" s="11" t="inlineStr">
        <is>
          <t xml:space="preserve">  SG&amp;A</t>
        </is>
      </c>
      <c r="B12" s="21">
        <f>'Std LRCX'!B12</f>
        <v/>
      </c>
      <c r="C12" s="21">
        <f>'Std LRCX'!C12</f>
        <v/>
      </c>
      <c r="D12" s="21">
        <f>'Std LRCX'!D12</f>
        <v/>
      </c>
      <c r="E12" s="21">
        <f>'Std LRCX'!E12</f>
        <v/>
      </c>
      <c r="F12" s="21">
        <f>'Std LRCX'!F12</f>
        <v/>
      </c>
      <c r="G12" s="21">
        <f>'Std LRCX'!G12</f>
        <v/>
      </c>
    </row>
    <row r="13">
      <c r="A13" s="11" t="inlineStr">
        <is>
          <t xml:space="preserve">  R&amp;D</t>
        </is>
      </c>
      <c r="B13" s="21">
        <f>'Std LRCX'!B13</f>
        <v/>
      </c>
      <c r="C13" s="21">
        <f>'Std LRCX'!C13</f>
        <v/>
      </c>
      <c r="D13" s="21">
        <f>'Std LRCX'!D13</f>
        <v/>
      </c>
      <c r="E13" s="21">
        <f>'Std LRCX'!E13</f>
        <v/>
      </c>
      <c r="F13" s="21">
        <f>'Std LRCX'!F13</f>
        <v/>
      </c>
      <c r="G13" s="21">
        <f>'Std LRCX'!G13</f>
        <v/>
      </c>
    </row>
    <row r="14">
      <c r="A14" s="11" t="inlineStr">
        <is>
          <t xml:space="preserve">  Depreciation &amp; Amortization</t>
        </is>
      </c>
      <c r="B14" s="21">
        <f>'Std LRCX'!B14</f>
        <v/>
      </c>
      <c r="C14" s="21">
        <f>'Std LRCX'!C14</f>
        <v/>
      </c>
      <c r="D14" s="21">
        <f>'Std LRCX'!D14</f>
        <v/>
      </c>
      <c r="E14" s="21">
        <f>'Std LRCX'!E14</f>
        <v/>
      </c>
      <c r="F14" s="21">
        <f>'Std LRCX'!F14</f>
        <v/>
      </c>
      <c r="G14" s="21">
        <f>'Std LRCX'!G14</f>
        <v/>
      </c>
    </row>
    <row r="15">
      <c r="A15" s="11" t="inlineStr">
        <is>
          <t xml:space="preserve">  Other Operating Expense</t>
        </is>
      </c>
      <c r="B15" s="21">
        <f>'Std LRCX'!B15</f>
        <v/>
      </c>
      <c r="C15" s="21">
        <f>'Std LRCX'!C15</f>
        <v/>
      </c>
      <c r="D15" s="21">
        <f>'Std LRCX'!D15</f>
        <v/>
      </c>
      <c r="E15" s="21">
        <f>'Std LRCX'!E15</f>
        <v/>
      </c>
      <c r="F15" s="21">
        <f>'Std LRCX'!F15</f>
        <v/>
      </c>
      <c r="G15" s="21">
        <f>'Std LRCX'!G15</f>
        <v/>
      </c>
    </row>
    <row r="16">
      <c r="A16" s="24" t="inlineStr">
        <is>
          <t>Total Operating Expense</t>
        </is>
      </c>
      <c r="B16" s="36">
        <f>'Std LRCX'!B16</f>
        <v/>
      </c>
      <c r="C16" s="36">
        <f>'Std LRCX'!C16</f>
        <v/>
      </c>
      <c r="D16" s="36">
        <f>'Std LRCX'!D16</f>
        <v/>
      </c>
      <c r="E16" s="36">
        <f>'Std LRCX'!E16</f>
        <v/>
      </c>
      <c r="F16" s="36">
        <f>'Std LRCX'!F16</f>
        <v/>
      </c>
      <c r="G16" s="36">
        <f>'Std LRCX'!G16</f>
        <v/>
      </c>
    </row>
    <row r="17">
      <c r="A17" s="24" t="inlineStr">
        <is>
          <t>Recurring Operating Profit</t>
        </is>
      </c>
      <c r="B17" s="36">
        <f>'Std LRCX'!B17</f>
        <v/>
      </c>
      <c r="C17" s="36">
        <f>'Std LRCX'!C17</f>
        <v/>
      </c>
      <c r="D17" s="36">
        <f>'Std LRCX'!D17</f>
        <v/>
      </c>
      <c r="E17" s="36">
        <f>'Std LRCX'!E17</f>
        <v/>
      </c>
      <c r="F17" s="36">
        <f>'Std LRCX'!F17</f>
        <v/>
      </c>
      <c r="G17" s="36">
        <f>'Std LRCX'!G17</f>
        <v/>
      </c>
    </row>
    <row r="18"/>
    <row r="19">
      <c r="A19" s="22" t="inlineStr">
        <is>
          <t>Non-recurring items:</t>
        </is>
      </c>
    </row>
    <row r="20">
      <c r="A20" s="11" t="inlineStr">
        <is>
          <t xml:space="preserve">  Gain/Loss on Sale of Investments</t>
        </is>
      </c>
      <c r="B20" s="21">
        <f>'Std LRCX'!B20</f>
        <v/>
      </c>
      <c r="C20" s="21">
        <f>'Std LRCX'!C20</f>
        <v/>
      </c>
      <c r="D20" s="21">
        <f>'Std LRCX'!D20</f>
        <v/>
      </c>
      <c r="E20" s="21">
        <f>'Std LRCX'!E20</f>
        <v/>
      </c>
      <c r="F20" s="21">
        <f>'Std LRCX'!F20</f>
        <v/>
      </c>
      <c r="G20" s="21">
        <f>'Std LRCX'!G20</f>
        <v/>
      </c>
    </row>
    <row r="21">
      <c r="A21" s="11" t="inlineStr">
        <is>
          <t xml:space="preserve">  Gain/Loss on Sale of Assets</t>
        </is>
      </c>
      <c r="B21" s="21">
        <f>'Std LRCX'!B21</f>
        <v/>
      </c>
      <c r="C21" s="21">
        <f>'Std LRCX'!C21</f>
        <v/>
      </c>
      <c r="D21" s="21">
        <f>'Std LRCX'!D21</f>
        <v/>
      </c>
      <c r="E21" s="21">
        <f>'Std LRCX'!E21</f>
        <v/>
      </c>
      <c r="F21" s="21">
        <f>'Std LRCX'!F21</f>
        <v/>
      </c>
      <c r="G21" s="21">
        <f>'Std LRCX'!G21</f>
        <v/>
      </c>
    </row>
    <row r="22">
      <c r="A22" s="11" t="inlineStr">
        <is>
          <t xml:space="preserve">  Asset Writedown</t>
        </is>
      </c>
      <c r="B22" s="21">
        <f>'Std LRCX'!B22</f>
        <v/>
      </c>
      <c r="C22" s="21">
        <f>'Std LRCX'!C22</f>
        <v/>
      </c>
      <c r="D22" s="21">
        <f>'Std LRCX'!D22</f>
        <v/>
      </c>
      <c r="E22" s="21">
        <f>'Std LRCX'!E22</f>
        <v/>
      </c>
      <c r="F22" s="21">
        <f>'Std LRCX'!F22</f>
        <v/>
      </c>
      <c r="G22" s="21">
        <f>'Std LRCX'!G22</f>
        <v/>
      </c>
    </row>
    <row r="23">
      <c r="A23" s="11" t="inlineStr">
        <is>
          <t xml:space="preserve">  Other Unusual Items</t>
        </is>
      </c>
      <c r="B23" s="21">
        <f>'Std LRCX'!B23</f>
        <v/>
      </c>
      <c r="C23" s="21">
        <f>'Std LRCX'!C23</f>
        <v/>
      </c>
      <c r="D23" s="21">
        <f>'Std LRCX'!D23</f>
        <v/>
      </c>
      <c r="E23" s="21">
        <f>'Std LRCX'!E23</f>
        <v/>
      </c>
      <c r="F23" s="21">
        <f>'Std LRCX'!F23</f>
        <v/>
      </c>
      <c r="G23" s="21">
        <f>'Std LRCX'!G23</f>
        <v/>
      </c>
    </row>
    <row r="24">
      <c r="A24" s="22" t="inlineStr">
        <is>
          <t>Total Non-recurring</t>
        </is>
      </c>
      <c r="B24" s="35">
        <f>'Std LRCX'!B24</f>
        <v/>
      </c>
      <c r="C24" s="35">
        <f>'Std LRCX'!C24</f>
        <v/>
      </c>
      <c r="D24" s="35">
        <f>'Std LRCX'!D24</f>
        <v/>
      </c>
      <c r="E24" s="35">
        <f>'Std LRCX'!E24</f>
        <v/>
      </c>
      <c r="F24" s="35">
        <f>'Std LRCX'!F24</f>
        <v/>
      </c>
      <c r="G24" s="35">
        <f>'Std LRCX'!G24</f>
        <v/>
      </c>
    </row>
    <row r="25">
      <c r="A25" s="24" t="inlineStr">
        <is>
          <t>EBIT</t>
        </is>
      </c>
      <c r="B25" s="36">
        <f>'Std LRCX'!B25</f>
        <v/>
      </c>
      <c r="C25" s="36">
        <f>'Std LRCX'!C25</f>
        <v/>
      </c>
      <c r="D25" s="36">
        <f>'Std LRCX'!D25</f>
        <v/>
      </c>
      <c r="E25" s="36">
        <f>'Std LRCX'!E25</f>
        <v/>
      </c>
      <c r="F25" s="36">
        <f>'Std LRCX'!F25</f>
        <v/>
      </c>
      <c r="G25" s="36">
        <f>'Std LRCX'!G25</f>
        <v/>
      </c>
    </row>
    <row r="26"/>
    <row r="27">
      <c r="A27" s="11" t="inlineStr">
        <is>
          <t xml:space="preserve">  Investment Income (Equity Method)</t>
        </is>
      </c>
      <c r="B27" s="21">
        <f>'Std LRCX'!B27</f>
        <v/>
      </c>
      <c r="C27" s="21">
        <f>'Std LRCX'!C27</f>
        <v/>
      </c>
      <c r="D27" s="21">
        <f>'Std LRCX'!D27</f>
        <v/>
      </c>
      <c r="E27" s="21">
        <f>'Std LRCX'!E27</f>
        <v/>
      </c>
      <c r="F27" s="21">
        <f>'Std LRCX'!F27</f>
        <v/>
      </c>
      <c r="G27" s="21">
        <f>'Std LRCX'!G27</f>
        <v/>
      </c>
    </row>
    <row r="28">
      <c r="A28" s="11" t="inlineStr">
        <is>
          <t xml:space="preserve">  Interest Income</t>
        </is>
      </c>
      <c r="B28" s="21">
        <f>'Std LRCX'!B28</f>
        <v/>
      </c>
      <c r="C28" s="21">
        <f>'Std LRCX'!C28</f>
        <v/>
      </c>
      <c r="D28" s="21">
        <f>'Std LRCX'!D28</f>
        <v/>
      </c>
      <c r="E28" s="21">
        <f>'Std LRCX'!E28</f>
        <v/>
      </c>
      <c r="F28" s="21">
        <f>'Std LRCX'!F28</f>
        <v/>
      </c>
      <c r="G28" s="21">
        <f>'Std LRCX'!G28</f>
        <v/>
      </c>
    </row>
    <row r="29">
      <c r="A29" s="11" t="inlineStr">
        <is>
          <t xml:space="preserve">  Interest Expense</t>
        </is>
      </c>
      <c r="B29" s="21">
        <f>'Std LRCX'!B29</f>
        <v/>
      </c>
      <c r="C29" s="21">
        <f>'Std LRCX'!C29</f>
        <v/>
      </c>
      <c r="D29" s="21">
        <f>'Std LRCX'!D29</f>
        <v/>
      </c>
      <c r="E29" s="21">
        <f>'Std LRCX'!E29</f>
        <v/>
      </c>
      <c r="F29" s="21">
        <f>'Std LRCX'!F29</f>
        <v/>
      </c>
      <c r="G29" s="21">
        <f>'Std LRCX'!G29</f>
        <v/>
      </c>
    </row>
    <row r="30">
      <c r="A30" s="11" t="inlineStr">
        <is>
          <t xml:space="preserve">  FX Gains/(Losses)</t>
        </is>
      </c>
      <c r="B30" s="21">
        <f>'Std LRCX'!B30</f>
        <v/>
      </c>
      <c r="C30" s="21">
        <f>'Std LRCX'!C30</f>
        <v/>
      </c>
      <c r="D30" s="21">
        <f>'Std LRCX'!D30</f>
        <v/>
      </c>
      <c r="E30" s="21">
        <f>'Std LRCX'!E30</f>
        <v/>
      </c>
      <c r="F30" s="21">
        <f>'Std LRCX'!F30</f>
        <v/>
      </c>
      <c r="G30" s="21">
        <f>'Std LRCX'!G30</f>
        <v/>
      </c>
    </row>
    <row r="31">
      <c r="A31" s="22" t="inlineStr">
        <is>
          <t>Profit Before Tax</t>
        </is>
      </c>
      <c r="B31" s="35">
        <f>'Std LRCX'!B31</f>
        <v/>
      </c>
      <c r="C31" s="35">
        <f>'Std LRCX'!C31</f>
        <v/>
      </c>
      <c r="D31" s="35">
        <f>'Std LRCX'!D31</f>
        <v/>
      </c>
      <c r="E31" s="35">
        <f>'Std LRCX'!E31</f>
        <v/>
      </c>
      <c r="F31" s="35">
        <f>'Std LRCX'!F31</f>
        <v/>
      </c>
      <c r="G31" s="35">
        <f>'Std LRCX'!G31</f>
        <v/>
      </c>
    </row>
    <row r="32">
      <c r="A32" s="11" t="inlineStr">
        <is>
          <t xml:space="preserve">  Tax Expense</t>
        </is>
      </c>
      <c r="B32" s="21">
        <f>'Std LRCX'!B32</f>
        <v/>
      </c>
      <c r="C32" s="21">
        <f>'Std LRCX'!C32</f>
        <v/>
      </c>
      <c r="D32" s="21">
        <f>'Std LRCX'!D32</f>
        <v/>
      </c>
      <c r="E32" s="21">
        <f>'Std LRCX'!E32</f>
        <v/>
      </c>
      <c r="F32" s="21">
        <f>'Std LRCX'!F32</f>
        <v/>
      </c>
      <c r="G32" s="21">
        <f>'Std LRCX'!G32</f>
        <v/>
      </c>
    </row>
    <row r="33">
      <c r="A33" s="26" t="inlineStr">
        <is>
          <t>Net Income</t>
        </is>
      </c>
      <c r="B33" s="37">
        <f>'Std LRCX'!B33</f>
        <v/>
      </c>
      <c r="C33" s="37">
        <f>'Std LRCX'!C33</f>
        <v/>
      </c>
      <c r="D33" s="37">
        <f>'Std LRCX'!D33</f>
        <v/>
      </c>
      <c r="E33" s="37">
        <f>'Std LRCX'!E33</f>
        <v/>
      </c>
      <c r="F33" s="37">
        <f>'Std LRCX'!F33</f>
        <v/>
      </c>
      <c r="G33" s="37">
        <f>'Std LRCX'!G33</f>
        <v/>
      </c>
    </row>
    <row r="34"/>
    <row r="35">
      <c r="A35" s="11" t="inlineStr">
        <is>
          <t>Effective Tax Rate</t>
        </is>
      </c>
      <c r="B35" s="18">
        <f>'Std LRCX'!B35</f>
        <v/>
      </c>
      <c r="C35" s="18">
        <f>'Std LRCX'!C35</f>
        <v/>
      </c>
      <c r="D35" s="18">
        <f>'Std LRCX'!D35</f>
        <v/>
      </c>
      <c r="E35" s="18">
        <f>'Std LRCX'!E35</f>
        <v/>
      </c>
      <c r="F35" s="18">
        <f>'Std LRCX'!F35</f>
        <v/>
      </c>
      <c r="G35" s="18">
        <f>'Std LRCX'!G35</f>
        <v/>
      </c>
    </row>
    <row r="36">
      <c r="A36" s="22" t="inlineStr">
        <is>
          <t>NOPAT</t>
        </is>
      </c>
      <c r="B36" s="35">
        <f>'Std LRCX'!B36</f>
        <v/>
      </c>
      <c r="C36" s="35">
        <f>'Std LRCX'!C36</f>
        <v/>
      </c>
      <c r="D36" s="35">
        <f>'Std LRCX'!D36</f>
        <v/>
      </c>
      <c r="E36" s="35">
        <f>'Std LRCX'!E36</f>
        <v/>
      </c>
      <c r="F36" s="35">
        <f>'Std LRCX'!F36</f>
        <v/>
      </c>
      <c r="G36" s="35">
        <f>'Std LRCX'!G36</f>
        <v/>
      </c>
    </row>
    <row r="37"/>
    <row r="38">
      <c r="A38" s="11" t="inlineStr">
        <is>
          <t>Shares Outstanding (diluted)</t>
        </is>
      </c>
      <c r="B38" s="21">
        <f>'Std LRCX'!B38</f>
        <v/>
      </c>
      <c r="C38" s="21">
        <f>'Std LRCX'!C38</f>
        <v/>
      </c>
      <c r="D38" s="21">
        <f>'Std LRCX'!D38</f>
        <v/>
      </c>
      <c r="E38" s="21">
        <f>'Std LRCX'!E38</f>
        <v/>
      </c>
      <c r="F38" s="21">
        <f>'Std LRCX'!F38</f>
        <v/>
      </c>
      <c r="G38" s="21">
        <f>'Std LRCX'!G38</f>
        <v/>
      </c>
    </row>
    <row r="39">
      <c r="A39" s="11" t="inlineStr">
        <is>
          <t>EPS (diluted)</t>
        </is>
      </c>
      <c r="B39" s="30">
        <f>'Std LRCX'!B39</f>
        <v/>
      </c>
      <c r="C39" s="30">
        <f>'Std LRCX'!C39</f>
        <v/>
      </c>
      <c r="D39" s="30">
        <f>'Std LRCX'!D39</f>
        <v/>
      </c>
      <c r="E39" s="30">
        <f>'Std LRCX'!E39</f>
        <v/>
      </c>
      <c r="F39" s="30">
        <f>'Std LRCX'!F39</f>
        <v/>
      </c>
      <c r="G39" s="30">
        <f>'Std LRCX'!G39</f>
        <v/>
      </c>
    </row>
    <row r="40">
      <c r="A40" s="11" t="inlineStr">
        <is>
          <t>Dividends per Share</t>
        </is>
      </c>
      <c r="B40" s="30">
        <f>'Std LRCX'!B40</f>
        <v/>
      </c>
      <c r="C40" s="30">
        <f>'Std LRCX'!C40</f>
        <v/>
      </c>
      <c r="D40" s="30">
        <f>'Std LRCX'!D40</f>
        <v/>
      </c>
      <c r="E40" s="30">
        <f>'Std LRCX'!E40</f>
        <v/>
      </c>
      <c r="F40" s="30">
        <f>'Std LRCX'!F40</f>
        <v/>
      </c>
      <c r="G40" s="30">
        <f>'Std LRCX'!G40</f>
        <v/>
      </c>
    </row>
    <row r="41"/>
    <row r="42"/>
    <row r="43">
      <c r="A43" s="19" t="inlineStr">
        <is>
          <t>BALANCE SHEET (Reformulated)</t>
        </is>
      </c>
      <c r="B43" s="20" t="n"/>
      <c r="C43" s="20" t="n"/>
      <c r="D43" s="20" t="n"/>
      <c r="E43" s="20" t="n"/>
      <c r="F43" s="20" t="n"/>
      <c r="G43" s="20" t="n"/>
    </row>
    <row r="44">
      <c r="A44" s="22" t="inlineStr">
        <is>
          <t>Operating Working Capital:</t>
        </is>
      </c>
    </row>
    <row r="45">
      <c r="A45" s="11" t="inlineStr">
        <is>
          <t xml:space="preserve">  Trade Receivables</t>
        </is>
      </c>
      <c r="B45" s="21">
        <f>'Std LRCX'!B45</f>
        <v/>
      </c>
      <c r="C45" s="21">
        <f>'Std LRCX'!C45</f>
        <v/>
      </c>
      <c r="D45" s="21">
        <f>'Std LRCX'!D45</f>
        <v/>
      </c>
      <c r="E45" s="21">
        <f>'Std LRCX'!E45</f>
        <v/>
      </c>
      <c r="F45" s="21">
        <f>'Std LRCX'!F45</f>
        <v/>
      </c>
      <c r="G45" s="21">
        <f>'Std LRCX'!G45</f>
        <v/>
      </c>
    </row>
    <row r="46">
      <c r="A46" s="11" t="inlineStr">
        <is>
          <t xml:space="preserve">  + Other Receivables</t>
        </is>
      </c>
      <c r="B46" s="21">
        <f>'Std LRCX'!B46</f>
        <v/>
      </c>
      <c r="C46" s="21">
        <f>'Std LRCX'!C46</f>
        <v/>
      </c>
      <c r="D46" s="21">
        <f>'Std LRCX'!D46</f>
        <v/>
      </c>
      <c r="E46" s="21">
        <f>'Std LRCX'!E46</f>
        <v/>
      </c>
      <c r="F46" s="21">
        <f>'Std LRCX'!F46</f>
        <v/>
      </c>
      <c r="G46" s="21">
        <f>'Std LRCX'!G46</f>
        <v/>
      </c>
    </row>
    <row r="47">
      <c r="A47" s="11" t="inlineStr">
        <is>
          <t xml:space="preserve">  + Inventories</t>
        </is>
      </c>
      <c r="B47" s="21">
        <f>'Std LRCX'!B47</f>
        <v/>
      </c>
      <c r="C47" s="21">
        <f>'Std LRCX'!C47</f>
        <v/>
      </c>
      <c r="D47" s="21">
        <f>'Std LRCX'!D47</f>
        <v/>
      </c>
      <c r="E47" s="21">
        <f>'Std LRCX'!E47</f>
        <v/>
      </c>
      <c r="F47" s="21">
        <f>'Std LRCX'!F47</f>
        <v/>
      </c>
      <c r="G47" s="21">
        <f>'Std LRCX'!G47</f>
        <v/>
      </c>
    </row>
    <row r="48">
      <c r="A48" s="11" t="inlineStr">
        <is>
          <t xml:space="preserve">  + Prepaid &amp; Other CA</t>
        </is>
      </c>
      <c r="B48" s="21">
        <f>'Std LRCX'!B48</f>
        <v/>
      </c>
      <c r="C48" s="21">
        <f>'Std LRCX'!C48</f>
        <v/>
      </c>
      <c r="D48" s="21">
        <f>'Std LRCX'!D48</f>
        <v/>
      </c>
      <c r="E48" s="21">
        <f>'Std LRCX'!E48</f>
        <v/>
      </c>
      <c r="F48" s="21">
        <f>'Std LRCX'!F48</f>
        <v/>
      </c>
      <c r="G48" s="21">
        <f>'Std LRCX'!G48</f>
        <v/>
      </c>
    </row>
    <row r="49">
      <c r="A49" s="11" t="inlineStr">
        <is>
          <t xml:space="preserve">  - Accounts Payable</t>
        </is>
      </c>
      <c r="B49" s="21">
        <f>'Std LRCX'!B49</f>
        <v/>
      </c>
      <c r="C49" s="21">
        <f>'Std LRCX'!C49</f>
        <v/>
      </c>
      <c r="D49" s="21">
        <f>'Std LRCX'!D49</f>
        <v/>
      </c>
      <c r="E49" s="21">
        <f>'Std LRCX'!E49</f>
        <v/>
      </c>
      <c r="F49" s="21">
        <f>'Std LRCX'!F49</f>
        <v/>
      </c>
      <c r="G49" s="21">
        <f>'Std LRCX'!G49</f>
        <v/>
      </c>
    </row>
    <row r="50">
      <c r="A50" s="11" t="inlineStr">
        <is>
          <t xml:space="preserve">  - Accrued Expenses</t>
        </is>
      </c>
      <c r="B50" s="21">
        <f>'Std LRCX'!B50</f>
        <v/>
      </c>
      <c r="C50" s="21">
        <f>'Std LRCX'!C50</f>
        <v/>
      </c>
      <c r="D50" s="21">
        <f>'Std LRCX'!D50</f>
        <v/>
      </c>
      <c r="E50" s="21">
        <f>'Std LRCX'!E50</f>
        <v/>
      </c>
      <c r="F50" s="21">
        <f>'Std LRCX'!F50</f>
        <v/>
      </c>
      <c r="G50" s="21">
        <f>'Std LRCX'!G50</f>
        <v/>
      </c>
    </row>
    <row r="51">
      <c r="A51" s="11" t="inlineStr">
        <is>
          <t xml:space="preserve">  - Unearned Revenue / Contract Liabilities</t>
        </is>
      </c>
      <c r="B51" s="21">
        <f>'Std LRCX'!B51</f>
        <v/>
      </c>
      <c r="C51" s="21">
        <f>'Std LRCX'!C51</f>
        <v/>
      </c>
      <c r="D51" s="21">
        <f>'Std LRCX'!D51</f>
        <v/>
      </c>
      <c r="E51" s="21">
        <f>'Std LRCX'!E51</f>
        <v/>
      </c>
      <c r="F51" s="21">
        <f>'Std LRCX'!F51</f>
        <v/>
      </c>
      <c r="G51" s="21">
        <f>'Std LRCX'!G51</f>
        <v/>
      </c>
    </row>
    <row r="52">
      <c r="A52" s="11" t="inlineStr">
        <is>
          <t xml:space="preserve">  - Income Taxes Payable</t>
        </is>
      </c>
      <c r="B52" s="21">
        <f>'Std LRCX'!B52</f>
        <v/>
      </c>
      <c r="C52" s="21">
        <f>'Std LRCX'!C52</f>
        <v/>
      </c>
      <c r="D52" s="21">
        <f>'Std LRCX'!D52</f>
        <v/>
      </c>
      <c r="E52" s="21">
        <f>'Std LRCX'!E52</f>
        <v/>
      </c>
      <c r="F52" s="21">
        <f>'Std LRCX'!F52</f>
        <v/>
      </c>
      <c r="G52" s="21">
        <f>'Std LRCX'!G52</f>
        <v/>
      </c>
    </row>
    <row r="53">
      <c r="A53" s="11" t="inlineStr">
        <is>
          <t xml:space="preserve">  - Other Current Liabilities</t>
        </is>
      </c>
      <c r="B53" s="21">
        <f>'Std LRCX'!B53</f>
        <v/>
      </c>
      <c r="C53" s="21">
        <f>'Std LRCX'!C53</f>
        <v/>
      </c>
      <c r="D53" s="21">
        <f>'Std LRCX'!D53</f>
        <v/>
      </c>
      <c r="E53" s="21">
        <f>'Std LRCX'!E53</f>
        <v/>
      </c>
      <c r="F53" s="21">
        <f>'Std LRCX'!F53</f>
        <v/>
      </c>
      <c r="G53" s="21">
        <f>'Std LRCX'!G53</f>
        <v/>
      </c>
    </row>
    <row r="54">
      <c r="A54" s="24">
        <f> Operating Working Capital</f>
        <v/>
      </c>
      <c r="B54" s="36">
        <f>'Std LRCX'!B54</f>
        <v/>
      </c>
      <c r="C54" s="36">
        <f>'Std LRCX'!C54</f>
        <v/>
      </c>
      <c r="D54" s="36">
        <f>'Std LRCX'!D54</f>
        <v/>
      </c>
      <c r="E54" s="36">
        <f>'Std LRCX'!E54</f>
        <v/>
      </c>
      <c r="F54" s="36">
        <f>'Std LRCX'!F54</f>
        <v/>
      </c>
      <c r="G54" s="36">
        <f>'Std LRCX'!G54</f>
        <v/>
      </c>
    </row>
    <row r="55"/>
    <row r="56">
      <c r="A56" s="22" t="inlineStr">
        <is>
          <t>Net Non-Current Operating Assets:</t>
        </is>
      </c>
    </row>
    <row r="57">
      <c r="A57" s="11" t="inlineStr">
        <is>
          <t xml:space="preserve">  PP&amp;E (net, incl. ROU)</t>
        </is>
      </c>
      <c r="B57" s="21">
        <f>'Std LRCX'!B57</f>
        <v/>
      </c>
      <c r="C57" s="21">
        <f>'Std LRCX'!C57</f>
        <v/>
      </c>
      <c r="D57" s="21">
        <f>'Std LRCX'!D57</f>
        <v/>
      </c>
      <c r="E57" s="21">
        <f>'Std LRCX'!E57</f>
        <v/>
      </c>
      <c r="F57" s="21">
        <f>'Std LRCX'!F57</f>
        <v/>
      </c>
      <c r="G57" s="21">
        <f>'Std LRCX'!G57</f>
        <v/>
      </c>
    </row>
    <row r="58">
      <c r="A58" s="11" t="inlineStr">
        <is>
          <t xml:space="preserve">  + Goodwill</t>
        </is>
      </c>
      <c r="B58" s="21">
        <f>'Std LRCX'!B58</f>
        <v/>
      </c>
      <c r="C58" s="21">
        <f>'Std LRCX'!C58</f>
        <v/>
      </c>
      <c r="D58" s="21">
        <f>'Std LRCX'!D58</f>
        <v/>
      </c>
      <c r="E58" s="21">
        <f>'Std LRCX'!E58</f>
        <v/>
      </c>
      <c r="F58" s="21">
        <f>'Std LRCX'!F58</f>
        <v/>
      </c>
      <c r="G58" s="21">
        <f>'Std LRCX'!G58</f>
        <v/>
      </c>
    </row>
    <row r="59">
      <c r="A59" s="11" t="inlineStr">
        <is>
          <t xml:space="preserve">  + Other Intangible Assets</t>
        </is>
      </c>
      <c r="B59" s="21">
        <f>'Std LRCX'!B59</f>
        <v/>
      </c>
      <c r="C59" s="21">
        <f>'Std LRCX'!C59</f>
        <v/>
      </c>
      <c r="D59" s="21">
        <f>'Std LRCX'!D59</f>
        <v/>
      </c>
      <c r="E59" s="21">
        <f>'Std LRCX'!E59</f>
        <v/>
      </c>
      <c r="F59" s="21">
        <f>'Std LRCX'!F59</f>
        <v/>
      </c>
      <c r="G59" s="21">
        <f>'Std LRCX'!G59</f>
        <v/>
      </c>
    </row>
    <row r="60">
      <c r="A60" s="11" t="inlineStr">
        <is>
          <t xml:space="preserve">  + Deferred Tax Assets</t>
        </is>
      </c>
      <c r="B60" s="21">
        <f>'Std LRCX'!B60</f>
        <v/>
      </c>
      <c r="C60" s="21">
        <f>'Std LRCX'!C60</f>
        <v/>
      </c>
      <c r="D60" s="21">
        <f>'Std LRCX'!D60</f>
        <v/>
      </c>
      <c r="E60" s="21">
        <f>'Std LRCX'!E60</f>
        <v/>
      </c>
      <c r="F60" s="21">
        <f>'Std LRCX'!F60</f>
        <v/>
      </c>
      <c r="G60" s="21">
        <f>'Std LRCX'!G60</f>
        <v/>
      </c>
    </row>
    <row r="61">
      <c r="A61" s="11" t="inlineStr">
        <is>
          <t xml:space="preserve">  + Deferred Charges &amp; LT Intangibles</t>
        </is>
      </c>
      <c r="B61" s="21">
        <f>'Std LRCX'!B61</f>
        <v/>
      </c>
      <c r="C61" s="21">
        <f>'Std LRCX'!C61</f>
        <v/>
      </c>
      <c r="D61" s="21">
        <f>'Std LRCX'!D61</f>
        <v/>
      </c>
      <c r="E61" s="21">
        <f>'Std LRCX'!E61</f>
        <v/>
      </c>
      <c r="F61" s="21">
        <f>'Std LRCX'!F61</f>
        <v/>
      </c>
      <c r="G61" s="21">
        <f>'Std LRCX'!G61</f>
        <v/>
      </c>
    </row>
    <row r="62">
      <c r="A62" s="11" t="inlineStr">
        <is>
          <t xml:space="preserve">  + Other Non-Current Assets</t>
        </is>
      </c>
      <c r="B62" s="21">
        <f>'Std LRCX'!B62</f>
        <v/>
      </c>
      <c r="C62" s="21">
        <f>'Std LRCX'!C62</f>
        <v/>
      </c>
      <c r="D62" s="21">
        <f>'Std LRCX'!D62</f>
        <v/>
      </c>
      <c r="E62" s="21">
        <f>'Std LRCX'!E62</f>
        <v/>
      </c>
      <c r="F62" s="21">
        <f>'Std LRCX'!F62</f>
        <v/>
      </c>
      <c r="G62" s="21">
        <f>'Std LRCX'!G62</f>
        <v/>
      </c>
    </row>
    <row r="63">
      <c r="A63" s="11" t="inlineStr">
        <is>
          <t xml:space="preserve">  - Deferred Tax Liabilities</t>
        </is>
      </c>
      <c r="B63" s="21">
        <f>'Std LRCX'!B63</f>
        <v/>
      </c>
      <c r="C63" s="21">
        <f>'Std LRCX'!C63</f>
        <v/>
      </c>
      <c r="D63" s="21">
        <f>'Std LRCX'!D63</f>
        <v/>
      </c>
      <c r="E63" s="21">
        <f>'Std LRCX'!E63</f>
        <v/>
      </c>
      <c r="F63" s="21">
        <f>'Std LRCX'!F63</f>
        <v/>
      </c>
      <c r="G63" s="21">
        <f>'Std LRCX'!G63</f>
        <v/>
      </c>
    </row>
    <row r="64">
      <c r="A64" s="11" t="inlineStr">
        <is>
          <t xml:space="preserve">  - Other Non-Current Liabilities</t>
        </is>
      </c>
      <c r="B64" s="21">
        <f>'Std LRCX'!B64</f>
        <v/>
      </c>
      <c r="C64" s="21">
        <f>'Std LRCX'!C64</f>
        <v/>
      </c>
      <c r="D64" s="21">
        <f>'Std LRCX'!D64</f>
        <v/>
      </c>
      <c r="E64" s="21">
        <f>'Std LRCX'!E64</f>
        <v/>
      </c>
      <c r="F64" s="21">
        <f>'Std LRCX'!F64</f>
        <v/>
      </c>
      <c r="G64" s="21">
        <f>'Std LRCX'!G64</f>
        <v/>
      </c>
    </row>
    <row r="65">
      <c r="A65" s="24">
        <f> Net Non-Current Operating Assets</f>
        <v/>
      </c>
      <c r="B65" s="36">
        <f>'Std LRCX'!B65</f>
        <v/>
      </c>
      <c r="C65" s="36">
        <f>'Std LRCX'!C65</f>
        <v/>
      </c>
      <c r="D65" s="36">
        <f>'Std LRCX'!D65</f>
        <v/>
      </c>
      <c r="E65" s="36">
        <f>'Std LRCX'!E65</f>
        <v/>
      </c>
      <c r="F65" s="36">
        <f>'Std LRCX'!F65</f>
        <v/>
      </c>
      <c r="G65" s="36">
        <f>'Std LRCX'!G65</f>
        <v/>
      </c>
    </row>
    <row r="66"/>
    <row r="67">
      <c r="A67" s="24">
        <f> Net Operating Assets</f>
        <v/>
      </c>
      <c r="B67" s="36">
        <f>'Std LRCX'!B67</f>
        <v/>
      </c>
      <c r="C67" s="36">
        <f>'Std LRCX'!C67</f>
        <v/>
      </c>
      <c r="D67" s="36">
        <f>'Std LRCX'!D67</f>
        <v/>
      </c>
      <c r="E67" s="36">
        <f>'Std LRCX'!E67</f>
        <v/>
      </c>
      <c r="F67" s="36">
        <f>'Std LRCX'!F67</f>
        <v/>
      </c>
      <c r="G67" s="36">
        <f>'Std LRCX'!G67</f>
        <v/>
      </c>
    </row>
    <row r="68"/>
    <row r="69">
      <c r="A69" s="22" t="inlineStr">
        <is>
          <t>Investment Assets:</t>
        </is>
      </c>
    </row>
    <row r="70">
      <c r="A70" s="11" t="inlineStr">
        <is>
          <t xml:space="preserve">  Long-Term Investments</t>
        </is>
      </c>
      <c r="B70" s="21">
        <f>'Std LRCX'!B70</f>
        <v/>
      </c>
      <c r="C70" s="21">
        <f>'Std LRCX'!C70</f>
        <v/>
      </c>
      <c r="D70" s="21">
        <f>'Std LRCX'!D70</f>
        <v/>
      </c>
      <c r="E70" s="21">
        <f>'Std LRCX'!E70</f>
        <v/>
      </c>
      <c r="F70" s="21">
        <f>'Std LRCX'!F70</f>
        <v/>
      </c>
      <c r="G70" s="21">
        <f>'Std LRCX'!G70</f>
        <v/>
      </c>
    </row>
    <row r="71">
      <c r="A71" s="24">
        <f> Total Investment Assets</f>
        <v/>
      </c>
      <c r="B71" s="36">
        <f>'Std LRCX'!B71</f>
        <v/>
      </c>
      <c r="C71" s="36">
        <f>'Std LRCX'!C71</f>
        <v/>
      </c>
      <c r="D71" s="36">
        <f>'Std LRCX'!D71</f>
        <v/>
      </c>
      <c r="E71" s="36">
        <f>'Std LRCX'!E71</f>
        <v/>
      </c>
      <c r="F71" s="36">
        <f>'Std LRCX'!F71</f>
        <v/>
      </c>
      <c r="G71" s="36">
        <f>'Std LRCX'!G71</f>
        <v/>
      </c>
    </row>
    <row r="72"/>
    <row r="73">
      <c r="A73" s="26">
        <f> Business Assets</f>
        <v/>
      </c>
      <c r="B73" s="37">
        <f>'Std LRCX'!B73</f>
        <v/>
      </c>
      <c r="C73" s="37">
        <f>'Std LRCX'!C73</f>
        <v/>
      </c>
      <c r="D73" s="37">
        <f>'Std LRCX'!D73</f>
        <v/>
      </c>
      <c r="E73" s="37">
        <f>'Std LRCX'!E73</f>
        <v/>
      </c>
      <c r="F73" s="37">
        <f>'Std LRCX'!F73</f>
        <v/>
      </c>
      <c r="G73" s="37">
        <f>'Std LRCX'!G73</f>
        <v/>
      </c>
    </row>
    <row r="74"/>
    <row r="75">
      <c r="A75" s="19" t="inlineStr">
        <is>
          <t>FINANCING</t>
        </is>
      </c>
      <c r="B75" s="20" t="n"/>
      <c r="C75" s="20" t="n"/>
      <c r="D75" s="20" t="n"/>
      <c r="E75" s="20" t="n"/>
      <c r="F75" s="20" t="n"/>
      <c r="G75" s="20" t="n"/>
    </row>
    <row r="76">
      <c r="A76" s="11" t="inlineStr">
        <is>
          <t xml:space="preserve">  Lease Liabilities (current)</t>
        </is>
      </c>
      <c r="B76" s="21">
        <f>'Std LRCX'!B76</f>
        <v/>
      </c>
      <c r="C76" s="21">
        <f>'Std LRCX'!C76</f>
        <v/>
      </c>
      <c r="D76" s="21">
        <f>'Std LRCX'!D76</f>
        <v/>
      </c>
      <c r="E76" s="21">
        <f>'Std LRCX'!E76</f>
        <v/>
      </c>
      <c r="F76" s="21">
        <f>'Std LRCX'!F76</f>
        <v/>
      </c>
      <c r="G76" s="21">
        <f>'Std LRCX'!G76</f>
        <v/>
      </c>
    </row>
    <row r="77">
      <c r="A77" s="11" t="inlineStr">
        <is>
          <t xml:space="preserve">  + Lease Liabilities (non-current)</t>
        </is>
      </c>
      <c r="B77" s="21">
        <f>'Std LRCX'!B77</f>
        <v/>
      </c>
      <c r="C77" s="21">
        <f>'Std LRCX'!C77</f>
        <v/>
      </c>
      <c r="D77" s="21">
        <f>'Std LRCX'!D77</f>
        <v/>
      </c>
      <c r="E77" s="21">
        <f>'Std LRCX'!E77</f>
        <v/>
      </c>
      <c r="F77" s="21">
        <f>'Std LRCX'!F77</f>
        <v/>
      </c>
      <c r="G77" s="21">
        <f>'Std LRCX'!G77</f>
        <v/>
      </c>
    </row>
    <row r="78">
      <c r="A78" s="24">
        <f> Total Debt</f>
        <v/>
      </c>
      <c r="B78" s="36">
        <f>'Std LRCX'!B78</f>
        <v/>
      </c>
      <c r="C78" s="36">
        <f>'Std LRCX'!C78</f>
        <v/>
      </c>
      <c r="D78" s="36">
        <f>'Std LRCX'!D78</f>
        <v/>
      </c>
      <c r="E78" s="36">
        <f>'Std LRCX'!E78</f>
        <v/>
      </c>
      <c r="F78" s="36">
        <f>'Std LRCX'!F78</f>
        <v/>
      </c>
      <c r="G78" s="36">
        <f>'Std LRCX'!G78</f>
        <v/>
      </c>
    </row>
    <row r="79">
      <c r="A79" s="11" t="inlineStr">
        <is>
          <t xml:space="preserve">  Cash &amp; Equivalents</t>
        </is>
      </c>
      <c r="B79" s="21">
        <f>'Std LRCX'!B79</f>
        <v/>
      </c>
      <c r="C79" s="21">
        <f>'Std LRCX'!C79</f>
        <v/>
      </c>
      <c r="D79" s="21">
        <f>'Std LRCX'!D79</f>
        <v/>
      </c>
      <c r="E79" s="21">
        <f>'Std LRCX'!E79</f>
        <v/>
      </c>
      <c r="F79" s="21">
        <f>'Std LRCX'!F79</f>
        <v/>
      </c>
      <c r="G79" s="21">
        <f>'Std LRCX'!G79</f>
        <v/>
      </c>
    </row>
    <row r="80">
      <c r="A80" s="22">
        <f> Net Debt</f>
        <v/>
      </c>
      <c r="B80" s="35">
        <f>'Std LRCX'!B80</f>
        <v/>
      </c>
      <c r="C80" s="35">
        <f>'Std LRCX'!C80</f>
        <v/>
      </c>
      <c r="D80" s="35">
        <f>'Std LRCX'!D80</f>
        <v/>
      </c>
      <c r="E80" s="35">
        <f>'Std LRCX'!E80</f>
        <v/>
      </c>
      <c r="F80" s="35">
        <f>'Std LRCX'!F80</f>
        <v/>
      </c>
      <c r="G80" s="35">
        <f>'Std LRCX'!G80</f>
        <v/>
      </c>
    </row>
    <row r="81">
      <c r="A81" s="11" t="inlineStr">
        <is>
          <t>Group Equity</t>
        </is>
      </c>
      <c r="B81" s="21">
        <f>'Std LRCX'!B81</f>
        <v/>
      </c>
      <c r="C81" s="21">
        <f>'Std LRCX'!C81</f>
        <v/>
      </c>
      <c r="D81" s="21">
        <f>'Std LRCX'!D81</f>
        <v/>
      </c>
      <c r="E81" s="21">
        <f>'Std LRCX'!E81</f>
        <v/>
      </c>
      <c r="F81" s="21">
        <f>'Std LRCX'!F81</f>
        <v/>
      </c>
      <c r="G81" s="21">
        <f>'Std LRCX'!G81</f>
        <v/>
      </c>
    </row>
    <row r="82">
      <c r="A82" s="26">
        <f> Invested Capital</f>
        <v/>
      </c>
      <c r="B82" s="37">
        <f>'Std LRCX'!B82</f>
        <v/>
      </c>
      <c r="C82" s="37">
        <f>'Std LRCX'!C82</f>
        <v/>
      </c>
      <c r="D82" s="37">
        <f>'Std LRCX'!D82</f>
        <v/>
      </c>
      <c r="E82" s="37">
        <f>'Std LRCX'!E82</f>
        <v/>
      </c>
      <c r="F82" s="37">
        <f>'Std LRCX'!F82</f>
        <v/>
      </c>
      <c r="G82" s="37">
        <f>'Std LRCX'!G82</f>
        <v/>
      </c>
    </row>
    <row r="83">
      <c r="A83" s="22" t="inlineStr">
        <is>
          <t>BS Check (should = 0)</t>
        </is>
      </c>
      <c r="B83" s="35">
        <f>'Std LRCX'!B83</f>
        <v/>
      </c>
      <c r="C83" s="35">
        <f>'Std LRCX'!C83</f>
        <v/>
      </c>
      <c r="D83" s="35">
        <f>'Std LRCX'!D83</f>
        <v/>
      </c>
      <c r="E83" s="35">
        <f>'Std LRCX'!E83</f>
        <v/>
      </c>
      <c r="F83" s="35">
        <f>'Std LRCX'!F83</f>
        <v/>
      </c>
      <c r="G83" s="35">
        <f>'Std LRCX'!G83</f>
        <v/>
      </c>
    </row>
    <row r="84"/>
    <row r="85"/>
    <row r="86">
      <c r="A86" s="19" t="inlineStr">
        <is>
          <t>FREE CASH FLOW</t>
        </is>
      </c>
      <c r="B86" s="20" t="n"/>
      <c r="C86" s="20" t="n"/>
      <c r="D86" s="20" t="n"/>
      <c r="E86" s="20" t="n"/>
      <c r="F86" s="20" t="n"/>
      <c r="G86" s="20" t="n"/>
    </row>
    <row r="87">
      <c r="A87" s="11" t="inlineStr">
        <is>
          <t>NOPAT</t>
        </is>
      </c>
      <c r="B87" s="21">
        <f>'Std LRCX'!B87</f>
        <v/>
      </c>
      <c r="C87" s="21">
        <f>'Std LRCX'!C87</f>
        <v/>
      </c>
      <c r="D87" s="21">
        <f>'Std LRCX'!D87</f>
        <v/>
      </c>
      <c r="E87" s="21">
        <f>'Std LRCX'!E87</f>
        <v/>
      </c>
      <c r="F87" s="21">
        <f>'Std LRCX'!F87</f>
        <v/>
      </c>
      <c r="G87" s="21">
        <f>'Std LRCX'!G87</f>
        <v/>
      </c>
    </row>
    <row r="88">
      <c r="A88" s="11" t="inlineStr">
        <is>
          <t>+ D&amp;A</t>
        </is>
      </c>
      <c r="B88" s="21">
        <f>'Std LRCX'!B88</f>
        <v/>
      </c>
      <c r="C88" s="21">
        <f>'Std LRCX'!C88</f>
        <v/>
      </c>
      <c r="D88" s="21">
        <f>'Std LRCX'!D88</f>
        <v/>
      </c>
      <c r="E88" s="21">
        <f>'Std LRCX'!E88</f>
        <v/>
      </c>
      <c r="F88" s="21">
        <f>'Std LRCX'!F88</f>
        <v/>
      </c>
      <c r="G88" s="21">
        <f>'Std LRCX'!G88</f>
        <v/>
      </c>
    </row>
    <row r="89">
      <c r="A89" s="11" t="inlineStr">
        <is>
          <t>- Change in OWC</t>
        </is>
      </c>
      <c r="B89" s="21">
        <f>'Std LRCX'!B89</f>
        <v/>
      </c>
      <c r="C89" s="21">
        <f>'Std LRCX'!C89</f>
        <v/>
      </c>
      <c r="D89" s="21">
        <f>'Std LRCX'!D89</f>
        <v/>
      </c>
      <c r="E89" s="21">
        <f>'Std LRCX'!E89</f>
        <v/>
      </c>
      <c r="F89" s="21">
        <f>'Std LRCX'!F89</f>
        <v/>
      </c>
      <c r="G89" s="21">
        <f>'Std LRCX'!G89</f>
        <v/>
      </c>
    </row>
    <row r="90">
      <c r="A90" s="11" t="inlineStr">
        <is>
          <t>- CapEx</t>
        </is>
      </c>
      <c r="B90" s="21">
        <f>'Std LRCX'!B90</f>
        <v/>
      </c>
      <c r="C90" s="21">
        <f>'Std LRCX'!C90</f>
        <v/>
      </c>
      <c r="D90" s="21">
        <f>'Std LRCX'!D90</f>
        <v/>
      </c>
      <c r="E90" s="21">
        <f>'Std LRCX'!E90</f>
        <v/>
      </c>
      <c r="F90" s="21">
        <f>'Std LRCX'!F90</f>
        <v/>
      </c>
      <c r="G90" s="21">
        <f>'Std LRCX'!G90</f>
        <v/>
      </c>
    </row>
    <row r="91">
      <c r="A91" s="11" t="inlineStr">
        <is>
          <t>- Purchase of Intangibles</t>
        </is>
      </c>
      <c r="B91" s="21">
        <f>'Std LRCX'!B91</f>
        <v/>
      </c>
      <c r="C91" s="21">
        <f>'Std LRCX'!C91</f>
        <v/>
      </c>
      <c r="D91" s="21">
        <f>'Std LRCX'!D91</f>
        <v/>
      </c>
      <c r="E91" s="21">
        <f>'Std LRCX'!E91</f>
        <v/>
      </c>
      <c r="F91" s="21">
        <f>'Std LRCX'!F91</f>
        <v/>
      </c>
      <c r="G91" s="21">
        <f>'Std LRCX'!G91</f>
        <v/>
      </c>
    </row>
    <row r="92">
      <c r="A92" s="24">
        <f> Operating CF after investment</f>
        <v/>
      </c>
      <c r="B92" s="36">
        <f>'Std LRCX'!B92</f>
        <v/>
      </c>
      <c r="C92" s="36">
        <f>'Std LRCX'!C92</f>
        <v/>
      </c>
      <c r="D92" s="36">
        <f>'Std LRCX'!D92</f>
        <v/>
      </c>
      <c r="E92" s="36">
        <f>'Std LRCX'!E92</f>
        <v/>
      </c>
      <c r="F92" s="36">
        <f>'Std LRCX'!F92</f>
        <v/>
      </c>
      <c r="G92" s="36">
        <f>'Std LRCX'!G92</f>
        <v/>
      </c>
    </row>
    <row r="93"/>
    <row r="94">
      <c r="A94" s="11" t="inlineStr">
        <is>
          <t>+ Net Investment Profit after tax</t>
        </is>
      </c>
      <c r="B94" s="21">
        <f>'Std LRCX'!B94</f>
        <v/>
      </c>
      <c r="C94" s="21">
        <f>'Std LRCX'!C94</f>
        <v/>
      </c>
      <c r="D94" s="21">
        <f>'Std LRCX'!D94</f>
        <v/>
      </c>
      <c r="E94" s="21">
        <f>'Std LRCX'!E94</f>
        <v/>
      </c>
      <c r="F94" s="21">
        <f>'Std LRCX'!F94</f>
        <v/>
      </c>
      <c r="G94" s="21">
        <f>'Std LRCX'!G94</f>
        <v/>
      </c>
    </row>
    <row r="95">
      <c r="A95" s="11" t="inlineStr">
        <is>
          <t>- Change in Investment Assets</t>
        </is>
      </c>
      <c r="B95" s="21">
        <f>'Std LRCX'!B95</f>
        <v/>
      </c>
      <c r="C95" s="21">
        <f>'Std LRCX'!C95</f>
        <v/>
      </c>
      <c r="D95" s="21">
        <f>'Std LRCX'!D95</f>
        <v/>
      </c>
      <c r="E95" s="21">
        <f>'Std LRCX'!E95</f>
        <v/>
      </c>
      <c r="F95" s="21">
        <f>'Std LRCX'!F95</f>
        <v/>
      </c>
      <c r="G95" s="21">
        <f>'Std LRCX'!G95</f>
        <v/>
      </c>
    </row>
    <row r="96">
      <c r="A96" s="24">
        <f> FCF to Debt &amp; Equity</f>
        <v/>
      </c>
      <c r="B96" s="36">
        <f>'Std LRCX'!B96</f>
        <v/>
      </c>
      <c r="C96" s="36">
        <f>'Std LRCX'!C96</f>
        <v/>
      </c>
      <c r="D96" s="36">
        <f>'Std LRCX'!D96</f>
        <v/>
      </c>
      <c r="E96" s="36">
        <f>'Std LRCX'!E96</f>
        <v/>
      </c>
      <c r="F96" s="36">
        <f>'Std LRCX'!F96</f>
        <v/>
      </c>
      <c r="G96" s="36">
        <f>'Std LRCX'!G96</f>
        <v/>
      </c>
    </row>
    <row r="97">
      <c r="A97" s="11" t="inlineStr">
        <is>
          <t>- Interest Expense after tax</t>
        </is>
      </c>
      <c r="B97" s="21">
        <f>'Std LRCX'!B97</f>
        <v/>
      </c>
      <c r="C97" s="21">
        <f>'Std LRCX'!C97</f>
        <v/>
      </c>
      <c r="D97" s="21">
        <f>'Std LRCX'!D97</f>
        <v/>
      </c>
      <c r="E97" s="21">
        <f>'Std LRCX'!E97</f>
        <v/>
      </c>
      <c r="F97" s="21">
        <f>'Std LRCX'!F97</f>
        <v/>
      </c>
      <c r="G97" s="21">
        <f>'Std LRCX'!G97</f>
        <v/>
      </c>
    </row>
    <row r="98">
      <c r="A98" s="11" t="inlineStr">
        <is>
          <t>+ Change in Debt</t>
        </is>
      </c>
      <c r="B98" s="21">
        <f>'Std LRCX'!B98</f>
        <v/>
      </c>
      <c r="C98" s="21">
        <f>'Std LRCX'!C98</f>
        <v/>
      </c>
      <c r="D98" s="21">
        <f>'Std LRCX'!D98</f>
        <v/>
      </c>
      <c r="E98" s="21">
        <f>'Std LRCX'!E98</f>
        <v/>
      </c>
      <c r="F98" s="21">
        <f>'Std LRCX'!F98</f>
        <v/>
      </c>
      <c r="G98" s="21">
        <f>'Std LRCX'!G98</f>
        <v/>
      </c>
    </row>
    <row r="99">
      <c r="A99" s="26">
        <f> FCF to Equity</f>
        <v/>
      </c>
      <c r="B99" s="37">
        <f>'Std LRCX'!B99</f>
        <v/>
      </c>
      <c r="C99" s="37">
        <f>'Std LRCX'!C99</f>
        <v/>
      </c>
      <c r="D99" s="37">
        <f>'Std LRCX'!D99</f>
        <v/>
      </c>
      <c r="E99" s="37">
        <f>'Std LRCX'!E99</f>
        <v/>
      </c>
      <c r="F99" s="37">
        <f>'Std LRCX'!F99</f>
        <v/>
      </c>
      <c r="G99" s="37">
        <f>'Std LRCX'!G99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</cols>
  <sheetData>
    <row r="1">
      <c r="A1" s="14" t="inlineStr">
        <is>
          <t>Ratio Definitions &amp; Formulas</t>
        </is>
      </c>
    </row>
    <row r="3">
      <c r="A3" s="38" t="inlineStr">
        <is>
          <t>Profitability</t>
        </is>
      </c>
      <c r="B3" s="7" t="n"/>
      <c r="C3" s="7" t="n"/>
    </row>
    <row r="4">
      <c r="B4" s="22" t="inlineStr">
        <is>
          <t>ROE</t>
        </is>
      </c>
      <c r="C4" s="11" t="inlineStr">
        <is>
          <t>Net Income / Average Total Equity</t>
        </is>
      </c>
    </row>
    <row r="5">
      <c r="B5" s="22" t="inlineStr">
        <is>
          <t>DuPont Decomposition</t>
        </is>
      </c>
      <c r="C5" s="11" t="inlineStr">
        <is>
          <t>ROS x Asset Turnover x Financial Leverage</t>
        </is>
      </c>
    </row>
    <row r="6">
      <c r="B6" s="22" t="inlineStr">
        <is>
          <t>RNOA</t>
        </is>
      </c>
      <c r="C6" s="11" t="inlineStr">
        <is>
          <t>NOPAT Margin x NOA Turnover</t>
        </is>
      </c>
    </row>
    <row r="7">
      <c r="B7" s="22" t="inlineStr">
        <is>
          <t>Gross Profit Margin</t>
        </is>
      </c>
      <c r="C7" s="11" t="inlineStr">
        <is>
          <t>Gross Profit / Revenue</t>
        </is>
      </c>
    </row>
    <row r="8">
      <c r="B8" s="22" t="inlineStr">
        <is>
          <t>EBIT Margin</t>
        </is>
      </c>
      <c r="C8" s="11" t="inlineStr">
        <is>
          <t>EBIT / Revenue</t>
        </is>
      </c>
    </row>
    <row r="9">
      <c r="B9" s="22" t="inlineStr">
        <is>
          <t>NOPAT Margin</t>
        </is>
      </c>
      <c r="C9" s="11" t="inlineStr">
        <is>
          <t>NOPAT / Revenue</t>
        </is>
      </c>
    </row>
    <row r="11">
      <c r="A11" s="38" t="inlineStr">
        <is>
          <t>Asset Management</t>
        </is>
      </c>
      <c r="B11" s="7" t="n"/>
      <c r="C11" s="7" t="n"/>
    </row>
    <row r="12">
      <c r="B12" s="22" t="inlineStr">
        <is>
          <t>Receivables Turnover</t>
        </is>
      </c>
      <c r="C12" s="11" t="inlineStr">
        <is>
          <t>Revenue / Avg Trade Receivables</t>
        </is>
      </c>
    </row>
    <row r="13">
      <c r="B13" s="22" t="inlineStr">
        <is>
          <t>Days Receivable</t>
        </is>
      </c>
      <c r="C13" s="11" t="inlineStr">
        <is>
          <t>365 / Receivables Turnover</t>
        </is>
      </c>
    </row>
    <row r="14">
      <c r="B14" s="22" t="inlineStr">
        <is>
          <t>Inventory Turnover</t>
        </is>
      </c>
      <c r="C14" s="11" t="inlineStr">
        <is>
          <t>COGS / Avg Inventory</t>
        </is>
      </c>
    </row>
    <row r="15">
      <c r="B15" s="22" t="inlineStr">
        <is>
          <t>Days Inventory</t>
        </is>
      </c>
      <c r="C15" s="11" t="inlineStr">
        <is>
          <t>365 / Inventory Turnover</t>
        </is>
      </c>
    </row>
    <row r="16">
      <c r="B16" s="22" t="inlineStr">
        <is>
          <t>Payables Turnover</t>
        </is>
      </c>
      <c r="C16" s="11" t="inlineStr">
        <is>
          <t>COGS / Avg Trade Payables</t>
        </is>
      </c>
    </row>
    <row r="17">
      <c r="B17" s="22" t="inlineStr">
        <is>
          <t>Days Payable</t>
        </is>
      </c>
      <c r="C17" s="11" t="inlineStr">
        <is>
          <t>365 / Payables Turnover</t>
        </is>
      </c>
    </row>
    <row r="18">
      <c r="B18" s="22" t="inlineStr">
        <is>
          <t>Cash Conversion Cycle</t>
        </is>
      </c>
      <c r="C18" s="11" t="inlineStr">
        <is>
          <t>Days Inventory + Days Receivable - Days Payable</t>
        </is>
      </c>
    </row>
    <row r="20">
      <c r="A20" s="38" t="inlineStr">
        <is>
          <t>Liquidity</t>
        </is>
      </c>
      <c r="B20" s="7" t="n"/>
      <c r="C20" s="7" t="n"/>
    </row>
    <row r="21">
      <c r="B21" s="22" t="inlineStr">
        <is>
          <t>OWC / Revenue</t>
        </is>
      </c>
      <c r="C21" s="11" t="inlineStr">
        <is>
          <t>Operating Working Capital / Revenue</t>
        </is>
      </c>
    </row>
    <row r="22">
      <c r="B22" s="22" t="inlineStr">
        <is>
          <t>Cash / Total Debt</t>
        </is>
      </c>
      <c r="C22" s="11" t="inlineStr">
        <is>
          <t>Cash &amp; Equivalents / Total Debt</t>
        </is>
      </c>
    </row>
    <row r="24">
      <c r="A24" s="38" t="inlineStr">
        <is>
          <t>Solvency</t>
        </is>
      </c>
      <c r="B24" s="7" t="n"/>
      <c r="C24" s="7" t="n"/>
    </row>
    <row r="25">
      <c r="B25" s="22" t="inlineStr">
        <is>
          <t>Debt-to-Equity</t>
        </is>
      </c>
      <c r="C25" s="11" t="inlineStr">
        <is>
          <t>Total Debt / Total Equity</t>
        </is>
      </c>
    </row>
    <row r="26">
      <c r="B26" s="22" t="inlineStr">
        <is>
          <t>Interest Coverage</t>
        </is>
      </c>
      <c r="C26" s="11" t="inlineStr">
        <is>
          <t>EBIT / |Interest Expense|</t>
        </is>
      </c>
    </row>
    <row r="28">
      <c r="A28" s="38" t="inlineStr">
        <is>
          <t>Growth</t>
        </is>
      </c>
      <c r="B28" s="7" t="n"/>
      <c r="C28" s="7" t="n"/>
    </row>
    <row r="29">
      <c r="B29" s="22" t="inlineStr">
        <is>
          <t>Revenue Growth</t>
        </is>
      </c>
      <c r="C29" s="11" t="inlineStr">
        <is>
          <t>(Revenue_t / Revenue_{t-1}) - 1</t>
        </is>
      </c>
    </row>
    <row r="30">
      <c r="B30" s="22" t="inlineStr">
        <is>
          <t>Sustainable Growth</t>
        </is>
      </c>
      <c r="C30" s="11" t="inlineStr">
        <is>
          <t>(1 - Payout Ratio) x ROE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Ratio Analysis - ASM</t>
        </is>
      </c>
    </row>
    <row r="2">
      <c r="A2" s="15" t="inlineStr">
        <is>
          <t>(derived from Adjusted statements)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5">
      <c r="A5" s="19" t="inlineStr">
        <is>
          <t>PROFITABILITY</t>
        </is>
      </c>
      <c r="B5" s="20" t="n"/>
      <c r="C5" s="20" t="n"/>
      <c r="D5" s="20" t="n"/>
      <c r="E5" s="20" t="n"/>
      <c r="F5" s="20" t="n"/>
      <c r="G5" s="20" t="n"/>
    </row>
    <row r="6">
      <c r="A6" s="22" t="inlineStr">
        <is>
          <t>ROE</t>
        </is>
      </c>
      <c r="B6" s="39" t="inlineStr">
        <is>
          <t>N/A</t>
        </is>
      </c>
      <c r="C6" s="28">
        <f>IF(AVERAGE('Adj ASM'!B81,'Adj ASM'!C81)=0,0,'Adj ASM'!C33/AVERAGE('Adj ASM'!B81,'Adj ASM'!C81))</f>
        <v/>
      </c>
      <c r="D6" s="28">
        <f>IF(AVERAGE('Adj ASM'!C81,'Adj ASM'!D81)=0,0,'Adj ASM'!D33/AVERAGE('Adj ASM'!C81,'Adj ASM'!D81))</f>
        <v/>
      </c>
      <c r="E6" s="28">
        <f>IF(AVERAGE('Adj ASM'!D81,'Adj ASM'!E81)=0,0,'Adj ASM'!E33/AVERAGE('Adj ASM'!D81,'Adj ASM'!E81))</f>
        <v/>
      </c>
      <c r="F6" s="28">
        <f>IF(AVERAGE('Adj ASM'!E81,'Adj ASM'!F81)=0,0,'Adj ASM'!F33/AVERAGE('Adj ASM'!E81,'Adj ASM'!F81))</f>
        <v/>
      </c>
      <c r="G6" s="28">
        <f>IF(AVERAGE('Adj ASM'!F81,'Adj ASM'!G81)=0,0,'Adj ASM'!G33/AVERAGE('Adj ASM'!F81,'Adj ASM'!G81))</f>
        <v/>
      </c>
    </row>
    <row r="7">
      <c r="A7" s="11" t="inlineStr">
        <is>
          <t xml:space="preserve">    Net Profit Margin (ROS)</t>
        </is>
      </c>
      <c r="B7" s="28">
        <f>IF('Adj ASM'!B9=0,0,'Adj ASM'!B33/'Adj ASM'!B9)</f>
        <v/>
      </c>
      <c r="C7" s="28">
        <f>IF('Adj ASM'!C9=0,0,'Adj ASM'!C33/'Adj ASM'!C9)</f>
        <v/>
      </c>
      <c r="D7" s="28">
        <f>IF('Adj ASM'!D9=0,0,'Adj ASM'!D33/'Adj ASM'!D9)</f>
        <v/>
      </c>
      <c r="E7" s="28">
        <f>IF('Adj ASM'!E9=0,0,'Adj ASM'!E33/'Adj ASM'!E9)</f>
        <v/>
      </c>
      <c r="F7" s="28">
        <f>IF('Adj ASM'!F9=0,0,'Adj ASM'!F33/'Adj ASM'!F9)</f>
        <v/>
      </c>
      <c r="G7" s="28">
        <f>IF('Adj ASM'!G9=0,0,'Adj ASM'!G33/'Adj ASM'!G9)</f>
        <v/>
      </c>
    </row>
    <row r="8">
      <c r="A8" s="11" t="inlineStr">
        <is>
          <t xml:space="preserve">    x Asset Turnover</t>
        </is>
      </c>
      <c r="B8" s="40" t="inlineStr">
        <is>
          <t>N/A</t>
        </is>
      </c>
      <c r="C8" s="41">
        <f>IF(AVERAGE('Adj ASM'!B73,'Adj ASM'!C73)=0,0,'Adj ASM'!C9/AVERAGE('Adj ASM'!B73,'Adj ASM'!C73))</f>
        <v/>
      </c>
      <c r="D8" s="41">
        <f>IF(AVERAGE('Adj ASM'!C73,'Adj ASM'!D73)=0,0,'Adj ASM'!D9/AVERAGE('Adj ASM'!C73,'Adj ASM'!D73))</f>
        <v/>
      </c>
      <c r="E8" s="41">
        <f>IF(AVERAGE('Adj ASM'!D73,'Adj ASM'!E73)=0,0,'Adj ASM'!E9/AVERAGE('Adj ASM'!D73,'Adj ASM'!E73))</f>
        <v/>
      </c>
      <c r="F8" s="41">
        <f>IF(AVERAGE('Adj ASM'!E73,'Adj ASM'!F73)=0,0,'Adj ASM'!F9/AVERAGE('Adj ASM'!E73,'Adj ASM'!F73))</f>
        <v/>
      </c>
      <c r="G8" s="41">
        <f>IF(AVERAGE('Adj ASM'!F73,'Adj ASM'!G73)=0,0,'Adj ASM'!G9/AVERAGE('Adj ASM'!F73,'Adj ASM'!G73))</f>
        <v/>
      </c>
    </row>
    <row r="9">
      <c r="A9" s="11" t="inlineStr">
        <is>
          <t xml:space="preserve">    = ROA</t>
        </is>
      </c>
      <c r="B9" s="39" t="inlineStr">
        <is>
          <t>N/A</t>
        </is>
      </c>
      <c r="C9" s="28">
        <f>C7*C8</f>
        <v/>
      </c>
      <c r="D9" s="28">
        <f>D7*D8</f>
        <v/>
      </c>
      <c r="E9" s="28">
        <f>E7*E8</f>
        <v/>
      </c>
      <c r="F9" s="28">
        <f>F7*F8</f>
        <v/>
      </c>
      <c r="G9" s="28">
        <f>G7*G8</f>
        <v/>
      </c>
    </row>
    <row r="10">
      <c r="A10" s="11" t="inlineStr">
        <is>
          <t xml:space="preserve">    x Financial Leverage</t>
        </is>
      </c>
      <c r="B10" s="40" t="inlineStr">
        <is>
          <t>N/A</t>
        </is>
      </c>
      <c r="C10" s="41">
        <f>IF(AVERAGE('Adj ASM'!B81,'Adj ASM'!C81)=0,0,AVERAGE('Adj ASM'!B73,'Adj ASM'!C73)/AVERAGE('Adj ASM'!B81,'Adj ASM'!C81))</f>
        <v/>
      </c>
      <c r="D10" s="41">
        <f>IF(AVERAGE('Adj ASM'!C81,'Adj ASM'!D81)=0,0,AVERAGE('Adj ASM'!C73,'Adj ASM'!D73)/AVERAGE('Adj ASM'!C81,'Adj ASM'!D81))</f>
        <v/>
      </c>
      <c r="E10" s="41">
        <f>IF(AVERAGE('Adj ASM'!D81,'Adj ASM'!E81)=0,0,AVERAGE('Adj ASM'!D73,'Adj ASM'!E73)/AVERAGE('Adj ASM'!D81,'Adj ASM'!E81))</f>
        <v/>
      </c>
      <c r="F10" s="41">
        <f>IF(AVERAGE('Adj ASM'!E81,'Adj ASM'!F81)=0,0,AVERAGE('Adj ASM'!E73,'Adj ASM'!F73)/AVERAGE('Adj ASM'!E81,'Adj ASM'!F81))</f>
        <v/>
      </c>
      <c r="G10" s="41">
        <f>IF(AVERAGE('Adj ASM'!F81,'Adj ASM'!G81)=0,0,AVERAGE('Adj ASM'!F73,'Adj ASM'!G73)/AVERAGE('Adj ASM'!F81,'Adj ASM'!G81))</f>
        <v/>
      </c>
    </row>
    <row r="11">
      <c r="A11" s="11" t="inlineStr">
        <is>
          <t xml:space="preserve">    = ROE check (ROA x Leverage)</t>
        </is>
      </c>
      <c r="B11" s="39" t="inlineStr">
        <is>
          <t>N/A</t>
        </is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</row>
    <row r="13">
      <c r="A13" s="22" t="inlineStr">
        <is>
          <t>RNOA</t>
        </is>
      </c>
      <c r="B13" s="39" t="inlineStr">
        <is>
          <t>N/A</t>
        </is>
      </c>
      <c r="C13" s="28">
        <f>IF(AVERAGE('Adj ASM'!B67,'Adj ASM'!C67)=0,0,'Adj ASM'!C36/AVERAGE('Adj ASM'!B67,'Adj ASM'!C67))</f>
        <v/>
      </c>
      <c r="D13" s="28">
        <f>IF(AVERAGE('Adj ASM'!C67,'Adj ASM'!D67)=0,0,'Adj ASM'!D36/AVERAGE('Adj ASM'!C67,'Adj ASM'!D67))</f>
        <v/>
      </c>
      <c r="E13" s="28">
        <f>IF(AVERAGE('Adj ASM'!D67,'Adj ASM'!E67)=0,0,'Adj ASM'!E36/AVERAGE('Adj ASM'!D67,'Adj ASM'!E67))</f>
        <v/>
      </c>
      <c r="F13" s="28">
        <f>IF(AVERAGE('Adj ASM'!E67,'Adj ASM'!F67)=0,0,'Adj ASM'!F36/AVERAGE('Adj ASM'!E67,'Adj ASM'!F67))</f>
        <v/>
      </c>
      <c r="G13" s="28">
        <f>IF(AVERAGE('Adj ASM'!F67,'Adj ASM'!G67)=0,0,'Adj ASM'!G36/AVERAGE('Adj ASM'!F67,'Adj ASM'!G67))</f>
        <v/>
      </c>
    </row>
    <row r="14">
      <c r="A14" s="11" t="inlineStr">
        <is>
          <t xml:space="preserve">    NOPAT Margin</t>
        </is>
      </c>
      <c r="B14" s="28">
        <f>IF('Adj ASM'!B9=0,0,'Adj ASM'!B36/'Adj ASM'!B9)</f>
        <v/>
      </c>
      <c r="C14" s="28">
        <f>IF('Adj ASM'!C9=0,0,'Adj ASM'!C36/'Adj ASM'!C9)</f>
        <v/>
      </c>
      <c r="D14" s="28">
        <f>IF('Adj ASM'!D9=0,0,'Adj ASM'!D36/'Adj ASM'!D9)</f>
        <v/>
      </c>
      <c r="E14" s="28">
        <f>IF('Adj ASM'!E9=0,0,'Adj ASM'!E36/'Adj ASM'!E9)</f>
        <v/>
      </c>
      <c r="F14" s="28">
        <f>IF('Adj ASM'!F9=0,0,'Adj ASM'!F36/'Adj ASM'!F9)</f>
        <v/>
      </c>
      <c r="G14" s="28">
        <f>IF('Adj ASM'!G9=0,0,'Adj ASM'!G36/'Adj ASM'!G9)</f>
        <v/>
      </c>
    </row>
    <row r="15">
      <c r="A15" s="11" t="inlineStr">
        <is>
          <t xml:space="preserve">    x NOA Turnover</t>
        </is>
      </c>
      <c r="B15" s="40" t="inlineStr">
        <is>
          <t>N/A</t>
        </is>
      </c>
      <c r="C15" s="41">
        <f>IF(AVERAGE('Adj ASM'!B67,'Adj ASM'!C67)=0,0,'Adj ASM'!C9/AVERAGE('Adj ASM'!B67,'Adj ASM'!C67))</f>
        <v/>
      </c>
      <c r="D15" s="41">
        <f>IF(AVERAGE('Adj ASM'!C67,'Adj ASM'!D67)=0,0,'Adj ASM'!D9/AVERAGE('Adj ASM'!C67,'Adj ASM'!D67))</f>
        <v/>
      </c>
      <c r="E15" s="41">
        <f>IF(AVERAGE('Adj ASM'!D67,'Adj ASM'!E67)=0,0,'Adj ASM'!E9/AVERAGE('Adj ASM'!D67,'Adj ASM'!E67))</f>
        <v/>
      </c>
      <c r="F15" s="41">
        <f>IF(AVERAGE('Adj ASM'!E67,'Adj ASM'!F67)=0,0,'Adj ASM'!F9/AVERAGE('Adj ASM'!E67,'Adj ASM'!F67))</f>
        <v/>
      </c>
      <c r="G15" s="41">
        <f>IF(AVERAGE('Adj ASM'!F67,'Adj ASM'!G67)=0,0,'Adj ASM'!G9/AVERAGE('Adj ASM'!F67,'Adj ASM'!G67))</f>
        <v/>
      </c>
    </row>
    <row r="17">
      <c r="A17" s="11" t="inlineStr">
        <is>
          <t>Gross Profit Margin</t>
        </is>
      </c>
      <c r="B17" s="28">
        <f>IF('Adj ASM'!B9=0,0,'Adj ASM'!B11/'Adj ASM'!B9)</f>
        <v/>
      </c>
      <c r="C17" s="28">
        <f>IF('Adj ASM'!C9=0,0,'Adj ASM'!C11/'Adj ASM'!C9)</f>
        <v/>
      </c>
      <c r="D17" s="28">
        <f>IF('Adj ASM'!D9=0,0,'Adj ASM'!D11/'Adj ASM'!D9)</f>
        <v/>
      </c>
      <c r="E17" s="28">
        <f>IF('Adj ASM'!E9=0,0,'Adj ASM'!E11/'Adj ASM'!E9)</f>
        <v/>
      </c>
      <c r="F17" s="28">
        <f>IF('Adj ASM'!F9=0,0,'Adj ASM'!F11/'Adj ASM'!F9)</f>
        <v/>
      </c>
      <c r="G17" s="28">
        <f>IF('Adj ASM'!G9=0,0,'Adj ASM'!G11/'Adj ASM'!G9)</f>
        <v/>
      </c>
    </row>
    <row r="18">
      <c r="A18" s="11" t="inlineStr">
        <is>
          <t>EBIT Margin</t>
        </is>
      </c>
      <c r="B18" s="28">
        <f>IF('Adj ASM'!B9=0,0,'Adj ASM'!B25/'Adj ASM'!B9)</f>
        <v/>
      </c>
      <c r="C18" s="28">
        <f>IF('Adj ASM'!C9=0,0,'Adj ASM'!C25/'Adj ASM'!C9)</f>
        <v/>
      </c>
      <c r="D18" s="28">
        <f>IF('Adj ASM'!D9=0,0,'Adj ASM'!D25/'Adj ASM'!D9)</f>
        <v/>
      </c>
      <c r="E18" s="28">
        <f>IF('Adj ASM'!E9=0,0,'Adj ASM'!E25/'Adj ASM'!E9)</f>
        <v/>
      </c>
      <c r="F18" s="28">
        <f>IF('Adj ASM'!F9=0,0,'Adj ASM'!F25/'Adj ASM'!F9)</f>
        <v/>
      </c>
      <c r="G18" s="28">
        <f>IF('Adj ASM'!G9=0,0,'Adj ASM'!G25/'Adj ASM'!G9)</f>
        <v/>
      </c>
    </row>
    <row r="19">
      <c r="A19" s="11" t="inlineStr">
        <is>
          <t>NOPAT Margin</t>
        </is>
      </c>
      <c r="B19" s="28">
        <f>IF('Adj ASM'!B9=0,0,'Adj ASM'!B36/'Adj ASM'!B9)</f>
        <v/>
      </c>
      <c r="C19" s="28">
        <f>IF('Adj ASM'!C9=0,0,'Adj ASM'!C36/'Adj ASM'!C9)</f>
        <v/>
      </c>
      <c r="D19" s="28">
        <f>IF('Adj ASM'!D9=0,0,'Adj ASM'!D36/'Adj ASM'!D9)</f>
        <v/>
      </c>
      <c r="E19" s="28">
        <f>IF('Adj ASM'!E9=0,0,'Adj ASM'!E36/'Adj ASM'!E9)</f>
        <v/>
      </c>
      <c r="F19" s="28">
        <f>IF('Adj ASM'!F9=0,0,'Adj ASM'!F36/'Adj ASM'!F9)</f>
        <v/>
      </c>
      <c r="G19" s="28">
        <f>IF('Adj ASM'!G9=0,0,'Adj ASM'!G36/'Adj ASM'!G9)</f>
        <v/>
      </c>
    </row>
    <row r="21">
      <c r="A21" s="19" t="inlineStr">
        <is>
          <t>COMMON-SIZE INCOME STATEMENT</t>
        </is>
      </c>
      <c r="B21" s="20" t="n"/>
      <c r="C21" s="20" t="n"/>
      <c r="D21" s="20" t="n"/>
      <c r="E21" s="20" t="n"/>
      <c r="F21" s="20" t="n"/>
      <c r="G21" s="20" t="n"/>
    </row>
    <row r="22">
      <c r="A22" s="11" t="inlineStr">
        <is>
          <t>Revenue</t>
        </is>
      </c>
      <c r="B22" s="28">
        <f>1</f>
        <v/>
      </c>
      <c r="C22" s="28">
        <f>1</f>
        <v/>
      </c>
      <c r="D22" s="28">
        <f>1</f>
        <v/>
      </c>
      <c r="E22" s="28">
        <f>1</f>
        <v/>
      </c>
      <c r="F22" s="28">
        <f>1</f>
        <v/>
      </c>
      <c r="G22" s="28">
        <f>1</f>
        <v/>
      </c>
    </row>
    <row r="23">
      <c r="A23" s="11" t="inlineStr">
        <is>
          <t>Cost of Sales / Revenue</t>
        </is>
      </c>
      <c r="B23" s="28">
        <f>IF('Adj ASM'!B9=0,0,'Adj ASM'!B10/'Adj ASM'!B9)</f>
        <v/>
      </c>
      <c r="C23" s="28">
        <f>IF('Adj ASM'!C9=0,0,'Adj ASM'!C10/'Adj ASM'!C9)</f>
        <v/>
      </c>
      <c r="D23" s="28">
        <f>IF('Adj ASM'!D9=0,0,'Adj ASM'!D10/'Adj ASM'!D9)</f>
        <v/>
      </c>
      <c r="E23" s="28">
        <f>IF('Adj ASM'!E9=0,0,'Adj ASM'!E10/'Adj ASM'!E9)</f>
        <v/>
      </c>
      <c r="F23" s="28">
        <f>IF('Adj ASM'!F9=0,0,'Adj ASM'!F10/'Adj ASM'!F9)</f>
        <v/>
      </c>
      <c r="G23" s="28">
        <f>IF('Adj ASM'!G9=0,0,'Adj ASM'!G10/'Adj ASM'!G9)</f>
        <v/>
      </c>
    </row>
    <row r="24">
      <c r="A24" s="11" t="inlineStr">
        <is>
          <t>SG&amp;A / Revenue</t>
        </is>
      </c>
      <c r="B24" s="28">
        <f>IF('Adj ASM'!B9=0,0,'Adj ASM'!B12/'Adj ASM'!B9)</f>
        <v/>
      </c>
      <c r="C24" s="28">
        <f>IF('Adj ASM'!C9=0,0,'Adj ASM'!C12/'Adj ASM'!C9)</f>
        <v/>
      </c>
      <c r="D24" s="28">
        <f>IF('Adj ASM'!D9=0,0,'Adj ASM'!D12/'Adj ASM'!D9)</f>
        <v/>
      </c>
      <c r="E24" s="28">
        <f>IF('Adj ASM'!E9=0,0,'Adj ASM'!E12/'Adj ASM'!E9)</f>
        <v/>
      </c>
      <c r="F24" s="28">
        <f>IF('Adj ASM'!F9=0,0,'Adj ASM'!F12/'Adj ASM'!F9)</f>
        <v/>
      </c>
      <c r="G24" s="28">
        <f>IF('Adj ASM'!G9=0,0,'Adj ASM'!G12/'Adj ASM'!G9)</f>
        <v/>
      </c>
    </row>
    <row r="25">
      <c r="A25" s="11" t="inlineStr">
        <is>
          <t>R&amp;D / Revenue</t>
        </is>
      </c>
      <c r="B25" s="28">
        <f>IF('Adj ASM'!B9=0,0,'Adj ASM'!B13/'Adj ASM'!B9)</f>
        <v/>
      </c>
      <c r="C25" s="28">
        <f>IF('Adj ASM'!C9=0,0,'Adj ASM'!C13/'Adj ASM'!C9)</f>
        <v/>
      </c>
      <c r="D25" s="28">
        <f>IF('Adj ASM'!D9=0,0,'Adj ASM'!D13/'Adj ASM'!D9)</f>
        <v/>
      </c>
      <c r="E25" s="28">
        <f>IF('Adj ASM'!E9=0,0,'Adj ASM'!E13/'Adj ASM'!E9)</f>
        <v/>
      </c>
      <c r="F25" s="28">
        <f>IF('Adj ASM'!F9=0,0,'Adj ASM'!F13/'Adj ASM'!F9)</f>
        <v/>
      </c>
      <c r="G25" s="28">
        <f>IF('Adj ASM'!G9=0,0,'Adj ASM'!G13/'Adj ASM'!G9)</f>
        <v/>
      </c>
    </row>
    <row r="27">
      <c r="A27" s="19" t="inlineStr">
        <is>
          <t>ASSET MANAGEMENT</t>
        </is>
      </c>
      <c r="B27" s="20" t="n"/>
      <c r="C27" s="20" t="n"/>
      <c r="D27" s="20" t="n"/>
      <c r="E27" s="20" t="n"/>
      <c r="F27" s="20" t="n"/>
      <c r="G27" s="20" t="n"/>
    </row>
    <row r="28">
      <c r="A28" s="11" t="inlineStr">
        <is>
          <t>Receivables Turnover</t>
        </is>
      </c>
      <c r="B28" s="40" t="inlineStr">
        <is>
          <t>N/A</t>
        </is>
      </c>
      <c r="C28" s="41">
        <f>IF(AVERAGE('Adj ASM'!B45,'Adj ASM'!C45)=0,0,'Adj ASM'!C9/AVERAGE('Adj ASM'!B45,'Adj ASM'!C45))</f>
        <v/>
      </c>
      <c r="D28" s="41">
        <f>IF(AVERAGE('Adj ASM'!C45,'Adj ASM'!D45)=0,0,'Adj ASM'!D9/AVERAGE('Adj ASM'!C45,'Adj ASM'!D45))</f>
        <v/>
      </c>
      <c r="E28" s="41">
        <f>IF(AVERAGE('Adj ASM'!D45,'Adj ASM'!E45)=0,0,'Adj ASM'!E9/AVERAGE('Adj ASM'!D45,'Adj ASM'!E45))</f>
        <v/>
      </c>
      <c r="F28" s="41">
        <f>IF(AVERAGE('Adj ASM'!E45,'Adj ASM'!F45)=0,0,'Adj ASM'!F9/AVERAGE('Adj ASM'!E45,'Adj ASM'!F45))</f>
        <v/>
      </c>
      <c r="G28" s="41">
        <f>IF(AVERAGE('Adj ASM'!F45,'Adj ASM'!G45)=0,0,'Adj ASM'!G9/AVERAGE('Adj ASM'!F45,'Adj ASM'!G45))</f>
        <v/>
      </c>
    </row>
    <row r="29">
      <c r="A29" s="11" t="inlineStr">
        <is>
          <t>Days Receivable</t>
        </is>
      </c>
      <c r="B29" s="40" t="inlineStr">
        <is>
          <t>N/A</t>
        </is>
      </c>
      <c r="C29" s="41">
        <f>IF(C28=0,0,365/C28)</f>
        <v/>
      </c>
      <c r="D29" s="41">
        <f>IF(D28=0,0,365/D28)</f>
        <v/>
      </c>
      <c r="E29" s="41">
        <f>IF(E28=0,0,365/E28)</f>
        <v/>
      </c>
      <c r="F29" s="41">
        <f>IF(F28=0,0,365/F28)</f>
        <v/>
      </c>
      <c r="G29" s="41">
        <f>IF(G28=0,0,365/G28)</f>
        <v/>
      </c>
    </row>
    <row r="30">
      <c r="A30" s="11" t="inlineStr">
        <is>
          <t>Inventory Turnover</t>
        </is>
      </c>
      <c r="B30" s="40" t="inlineStr">
        <is>
          <t>N/A</t>
        </is>
      </c>
      <c r="C30" s="41">
        <f>IF(AVERAGE('Adj ASM'!B47,'Adj ASM'!C47)=0,0,'Adj ASM'!C10/AVERAGE('Adj ASM'!B47,'Adj ASM'!C47))</f>
        <v/>
      </c>
      <c r="D30" s="41">
        <f>IF(AVERAGE('Adj ASM'!C47,'Adj ASM'!D47)=0,0,'Adj ASM'!D10/AVERAGE('Adj ASM'!C47,'Adj ASM'!D47))</f>
        <v/>
      </c>
      <c r="E30" s="41">
        <f>IF(AVERAGE('Adj ASM'!D47,'Adj ASM'!E47)=0,0,'Adj ASM'!E10/AVERAGE('Adj ASM'!D47,'Adj ASM'!E47))</f>
        <v/>
      </c>
      <c r="F30" s="41">
        <f>IF(AVERAGE('Adj ASM'!E47,'Adj ASM'!F47)=0,0,'Adj ASM'!F10/AVERAGE('Adj ASM'!E47,'Adj ASM'!F47))</f>
        <v/>
      </c>
      <c r="G30" s="41">
        <f>IF(AVERAGE('Adj ASM'!F47,'Adj ASM'!G47)=0,0,'Adj ASM'!G10/AVERAGE('Adj ASM'!F47,'Adj ASM'!G47))</f>
        <v/>
      </c>
    </row>
    <row r="31">
      <c r="A31" s="11" t="inlineStr">
        <is>
          <t>Days Inventory</t>
        </is>
      </c>
      <c r="B31" s="40" t="inlineStr">
        <is>
          <t>N/A</t>
        </is>
      </c>
      <c r="C31" s="41">
        <f>IF(C30=0,0,365/C30)</f>
        <v/>
      </c>
      <c r="D31" s="41">
        <f>IF(D30=0,0,365/D30)</f>
        <v/>
      </c>
      <c r="E31" s="41">
        <f>IF(E30=0,0,365/E30)</f>
        <v/>
      </c>
      <c r="F31" s="41">
        <f>IF(F30=0,0,365/F30)</f>
        <v/>
      </c>
      <c r="G31" s="41">
        <f>IF(G30=0,0,365/G30)</f>
        <v/>
      </c>
    </row>
    <row r="32">
      <c r="A32" s="11" t="inlineStr">
        <is>
          <t>Payables Turnover</t>
        </is>
      </c>
      <c r="B32" s="40" t="inlineStr">
        <is>
          <t>N/A</t>
        </is>
      </c>
      <c r="C32" s="41">
        <f>IF(AVERAGE('Adj ASM'!B49,'Adj ASM'!C49)=0,0,'Adj ASM'!C10/AVERAGE('Adj ASM'!B49,'Adj ASM'!C49))</f>
        <v/>
      </c>
      <c r="D32" s="41">
        <f>IF(AVERAGE('Adj ASM'!C49,'Adj ASM'!D49)=0,0,'Adj ASM'!D10/AVERAGE('Adj ASM'!C49,'Adj ASM'!D49))</f>
        <v/>
      </c>
      <c r="E32" s="41">
        <f>IF(AVERAGE('Adj ASM'!D49,'Adj ASM'!E49)=0,0,'Adj ASM'!E10/AVERAGE('Adj ASM'!D49,'Adj ASM'!E49))</f>
        <v/>
      </c>
      <c r="F32" s="41">
        <f>IF(AVERAGE('Adj ASM'!E49,'Adj ASM'!F49)=0,0,'Adj ASM'!F10/AVERAGE('Adj ASM'!E49,'Adj ASM'!F49))</f>
        <v/>
      </c>
      <c r="G32" s="41">
        <f>IF(AVERAGE('Adj ASM'!F49,'Adj ASM'!G49)=0,0,'Adj ASM'!G10/AVERAGE('Adj ASM'!F49,'Adj ASM'!G49))</f>
        <v/>
      </c>
    </row>
    <row r="33">
      <c r="A33" s="11" t="inlineStr">
        <is>
          <t>Days Payable</t>
        </is>
      </c>
      <c r="B33" s="40" t="inlineStr">
        <is>
          <t>N/A</t>
        </is>
      </c>
      <c r="C33" s="41">
        <f>IF(C32=0,0,365/C32)</f>
        <v/>
      </c>
      <c r="D33" s="41">
        <f>IF(D32=0,0,365/D32)</f>
        <v/>
      </c>
      <c r="E33" s="41">
        <f>IF(E32=0,0,365/E32)</f>
        <v/>
      </c>
      <c r="F33" s="41">
        <f>IF(F32=0,0,365/F32)</f>
        <v/>
      </c>
      <c r="G33" s="41">
        <f>IF(G32=0,0,365/G32)</f>
        <v/>
      </c>
    </row>
    <row r="34">
      <c r="A34" s="22" t="inlineStr">
        <is>
          <t>Cash Conversion Cycle</t>
        </is>
      </c>
      <c r="B34" s="40" t="inlineStr">
        <is>
          <t>N/A</t>
        </is>
      </c>
      <c r="C34" s="41">
        <f>C31+C29-C33</f>
        <v/>
      </c>
      <c r="D34" s="41">
        <f>D31+D29-D33</f>
        <v/>
      </c>
      <c r="E34" s="41">
        <f>E31+E29-E33</f>
        <v/>
      </c>
      <c r="F34" s="41">
        <f>F31+F29-F33</f>
        <v/>
      </c>
      <c r="G34" s="41">
        <f>G31+G29-G33</f>
        <v/>
      </c>
    </row>
    <row r="36">
      <c r="A36" s="11" t="inlineStr">
        <is>
          <t>OWC / Revenue</t>
        </is>
      </c>
      <c r="B36" s="28">
        <f>IF('Adj ASM'!B9=0,0,'Adj ASM'!B54/'Adj ASM'!B9)</f>
        <v/>
      </c>
      <c r="C36" s="28">
        <f>IF('Adj ASM'!C9=0,0,'Adj ASM'!C54/'Adj ASM'!C9)</f>
        <v/>
      </c>
      <c r="D36" s="28">
        <f>IF('Adj ASM'!D9=0,0,'Adj ASM'!D54/'Adj ASM'!D9)</f>
        <v/>
      </c>
      <c r="E36" s="28">
        <f>IF('Adj ASM'!E9=0,0,'Adj ASM'!E54/'Adj ASM'!E9)</f>
        <v/>
      </c>
      <c r="F36" s="28">
        <f>IF('Adj ASM'!F9=0,0,'Adj ASM'!F54/'Adj ASM'!F9)</f>
        <v/>
      </c>
      <c r="G36" s="28">
        <f>IF('Adj ASM'!G9=0,0,'Adj ASM'!G54/'Adj ASM'!G9)</f>
        <v/>
      </c>
    </row>
    <row r="37">
      <c r="A37" s="11" t="inlineStr">
        <is>
          <t>PP&amp;E / Revenue</t>
        </is>
      </c>
      <c r="B37" s="28">
        <f>IF('Adj ASM'!B9=0,0,'Adj ASM'!B57/'Adj ASM'!B9)</f>
        <v/>
      </c>
      <c r="C37" s="28">
        <f>IF('Adj ASM'!C9=0,0,'Adj ASM'!C57/'Adj ASM'!C9)</f>
        <v/>
      </c>
      <c r="D37" s="28">
        <f>IF('Adj ASM'!D9=0,0,'Adj ASM'!D57/'Adj ASM'!D9)</f>
        <v/>
      </c>
      <c r="E37" s="28">
        <f>IF('Adj ASM'!E9=0,0,'Adj ASM'!E57/'Adj ASM'!E9)</f>
        <v/>
      </c>
      <c r="F37" s="28">
        <f>IF('Adj ASM'!F9=0,0,'Adj ASM'!F57/'Adj ASM'!F9)</f>
        <v/>
      </c>
      <c r="G37" s="28">
        <f>IF('Adj ASM'!G9=0,0,'Adj ASM'!G57/'Adj ASM'!G9)</f>
        <v/>
      </c>
    </row>
    <row r="39">
      <c r="A39" s="19" t="inlineStr">
        <is>
          <t>LIQUIDITY &amp; SOLVENCY</t>
        </is>
      </c>
      <c r="B39" s="20" t="n"/>
      <c r="C39" s="20" t="n"/>
      <c r="D39" s="20" t="n"/>
      <c r="E39" s="20" t="n"/>
      <c r="F39" s="20" t="n"/>
      <c r="G39" s="20" t="n"/>
    </row>
    <row r="40">
      <c r="A40" s="11" t="inlineStr">
        <is>
          <t>Cash / Total Debt</t>
        </is>
      </c>
      <c r="B40" s="41">
        <f>IF('Adj ASM'!B78=0,0,'Adj ASM'!B79/'Adj ASM'!B78)</f>
        <v/>
      </c>
      <c r="C40" s="41">
        <f>IF('Adj ASM'!C78=0,0,'Adj ASM'!C79/'Adj ASM'!C78)</f>
        <v/>
      </c>
      <c r="D40" s="41">
        <f>IF('Adj ASM'!D78=0,0,'Adj ASM'!D79/'Adj ASM'!D78)</f>
        <v/>
      </c>
      <c r="E40" s="41">
        <f>IF('Adj ASM'!E78=0,0,'Adj ASM'!E79/'Adj ASM'!E78)</f>
        <v/>
      </c>
      <c r="F40" s="41">
        <f>IF('Adj ASM'!F78=0,0,'Adj ASM'!F79/'Adj ASM'!F78)</f>
        <v/>
      </c>
      <c r="G40" s="41">
        <f>IF('Adj ASM'!G78=0,0,'Adj ASM'!G79/'Adj ASM'!G78)</f>
        <v/>
      </c>
    </row>
    <row r="41">
      <c r="A41" s="11" t="inlineStr">
        <is>
          <t>Debt-to-Equity</t>
        </is>
      </c>
      <c r="B41" s="41">
        <f>IF('Adj ASM'!B81=0,0,'Adj ASM'!B78/'Adj ASM'!B81)</f>
        <v/>
      </c>
      <c r="C41" s="41">
        <f>IF('Adj ASM'!C81=0,0,'Adj ASM'!C78/'Adj ASM'!C81)</f>
        <v/>
      </c>
      <c r="D41" s="41">
        <f>IF('Adj ASM'!D81=0,0,'Adj ASM'!D78/'Adj ASM'!D81)</f>
        <v/>
      </c>
      <c r="E41" s="41">
        <f>IF('Adj ASM'!E81=0,0,'Adj ASM'!E78/'Adj ASM'!E81)</f>
        <v/>
      </c>
      <c r="F41" s="41">
        <f>IF('Adj ASM'!F81=0,0,'Adj ASM'!F78/'Adj ASM'!F81)</f>
        <v/>
      </c>
      <c r="G41" s="41">
        <f>IF('Adj ASM'!G81=0,0,'Adj ASM'!G78/'Adj ASM'!G81)</f>
        <v/>
      </c>
    </row>
    <row r="42">
      <c r="A42" s="11" t="inlineStr">
        <is>
          <t>Interest Coverage</t>
        </is>
      </c>
      <c r="B42" s="41">
        <f>IF(ABS('Adj ASM'!B29)=0,0,'Adj ASM'!B25/ABS('Adj ASM'!B29))</f>
        <v/>
      </c>
      <c r="C42" s="41">
        <f>IF(ABS('Adj ASM'!C29)=0,0,'Adj ASM'!C25/ABS('Adj ASM'!C29))</f>
        <v/>
      </c>
      <c r="D42" s="41">
        <f>IF(ABS('Adj ASM'!D29)=0,0,'Adj ASM'!D25/ABS('Adj ASM'!D29))</f>
        <v/>
      </c>
      <c r="E42" s="41">
        <f>IF(ABS('Adj ASM'!E29)=0,0,'Adj ASM'!E25/ABS('Adj ASM'!E29))</f>
        <v/>
      </c>
      <c r="F42" s="41">
        <f>IF(ABS('Adj ASM'!F29)=0,0,'Adj ASM'!F25/ABS('Adj ASM'!F29))</f>
        <v/>
      </c>
      <c r="G42" s="41">
        <f>IF(ABS('Adj ASM'!G29)=0,0,'Adj ASM'!G25/ABS('Adj ASM'!G29))</f>
        <v/>
      </c>
    </row>
    <row r="44">
      <c r="A44" s="19" t="inlineStr">
        <is>
          <t>GROWTH</t>
        </is>
      </c>
      <c r="B44" s="20" t="n"/>
      <c r="C44" s="20" t="n"/>
      <c r="D44" s="20" t="n"/>
      <c r="E44" s="20" t="n"/>
      <c r="F44" s="20" t="n"/>
      <c r="G44" s="20" t="n"/>
    </row>
    <row r="45">
      <c r="A45" s="11" t="inlineStr">
        <is>
          <t>Revenue Growth</t>
        </is>
      </c>
      <c r="B45" s="39" t="inlineStr">
        <is>
          <t>N/A</t>
        </is>
      </c>
      <c r="C45" s="28">
        <f>IF('Adj ASM'!B9=0,0,'Adj ASM'!C9/'Adj ASM'!B9-1)</f>
        <v/>
      </c>
      <c r="D45" s="28">
        <f>IF('Adj ASM'!C9=0,0,'Adj ASM'!D9/'Adj ASM'!C9-1)</f>
        <v/>
      </c>
      <c r="E45" s="28">
        <f>IF('Adj ASM'!D9=0,0,'Adj ASM'!E9/'Adj ASM'!D9-1)</f>
        <v/>
      </c>
      <c r="F45" s="28">
        <f>IF('Adj ASM'!E9=0,0,'Adj ASM'!F9/'Adj ASM'!E9-1)</f>
        <v/>
      </c>
      <c r="G45" s="28">
        <f>IF('Adj ASM'!F9=0,0,'Adj ASM'!G9/'Adj ASM'!F9-1)</f>
        <v/>
      </c>
    </row>
    <row r="46">
      <c r="A46" s="11" t="inlineStr">
        <is>
          <t>Sustainable Growth</t>
        </is>
      </c>
      <c r="B46" s="39" t="inlineStr">
        <is>
          <t>N/A</t>
        </is>
      </c>
      <c r="C46" s="28">
        <f>IF('Adj ASM'!C33=0,0,(1-'Adj ASM'!C40*'Adj ASM'!C38/1000/'Adj ASM'!C33)*C6)</f>
        <v/>
      </c>
      <c r="D46" s="28">
        <f>IF('Adj ASM'!D33=0,0,(1-'Adj ASM'!D40*'Adj ASM'!D38/1000/'Adj ASM'!D33)*D6)</f>
        <v/>
      </c>
      <c r="E46" s="28">
        <f>IF('Adj ASM'!E33=0,0,(1-'Adj ASM'!E40*'Adj ASM'!E38/1000/'Adj ASM'!E33)*E6)</f>
        <v/>
      </c>
      <c r="F46" s="28">
        <f>IF('Adj ASM'!F33=0,0,(1-'Adj ASM'!F40*'Adj ASM'!F38/1000/'Adj ASM'!F33)*F6)</f>
        <v/>
      </c>
      <c r="G46" s="28">
        <f>IF('Adj ASM'!G33=0,0,(1-'Adj ASM'!G40*'Adj ASM'!G38/1000/'Adj ASM'!G33)*G6)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Ratio Analysis - AIXTRON</t>
        </is>
      </c>
    </row>
    <row r="2">
      <c r="A2" s="15" t="inlineStr">
        <is>
          <t>(derived from Adjusted statements)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5">
      <c r="A5" s="19" t="inlineStr">
        <is>
          <t>PROFITABILITY</t>
        </is>
      </c>
      <c r="B5" s="20" t="n"/>
      <c r="C5" s="20" t="n"/>
      <c r="D5" s="20" t="n"/>
      <c r="E5" s="20" t="n"/>
      <c r="F5" s="20" t="n"/>
      <c r="G5" s="20" t="n"/>
    </row>
    <row r="6">
      <c r="A6" s="22" t="inlineStr">
        <is>
          <t>ROE</t>
        </is>
      </c>
      <c r="B6" s="39" t="inlineStr">
        <is>
          <t>N/A</t>
        </is>
      </c>
      <c r="C6" s="28">
        <f>IF(AVERAGE('Adj AIXTRON'!B81,'Adj AIXTRON'!C81)=0,0,'Adj AIXTRON'!C33/AVERAGE('Adj AIXTRON'!B81,'Adj AIXTRON'!C81))</f>
        <v/>
      </c>
      <c r="D6" s="28">
        <f>IF(AVERAGE('Adj AIXTRON'!C81,'Adj AIXTRON'!D81)=0,0,'Adj AIXTRON'!D33/AVERAGE('Adj AIXTRON'!C81,'Adj AIXTRON'!D81))</f>
        <v/>
      </c>
      <c r="E6" s="28">
        <f>IF(AVERAGE('Adj AIXTRON'!D81,'Adj AIXTRON'!E81)=0,0,'Adj AIXTRON'!E33/AVERAGE('Adj AIXTRON'!D81,'Adj AIXTRON'!E81))</f>
        <v/>
      </c>
      <c r="F6" s="28">
        <f>IF(AVERAGE('Adj AIXTRON'!E81,'Adj AIXTRON'!F81)=0,0,'Adj AIXTRON'!F33/AVERAGE('Adj AIXTRON'!E81,'Adj AIXTRON'!F81))</f>
        <v/>
      </c>
      <c r="G6" s="28">
        <f>IF(AVERAGE('Adj AIXTRON'!F81,'Adj AIXTRON'!G81)=0,0,'Adj AIXTRON'!G33/AVERAGE('Adj AIXTRON'!F81,'Adj AIXTRON'!G81))</f>
        <v/>
      </c>
    </row>
    <row r="7">
      <c r="A7" s="11" t="inlineStr">
        <is>
          <t xml:space="preserve">    Net Profit Margin (ROS)</t>
        </is>
      </c>
      <c r="B7" s="28">
        <f>IF('Adj AIXTRON'!B9=0,0,'Adj AIXTRON'!B33/'Adj AIXTRON'!B9)</f>
        <v/>
      </c>
      <c r="C7" s="28">
        <f>IF('Adj AIXTRON'!C9=0,0,'Adj AIXTRON'!C33/'Adj AIXTRON'!C9)</f>
        <v/>
      </c>
      <c r="D7" s="28">
        <f>IF('Adj AIXTRON'!D9=0,0,'Adj AIXTRON'!D33/'Adj AIXTRON'!D9)</f>
        <v/>
      </c>
      <c r="E7" s="28">
        <f>IF('Adj AIXTRON'!E9=0,0,'Adj AIXTRON'!E33/'Adj AIXTRON'!E9)</f>
        <v/>
      </c>
      <c r="F7" s="28">
        <f>IF('Adj AIXTRON'!F9=0,0,'Adj AIXTRON'!F33/'Adj AIXTRON'!F9)</f>
        <v/>
      </c>
      <c r="G7" s="28">
        <f>IF('Adj AIXTRON'!G9=0,0,'Adj AIXTRON'!G33/'Adj AIXTRON'!G9)</f>
        <v/>
      </c>
    </row>
    <row r="8">
      <c r="A8" s="11" t="inlineStr">
        <is>
          <t xml:space="preserve">    x Asset Turnover</t>
        </is>
      </c>
      <c r="B8" s="40" t="inlineStr">
        <is>
          <t>N/A</t>
        </is>
      </c>
      <c r="C8" s="41">
        <f>IF(AVERAGE('Adj AIXTRON'!B73,'Adj AIXTRON'!C73)=0,0,'Adj AIXTRON'!C9/AVERAGE('Adj AIXTRON'!B73,'Adj AIXTRON'!C73))</f>
        <v/>
      </c>
      <c r="D8" s="41">
        <f>IF(AVERAGE('Adj AIXTRON'!C73,'Adj AIXTRON'!D73)=0,0,'Adj AIXTRON'!D9/AVERAGE('Adj AIXTRON'!C73,'Adj AIXTRON'!D73))</f>
        <v/>
      </c>
      <c r="E8" s="41">
        <f>IF(AVERAGE('Adj AIXTRON'!D73,'Adj AIXTRON'!E73)=0,0,'Adj AIXTRON'!E9/AVERAGE('Adj AIXTRON'!D73,'Adj AIXTRON'!E73))</f>
        <v/>
      </c>
      <c r="F8" s="41">
        <f>IF(AVERAGE('Adj AIXTRON'!E73,'Adj AIXTRON'!F73)=0,0,'Adj AIXTRON'!F9/AVERAGE('Adj AIXTRON'!E73,'Adj AIXTRON'!F73))</f>
        <v/>
      </c>
      <c r="G8" s="41">
        <f>IF(AVERAGE('Adj AIXTRON'!F73,'Adj AIXTRON'!G73)=0,0,'Adj AIXTRON'!G9/AVERAGE('Adj AIXTRON'!F73,'Adj AIXTRON'!G73))</f>
        <v/>
      </c>
    </row>
    <row r="9">
      <c r="A9" s="11" t="inlineStr">
        <is>
          <t xml:space="preserve">    = ROA</t>
        </is>
      </c>
      <c r="B9" s="39" t="inlineStr">
        <is>
          <t>N/A</t>
        </is>
      </c>
      <c r="C9" s="28">
        <f>C7*C8</f>
        <v/>
      </c>
      <c r="D9" s="28">
        <f>D7*D8</f>
        <v/>
      </c>
      <c r="E9" s="28">
        <f>E7*E8</f>
        <v/>
      </c>
      <c r="F9" s="28">
        <f>F7*F8</f>
        <v/>
      </c>
      <c r="G9" s="28">
        <f>G7*G8</f>
        <v/>
      </c>
    </row>
    <row r="10">
      <c r="A10" s="11" t="inlineStr">
        <is>
          <t xml:space="preserve">    x Financial Leverage</t>
        </is>
      </c>
      <c r="B10" s="40" t="inlineStr">
        <is>
          <t>N/A</t>
        </is>
      </c>
      <c r="C10" s="41">
        <f>IF(AVERAGE('Adj AIXTRON'!B81,'Adj AIXTRON'!C81)=0,0,AVERAGE('Adj AIXTRON'!B73,'Adj AIXTRON'!C73)/AVERAGE('Adj AIXTRON'!B81,'Adj AIXTRON'!C81))</f>
        <v/>
      </c>
      <c r="D10" s="41">
        <f>IF(AVERAGE('Adj AIXTRON'!C81,'Adj AIXTRON'!D81)=0,0,AVERAGE('Adj AIXTRON'!C73,'Adj AIXTRON'!D73)/AVERAGE('Adj AIXTRON'!C81,'Adj AIXTRON'!D81))</f>
        <v/>
      </c>
      <c r="E10" s="41">
        <f>IF(AVERAGE('Adj AIXTRON'!D81,'Adj AIXTRON'!E81)=0,0,AVERAGE('Adj AIXTRON'!D73,'Adj AIXTRON'!E73)/AVERAGE('Adj AIXTRON'!D81,'Adj AIXTRON'!E81))</f>
        <v/>
      </c>
      <c r="F10" s="41">
        <f>IF(AVERAGE('Adj AIXTRON'!E81,'Adj AIXTRON'!F81)=0,0,AVERAGE('Adj AIXTRON'!E73,'Adj AIXTRON'!F73)/AVERAGE('Adj AIXTRON'!E81,'Adj AIXTRON'!F81))</f>
        <v/>
      </c>
      <c r="G10" s="41">
        <f>IF(AVERAGE('Adj AIXTRON'!F81,'Adj AIXTRON'!G81)=0,0,AVERAGE('Adj AIXTRON'!F73,'Adj AIXTRON'!G73)/AVERAGE('Adj AIXTRON'!F81,'Adj AIXTRON'!G81))</f>
        <v/>
      </c>
    </row>
    <row r="11">
      <c r="A11" s="11" t="inlineStr">
        <is>
          <t xml:space="preserve">    = ROE check (ROA x Leverage)</t>
        </is>
      </c>
      <c r="B11" s="39" t="inlineStr">
        <is>
          <t>N/A</t>
        </is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</row>
    <row r="13">
      <c r="A13" s="22" t="inlineStr">
        <is>
          <t>RNOA</t>
        </is>
      </c>
      <c r="B13" s="39" t="inlineStr">
        <is>
          <t>N/A</t>
        </is>
      </c>
      <c r="C13" s="28">
        <f>IF(AVERAGE('Adj AIXTRON'!B67,'Adj AIXTRON'!C67)=0,0,'Adj AIXTRON'!C36/AVERAGE('Adj AIXTRON'!B67,'Adj AIXTRON'!C67))</f>
        <v/>
      </c>
      <c r="D13" s="28">
        <f>IF(AVERAGE('Adj AIXTRON'!C67,'Adj AIXTRON'!D67)=0,0,'Adj AIXTRON'!D36/AVERAGE('Adj AIXTRON'!C67,'Adj AIXTRON'!D67))</f>
        <v/>
      </c>
      <c r="E13" s="28">
        <f>IF(AVERAGE('Adj AIXTRON'!D67,'Adj AIXTRON'!E67)=0,0,'Adj AIXTRON'!E36/AVERAGE('Adj AIXTRON'!D67,'Adj AIXTRON'!E67))</f>
        <v/>
      </c>
      <c r="F13" s="28">
        <f>IF(AVERAGE('Adj AIXTRON'!E67,'Adj AIXTRON'!F67)=0,0,'Adj AIXTRON'!F36/AVERAGE('Adj AIXTRON'!E67,'Adj AIXTRON'!F67))</f>
        <v/>
      </c>
      <c r="G13" s="28">
        <f>IF(AVERAGE('Adj AIXTRON'!F67,'Adj AIXTRON'!G67)=0,0,'Adj AIXTRON'!G36/AVERAGE('Adj AIXTRON'!F67,'Adj AIXTRON'!G67))</f>
        <v/>
      </c>
    </row>
    <row r="14">
      <c r="A14" s="11" t="inlineStr">
        <is>
          <t xml:space="preserve">    NOPAT Margin</t>
        </is>
      </c>
      <c r="B14" s="28">
        <f>IF('Adj AIXTRON'!B9=0,0,'Adj AIXTRON'!B36/'Adj AIXTRON'!B9)</f>
        <v/>
      </c>
      <c r="C14" s="28">
        <f>IF('Adj AIXTRON'!C9=0,0,'Adj AIXTRON'!C36/'Adj AIXTRON'!C9)</f>
        <v/>
      </c>
      <c r="D14" s="28">
        <f>IF('Adj AIXTRON'!D9=0,0,'Adj AIXTRON'!D36/'Adj AIXTRON'!D9)</f>
        <v/>
      </c>
      <c r="E14" s="28">
        <f>IF('Adj AIXTRON'!E9=0,0,'Adj AIXTRON'!E36/'Adj AIXTRON'!E9)</f>
        <v/>
      </c>
      <c r="F14" s="28">
        <f>IF('Adj AIXTRON'!F9=0,0,'Adj AIXTRON'!F36/'Adj AIXTRON'!F9)</f>
        <v/>
      </c>
      <c r="G14" s="28">
        <f>IF('Adj AIXTRON'!G9=0,0,'Adj AIXTRON'!G36/'Adj AIXTRON'!G9)</f>
        <v/>
      </c>
    </row>
    <row r="15">
      <c r="A15" s="11" t="inlineStr">
        <is>
          <t xml:space="preserve">    x NOA Turnover</t>
        </is>
      </c>
      <c r="B15" s="40" t="inlineStr">
        <is>
          <t>N/A</t>
        </is>
      </c>
      <c r="C15" s="41">
        <f>IF(AVERAGE('Adj AIXTRON'!B67,'Adj AIXTRON'!C67)=0,0,'Adj AIXTRON'!C9/AVERAGE('Adj AIXTRON'!B67,'Adj AIXTRON'!C67))</f>
        <v/>
      </c>
      <c r="D15" s="41">
        <f>IF(AVERAGE('Adj AIXTRON'!C67,'Adj AIXTRON'!D67)=0,0,'Adj AIXTRON'!D9/AVERAGE('Adj AIXTRON'!C67,'Adj AIXTRON'!D67))</f>
        <v/>
      </c>
      <c r="E15" s="41">
        <f>IF(AVERAGE('Adj AIXTRON'!D67,'Adj AIXTRON'!E67)=0,0,'Adj AIXTRON'!E9/AVERAGE('Adj AIXTRON'!D67,'Adj AIXTRON'!E67))</f>
        <v/>
      </c>
      <c r="F15" s="41">
        <f>IF(AVERAGE('Adj AIXTRON'!E67,'Adj AIXTRON'!F67)=0,0,'Adj AIXTRON'!F9/AVERAGE('Adj AIXTRON'!E67,'Adj AIXTRON'!F67))</f>
        <v/>
      </c>
      <c r="G15" s="41">
        <f>IF(AVERAGE('Adj AIXTRON'!F67,'Adj AIXTRON'!G67)=0,0,'Adj AIXTRON'!G9/AVERAGE('Adj AIXTRON'!F67,'Adj AIXTRON'!G67))</f>
        <v/>
      </c>
    </row>
    <row r="17">
      <c r="A17" s="11" t="inlineStr">
        <is>
          <t>Gross Profit Margin</t>
        </is>
      </c>
      <c r="B17" s="28">
        <f>IF('Adj AIXTRON'!B9=0,0,'Adj AIXTRON'!B11/'Adj AIXTRON'!B9)</f>
        <v/>
      </c>
      <c r="C17" s="28">
        <f>IF('Adj AIXTRON'!C9=0,0,'Adj AIXTRON'!C11/'Adj AIXTRON'!C9)</f>
        <v/>
      </c>
      <c r="D17" s="28">
        <f>IF('Adj AIXTRON'!D9=0,0,'Adj AIXTRON'!D11/'Adj AIXTRON'!D9)</f>
        <v/>
      </c>
      <c r="E17" s="28">
        <f>IF('Adj AIXTRON'!E9=0,0,'Adj AIXTRON'!E11/'Adj AIXTRON'!E9)</f>
        <v/>
      </c>
      <c r="F17" s="28">
        <f>IF('Adj AIXTRON'!F9=0,0,'Adj AIXTRON'!F11/'Adj AIXTRON'!F9)</f>
        <v/>
      </c>
      <c r="G17" s="28">
        <f>IF('Adj AIXTRON'!G9=0,0,'Adj AIXTRON'!G11/'Adj AIXTRON'!G9)</f>
        <v/>
      </c>
    </row>
    <row r="18">
      <c r="A18" s="11" t="inlineStr">
        <is>
          <t>EBIT Margin</t>
        </is>
      </c>
      <c r="B18" s="28">
        <f>IF('Adj AIXTRON'!B9=0,0,'Adj AIXTRON'!B25/'Adj AIXTRON'!B9)</f>
        <v/>
      </c>
      <c r="C18" s="28">
        <f>IF('Adj AIXTRON'!C9=0,0,'Adj AIXTRON'!C25/'Adj AIXTRON'!C9)</f>
        <v/>
      </c>
      <c r="D18" s="28">
        <f>IF('Adj AIXTRON'!D9=0,0,'Adj AIXTRON'!D25/'Adj AIXTRON'!D9)</f>
        <v/>
      </c>
      <c r="E18" s="28">
        <f>IF('Adj AIXTRON'!E9=0,0,'Adj AIXTRON'!E25/'Adj AIXTRON'!E9)</f>
        <v/>
      </c>
      <c r="F18" s="28">
        <f>IF('Adj AIXTRON'!F9=0,0,'Adj AIXTRON'!F25/'Adj AIXTRON'!F9)</f>
        <v/>
      </c>
      <c r="G18" s="28">
        <f>IF('Adj AIXTRON'!G9=0,0,'Adj AIXTRON'!G25/'Adj AIXTRON'!G9)</f>
        <v/>
      </c>
    </row>
    <row r="19">
      <c r="A19" s="11" t="inlineStr">
        <is>
          <t>NOPAT Margin</t>
        </is>
      </c>
      <c r="B19" s="28">
        <f>IF('Adj AIXTRON'!B9=0,0,'Adj AIXTRON'!B36/'Adj AIXTRON'!B9)</f>
        <v/>
      </c>
      <c r="C19" s="28">
        <f>IF('Adj AIXTRON'!C9=0,0,'Adj AIXTRON'!C36/'Adj AIXTRON'!C9)</f>
        <v/>
      </c>
      <c r="D19" s="28">
        <f>IF('Adj AIXTRON'!D9=0,0,'Adj AIXTRON'!D36/'Adj AIXTRON'!D9)</f>
        <v/>
      </c>
      <c r="E19" s="28">
        <f>IF('Adj AIXTRON'!E9=0,0,'Adj AIXTRON'!E36/'Adj AIXTRON'!E9)</f>
        <v/>
      </c>
      <c r="F19" s="28">
        <f>IF('Adj AIXTRON'!F9=0,0,'Adj AIXTRON'!F36/'Adj AIXTRON'!F9)</f>
        <v/>
      </c>
      <c r="G19" s="28">
        <f>IF('Adj AIXTRON'!G9=0,0,'Adj AIXTRON'!G36/'Adj AIXTRON'!G9)</f>
        <v/>
      </c>
    </row>
    <row r="21">
      <c r="A21" s="19" t="inlineStr">
        <is>
          <t>COMMON-SIZE INCOME STATEMENT</t>
        </is>
      </c>
      <c r="B21" s="20" t="n"/>
      <c r="C21" s="20" t="n"/>
      <c r="D21" s="20" t="n"/>
      <c r="E21" s="20" t="n"/>
      <c r="F21" s="20" t="n"/>
      <c r="G21" s="20" t="n"/>
    </row>
    <row r="22">
      <c r="A22" s="11" t="inlineStr">
        <is>
          <t>Revenue</t>
        </is>
      </c>
      <c r="B22" s="28">
        <f>1</f>
        <v/>
      </c>
      <c r="C22" s="28">
        <f>1</f>
        <v/>
      </c>
      <c r="D22" s="28">
        <f>1</f>
        <v/>
      </c>
      <c r="E22" s="28">
        <f>1</f>
        <v/>
      </c>
      <c r="F22" s="28">
        <f>1</f>
        <v/>
      </c>
      <c r="G22" s="28">
        <f>1</f>
        <v/>
      </c>
    </row>
    <row r="23">
      <c r="A23" s="11" t="inlineStr">
        <is>
          <t>Cost of Sales / Revenue</t>
        </is>
      </c>
      <c r="B23" s="28">
        <f>IF('Adj AIXTRON'!B9=0,0,'Adj AIXTRON'!B10/'Adj AIXTRON'!B9)</f>
        <v/>
      </c>
      <c r="C23" s="28">
        <f>IF('Adj AIXTRON'!C9=0,0,'Adj AIXTRON'!C10/'Adj AIXTRON'!C9)</f>
        <v/>
      </c>
      <c r="D23" s="28">
        <f>IF('Adj AIXTRON'!D9=0,0,'Adj AIXTRON'!D10/'Adj AIXTRON'!D9)</f>
        <v/>
      </c>
      <c r="E23" s="28">
        <f>IF('Adj AIXTRON'!E9=0,0,'Adj AIXTRON'!E10/'Adj AIXTRON'!E9)</f>
        <v/>
      </c>
      <c r="F23" s="28">
        <f>IF('Adj AIXTRON'!F9=0,0,'Adj AIXTRON'!F10/'Adj AIXTRON'!F9)</f>
        <v/>
      </c>
      <c r="G23" s="28">
        <f>IF('Adj AIXTRON'!G9=0,0,'Adj AIXTRON'!G10/'Adj AIXTRON'!G9)</f>
        <v/>
      </c>
    </row>
    <row r="24">
      <c r="A24" s="11" t="inlineStr">
        <is>
          <t>SG&amp;A / Revenue</t>
        </is>
      </c>
      <c r="B24" s="28">
        <f>IF('Adj AIXTRON'!B9=0,0,'Adj AIXTRON'!B12/'Adj AIXTRON'!B9)</f>
        <v/>
      </c>
      <c r="C24" s="28">
        <f>IF('Adj AIXTRON'!C9=0,0,'Adj AIXTRON'!C12/'Adj AIXTRON'!C9)</f>
        <v/>
      </c>
      <c r="D24" s="28">
        <f>IF('Adj AIXTRON'!D9=0,0,'Adj AIXTRON'!D12/'Adj AIXTRON'!D9)</f>
        <v/>
      </c>
      <c r="E24" s="28">
        <f>IF('Adj AIXTRON'!E9=0,0,'Adj AIXTRON'!E12/'Adj AIXTRON'!E9)</f>
        <v/>
      </c>
      <c r="F24" s="28">
        <f>IF('Adj AIXTRON'!F9=0,0,'Adj AIXTRON'!F12/'Adj AIXTRON'!F9)</f>
        <v/>
      </c>
      <c r="G24" s="28">
        <f>IF('Adj AIXTRON'!G9=0,0,'Adj AIXTRON'!G12/'Adj AIXTRON'!G9)</f>
        <v/>
      </c>
    </row>
    <row r="25">
      <c r="A25" s="11" t="inlineStr">
        <is>
          <t>R&amp;D / Revenue</t>
        </is>
      </c>
      <c r="B25" s="28">
        <f>IF('Adj AIXTRON'!B9=0,0,'Adj AIXTRON'!B13/'Adj AIXTRON'!B9)</f>
        <v/>
      </c>
      <c r="C25" s="28">
        <f>IF('Adj AIXTRON'!C9=0,0,'Adj AIXTRON'!C13/'Adj AIXTRON'!C9)</f>
        <v/>
      </c>
      <c r="D25" s="28">
        <f>IF('Adj AIXTRON'!D9=0,0,'Adj AIXTRON'!D13/'Adj AIXTRON'!D9)</f>
        <v/>
      </c>
      <c r="E25" s="28">
        <f>IF('Adj AIXTRON'!E9=0,0,'Adj AIXTRON'!E13/'Adj AIXTRON'!E9)</f>
        <v/>
      </c>
      <c r="F25" s="28">
        <f>IF('Adj AIXTRON'!F9=0,0,'Adj AIXTRON'!F13/'Adj AIXTRON'!F9)</f>
        <v/>
      </c>
      <c r="G25" s="28">
        <f>IF('Adj AIXTRON'!G9=0,0,'Adj AIXTRON'!G13/'Adj AIXTRON'!G9)</f>
        <v/>
      </c>
    </row>
    <row r="27">
      <c r="A27" s="19" t="inlineStr">
        <is>
          <t>ASSET MANAGEMENT</t>
        </is>
      </c>
      <c r="B27" s="20" t="n"/>
      <c r="C27" s="20" t="n"/>
      <c r="D27" s="20" t="n"/>
      <c r="E27" s="20" t="n"/>
      <c r="F27" s="20" t="n"/>
      <c r="G27" s="20" t="n"/>
    </row>
    <row r="28">
      <c r="A28" s="11" t="inlineStr">
        <is>
          <t>Receivables Turnover</t>
        </is>
      </c>
      <c r="B28" s="40" t="inlineStr">
        <is>
          <t>N/A</t>
        </is>
      </c>
      <c r="C28" s="41">
        <f>IF(AVERAGE('Adj AIXTRON'!B45,'Adj AIXTRON'!C45)=0,0,'Adj AIXTRON'!C9/AVERAGE('Adj AIXTRON'!B45,'Adj AIXTRON'!C45))</f>
        <v/>
      </c>
      <c r="D28" s="41">
        <f>IF(AVERAGE('Adj AIXTRON'!C45,'Adj AIXTRON'!D45)=0,0,'Adj AIXTRON'!D9/AVERAGE('Adj AIXTRON'!C45,'Adj AIXTRON'!D45))</f>
        <v/>
      </c>
      <c r="E28" s="41">
        <f>IF(AVERAGE('Adj AIXTRON'!D45,'Adj AIXTRON'!E45)=0,0,'Adj AIXTRON'!E9/AVERAGE('Adj AIXTRON'!D45,'Adj AIXTRON'!E45))</f>
        <v/>
      </c>
      <c r="F28" s="41">
        <f>IF(AVERAGE('Adj AIXTRON'!E45,'Adj AIXTRON'!F45)=0,0,'Adj AIXTRON'!F9/AVERAGE('Adj AIXTRON'!E45,'Adj AIXTRON'!F45))</f>
        <v/>
      </c>
      <c r="G28" s="41">
        <f>IF(AVERAGE('Adj AIXTRON'!F45,'Adj AIXTRON'!G45)=0,0,'Adj AIXTRON'!G9/AVERAGE('Adj AIXTRON'!F45,'Adj AIXTRON'!G45))</f>
        <v/>
      </c>
    </row>
    <row r="29">
      <c r="A29" s="11" t="inlineStr">
        <is>
          <t>Days Receivable</t>
        </is>
      </c>
      <c r="B29" s="40" t="inlineStr">
        <is>
          <t>N/A</t>
        </is>
      </c>
      <c r="C29" s="41">
        <f>IF(C28=0,0,365/C28)</f>
        <v/>
      </c>
      <c r="D29" s="41">
        <f>IF(D28=0,0,365/D28)</f>
        <v/>
      </c>
      <c r="E29" s="41">
        <f>IF(E28=0,0,365/E28)</f>
        <v/>
      </c>
      <c r="F29" s="41">
        <f>IF(F28=0,0,365/F28)</f>
        <v/>
      </c>
      <c r="G29" s="41">
        <f>IF(G28=0,0,365/G28)</f>
        <v/>
      </c>
    </row>
    <row r="30">
      <c r="A30" s="11" t="inlineStr">
        <is>
          <t>Inventory Turnover</t>
        </is>
      </c>
      <c r="B30" s="40" t="inlineStr">
        <is>
          <t>N/A</t>
        </is>
      </c>
      <c r="C30" s="41">
        <f>IF(AVERAGE('Adj AIXTRON'!B47,'Adj AIXTRON'!C47)=0,0,'Adj AIXTRON'!C10/AVERAGE('Adj AIXTRON'!B47,'Adj AIXTRON'!C47))</f>
        <v/>
      </c>
      <c r="D30" s="41">
        <f>IF(AVERAGE('Adj AIXTRON'!C47,'Adj AIXTRON'!D47)=0,0,'Adj AIXTRON'!D10/AVERAGE('Adj AIXTRON'!C47,'Adj AIXTRON'!D47))</f>
        <v/>
      </c>
      <c r="E30" s="41">
        <f>IF(AVERAGE('Adj AIXTRON'!D47,'Adj AIXTRON'!E47)=0,0,'Adj AIXTRON'!E10/AVERAGE('Adj AIXTRON'!D47,'Adj AIXTRON'!E47))</f>
        <v/>
      </c>
      <c r="F30" s="41">
        <f>IF(AVERAGE('Adj AIXTRON'!E47,'Adj AIXTRON'!F47)=0,0,'Adj AIXTRON'!F10/AVERAGE('Adj AIXTRON'!E47,'Adj AIXTRON'!F47))</f>
        <v/>
      </c>
      <c r="G30" s="41">
        <f>IF(AVERAGE('Adj AIXTRON'!F47,'Adj AIXTRON'!G47)=0,0,'Adj AIXTRON'!G10/AVERAGE('Adj AIXTRON'!F47,'Adj AIXTRON'!G47))</f>
        <v/>
      </c>
    </row>
    <row r="31">
      <c r="A31" s="11" t="inlineStr">
        <is>
          <t>Days Inventory</t>
        </is>
      </c>
      <c r="B31" s="40" t="inlineStr">
        <is>
          <t>N/A</t>
        </is>
      </c>
      <c r="C31" s="41">
        <f>IF(C30=0,0,365/C30)</f>
        <v/>
      </c>
      <c r="D31" s="41">
        <f>IF(D30=0,0,365/D30)</f>
        <v/>
      </c>
      <c r="E31" s="41">
        <f>IF(E30=0,0,365/E30)</f>
        <v/>
      </c>
      <c r="F31" s="41">
        <f>IF(F30=0,0,365/F30)</f>
        <v/>
      </c>
      <c r="G31" s="41">
        <f>IF(G30=0,0,365/G30)</f>
        <v/>
      </c>
    </row>
    <row r="32">
      <c r="A32" s="11" t="inlineStr">
        <is>
          <t>Payables Turnover</t>
        </is>
      </c>
      <c r="B32" s="40" t="inlineStr">
        <is>
          <t>N/A</t>
        </is>
      </c>
      <c r="C32" s="41">
        <f>IF(AVERAGE('Adj AIXTRON'!B49,'Adj AIXTRON'!C49)=0,0,'Adj AIXTRON'!C10/AVERAGE('Adj AIXTRON'!B49,'Adj AIXTRON'!C49))</f>
        <v/>
      </c>
      <c r="D32" s="41">
        <f>IF(AVERAGE('Adj AIXTRON'!C49,'Adj AIXTRON'!D49)=0,0,'Adj AIXTRON'!D10/AVERAGE('Adj AIXTRON'!C49,'Adj AIXTRON'!D49))</f>
        <v/>
      </c>
      <c r="E32" s="41">
        <f>IF(AVERAGE('Adj AIXTRON'!D49,'Adj AIXTRON'!E49)=0,0,'Adj AIXTRON'!E10/AVERAGE('Adj AIXTRON'!D49,'Adj AIXTRON'!E49))</f>
        <v/>
      </c>
      <c r="F32" s="41">
        <f>IF(AVERAGE('Adj AIXTRON'!E49,'Adj AIXTRON'!F49)=0,0,'Adj AIXTRON'!F10/AVERAGE('Adj AIXTRON'!E49,'Adj AIXTRON'!F49))</f>
        <v/>
      </c>
      <c r="G32" s="41">
        <f>IF(AVERAGE('Adj AIXTRON'!F49,'Adj AIXTRON'!G49)=0,0,'Adj AIXTRON'!G10/AVERAGE('Adj AIXTRON'!F49,'Adj AIXTRON'!G49))</f>
        <v/>
      </c>
    </row>
    <row r="33">
      <c r="A33" s="11" t="inlineStr">
        <is>
          <t>Days Payable</t>
        </is>
      </c>
      <c r="B33" s="40" t="inlineStr">
        <is>
          <t>N/A</t>
        </is>
      </c>
      <c r="C33" s="41">
        <f>IF(C32=0,0,365/C32)</f>
        <v/>
      </c>
      <c r="D33" s="41">
        <f>IF(D32=0,0,365/D32)</f>
        <v/>
      </c>
      <c r="E33" s="41">
        <f>IF(E32=0,0,365/E32)</f>
        <v/>
      </c>
      <c r="F33" s="41">
        <f>IF(F32=0,0,365/F32)</f>
        <v/>
      </c>
      <c r="G33" s="41">
        <f>IF(G32=0,0,365/G32)</f>
        <v/>
      </c>
    </row>
    <row r="34">
      <c r="A34" s="22" t="inlineStr">
        <is>
          <t>Cash Conversion Cycle</t>
        </is>
      </c>
      <c r="B34" s="40" t="inlineStr">
        <is>
          <t>N/A</t>
        </is>
      </c>
      <c r="C34" s="41">
        <f>C31+C29-C33</f>
        <v/>
      </c>
      <c r="D34" s="41">
        <f>D31+D29-D33</f>
        <v/>
      </c>
      <c r="E34" s="41">
        <f>E31+E29-E33</f>
        <v/>
      </c>
      <c r="F34" s="41">
        <f>F31+F29-F33</f>
        <v/>
      </c>
      <c r="G34" s="41">
        <f>G31+G29-G33</f>
        <v/>
      </c>
    </row>
    <row r="36">
      <c r="A36" s="11" t="inlineStr">
        <is>
          <t>OWC / Revenue</t>
        </is>
      </c>
      <c r="B36" s="28">
        <f>IF('Adj AIXTRON'!B9=0,0,'Adj AIXTRON'!B54/'Adj AIXTRON'!B9)</f>
        <v/>
      </c>
      <c r="C36" s="28">
        <f>IF('Adj AIXTRON'!C9=0,0,'Adj AIXTRON'!C54/'Adj AIXTRON'!C9)</f>
        <v/>
      </c>
      <c r="D36" s="28">
        <f>IF('Adj AIXTRON'!D9=0,0,'Adj AIXTRON'!D54/'Adj AIXTRON'!D9)</f>
        <v/>
      </c>
      <c r="E36" s="28">
        <f>IF('Adj AIXTRON'!E9=0,0,'Adj AIXTRON'!E54/'Adj AIXTRON'!E9)</f>
        <v/>
      </c>
      <c r="F36" s="28">
        <f>IF('Adj AIXTRON'!F9=0,0,'Adj AIXTRON'!F54/'Adj AIXTRON'!F9)</f>
        <v/>
      </c>
      <c r="G36" s="28">
        <f>IF('Adj AIXTRON'!G9=0,0,'Adj AIXTRON'!G54/'Adj AIXTRON'!G9)</f>
        <v/>
      </c>
    </row>
    <row r="37">
      <c r="A37" s="11" t="inlineStr">
        <is>
          <t>PP&amp;E / Revenue</t>
        </is>
      </c>
      <c r="B37" s="28">
        <f>IF('Adj AIXTRON'!B9=0,0,'Adj AIXTRON'!B57/'Adj AIXTRON'!B9)</f>
        <v/>
      </c>
      <c r="C37" s="28">
        <f>IF('Adj AIXTRON'!C9=0,0,'Adj AIXTRON'!C57/'Adj AIXTRON'!C9)</f>
        <v/>
      </c>
      <c r="D37" s="28">
        <f>IF('Adj AIXTRON'!D9=0,0,'Adj AIXTRON'!D57/'Adj AIXTRON'!D9)</f>
        <v/>
      </c>
      <c r="E37" s="28">
        <f>IF('Adj AIXTRON'!E9=0,0,'Adj AIXTRON'!E57/'Adj AIXTRON'!E9)</f>
        <v/>
      </c>
      <c r="F37" s="28">
        <f>IF('Adj AIXTRON'!F9=0,0,'Adj AIXTRON'!F57/'Adj AIXTRON'!F9)</f>
        <v/>
      </c>
      <c r="G37" s="28">
        <f>IF('Adj AIXTRON'!G9=0,0,'Adj AIXTRON'!G57/'Adj AIXTRON'!G9)</f>
        <v/>
      </c>
    </row>
    <row r="39">
      <c r="A39" s="19" t="inlineStr">
        <is>
          <t>LIQUIDITY &amp; SOLVENCY</t>
        </is>
      </c>
      <c r="B39" s="20" t="n"/>
      <c r="C39" s="20" t="n"/>
      <c r="D39" s="20" t="n"/>
      <c r="E39" s="20" t="n"/>
      <c r="F39" s="20" t="n"/>
      <c r="G39" s="20" t="n"/>
    </row>
    <row r="40">
      <c r="A40" s="11" t="inlineStr">
        <is>
          <t>Cash / Total Debt</t>
        </is>
      </c>
      <c r="B40" s="41">
        <f>IF('Adj AIXTRON'!B78=0,0,'Adj AIXTRON'!B79/'Adj AIXTRON'!B78)</f>
        <v/>
      </c>
      <c r="C40" s="41">
        <f>IF('Adj AIXTRON'!C78=0,0,'Adj AIXTRON'!C79/'Adj AIXTRON'!C78)</f>
        <v/>
      </c>
      <c r="D40" s="41">
        <f>IF('Adj AIXTRON'!D78=0,0,'Adj AIXTRON'!D79/'Adj AIXTRON'!D78)</f>
        <v/>
      </c>
      <c r="E40" s="41">
        <f>IF('Adj AIXTRON'!E78=0,0,'Adj AIXTRON'!E79/'Adj AIXTRON'!E78)</f>
        <v/>
      </c>
      <c r="F40" s="41">
        <f>IF('Adj AIXTRON'!F78=0,0,'Adj AIXTRON'!F79/'Adj AIXTRON'!F78)</f>
        <v/>
      </c>
      <c r="G40" s="41">
        <f>IF('Adj AIXTRON'!G78=0,0,'Adj AIXTRON'!G79/'Adj AIXTRON'!G78)</f>
        <v/>
      </c>
    </row>
    <row r="41">
      <c r="A41" s="11" t="inlineStr">
        <is>
          <t>Debt-to-Equity</t>
        </is>
      </c>
      <c r="B41" s="41">
        <f>IF('Adj AIXTRON'!B81=0,0,'Adj AIXTRON'!B78/'Adj AIXTRON'!B81)</f>
        <v/>
      </c>
      <c r="C41" s="41">
        <f>IF('Adj AIXTRON'!C81=0,0,'Adj AIXTRON'!C78/'Adj AIXTRON'!C81)</f>
        <v/>
      </c>
      <c r="D41" s="41">
        <f>IF('Adj AIXTRON'!D81=0,0,'Adj AIXTRON'!D78/'Adj AIXTRON'!D81)</f>
        <v/>
      </c>
      <c r="E41" s="41">
        <f>IF('Adj AIXTRON'!E81=0,0,'Adj AIXTRON'!E78/'Adj AIXTRON'!E81)</f>
        <v/>
      </c>
      <c r="F41" s="41">
        <f>IF('Adj AIXTRON'!F81=0,0,'Adj AIXTRON'!F78/'Adj AIXTRON'!F81)</f>
        <v/>
      </c>
      <c r="G41" s="41">
        <f>IF('Adj AIXTRON'!G81=0,0,'Adj AIXTRON'!G78/'Adj AIXTRON'!G81)</f>
        <v/>
      </c>
    </row>
    <row r="42">
      <c r="A42" s="11" t="inlineStr">
        <is>
          <t>Interest Coverage</t>
        </is>
      </c>
      <c r="B42" s="41">
        <f>IF(ABS('Adj AIXTRON'!B29)=0,0,'Adj AIXTRON'!B25/ABS('Adj AIXTRON'!B29))</f>
        <v/>
      </c>
      <c r="C42" s="41">
        <f>IF(ABS('Adj AIXTRON'!C29)=0,0,'Adj AIXTRON'!C25/ABS('Adj AIXTRON'!C29))</f>
        <v/>
      </c>
      <c r="D42" s="41">
        <f>IF(ABS('Adj AIXTRON'!D29)=0,0,'Adj AIXTRON'!D25/ABS('Adj AIXTRON'!D29))</f>
        <v/>
      </c>
      <c r="E42" s="41">
        <f>IF(ABS('Adj AIXTRON'!E29)=0,0,'Adj AIXTRON'!E25/ABS('Adj AIXTRON'!E29))</f>
        <v/>
      </c>
      <c r="F42" s="41">
        <f>IF(ABS('Adj AIXTRON'!F29)=0,0,'Adj AIXTRON'!F25/ABS('Adj AIXTRON'!F29))</f>
        <v/>
      </c>
      <c r="G42" s="41">
        <f>IF(ABS('Adj AIXTRON'!G29)=0,0,'Adj AIXTRON'!G25/ABS('Adj AIXTRON'!G29))</f>
        <v/>
      </c>
    </row>
    <row r="44">
      <c r="A44" s="19" t="inlineStr">
        <is>
          <t>GROWTH</t>
        </is>
      </c>
      <c r="B44" s="20" t="n"/>
      <c r="C44" s="20" t="n"/>
      <c r="D44" s="20" t="n"/>
      <c r="E44" s="20" t="n"/>
      <c r="F44" s="20" t="n"/>
      <c r="G44" s="20" t="n"/>
    </row>
    <row r="45">
      <c r="A45" s="11" t="inlineStr">
        <is>
          <t>Revenue Growth</t>
        </is>
      </c>
      <c r="B45" s="39" t="inlineStr">
        <is>
          <t>N/A</t>
        </is>
      </c>
      <c r="C45" s="28">
        <f>IF('Adj AIXTRON'!B9=0,0,'Adj AIXTRON'!C9/'Adj AIXTRON'!B9-1)</f>
        <v/>
      </c>
      <c r="D45" s="28">
        <f>IF('Adj AIXTRON'!C9=0,0,'Adj AIXTRON'!D9/'Adj AIXTRON'!C9-1)</f>
        <v/>
      </c>
      <c r="E45" s="28">
        <f>IF('Adj AIXTRON'!D9=0,0,'Adj AIXTRON'!E9/'Adj AIXTRON'!D9-1)</f>
        <v/>
      </c>
      <c r="F45" s="28">
        <f>IF('Adj AIXTRON'!E9=0,0,'Adj AIXTRON'!F9/'Adj AIXTRON'!E9-1)</f>
        <v/>
      </c>
      <c r="G45" s="28">
        <f>IF('Adj AIXTRON'!F9=0,0,'Adj AIXTRON'!G9/'Adj AIXTRON'!F9-1)</f>
        <v/>
      </c>
    </row>
    <row r="46">
      <c r="A46" s="11" t="inlineStr">
        <is>
          <t>Sustainable Growth</t>
        </is>
      </c>
      <c r="B46" s="39" t="inlineStr">
        <is>
          <t>N/A</t>
        </is>
      </c>
      <c r="C46" s="28">
        <f>IF('Adj AIXTRON'!C33=0,0,(1-'Adj AIXTRON'!C40*'Adj AIXTRON'!C38/1000/'Adj AIXTRON'!C33)*C6)</f>
        <v/>
      </c>
      <c r="D46" s="28">
        <f>IF('Adj AIXTRON'!D33=0,0,(1-'Adj AIXTRON'!D40*'Adj AIXTRON'!D38/1000/'Adj AIXTRON'!D33)*D6)</f>
        <v/>
      </c>
      <c r="E46" s="28">
        <f>IF('Adj AIXTRON'!E33=0,0,(1-'Adj AIXTRON'!E40*'Adj AIXTRON'!E38/1000/'Adj AIXTRON'!E33)*E6)</f>
        <v/>
      </c>
      <c r="F46" s="28">
        <f>IF('Adj AIXTRON'!F33=0,0,(1-'Adj AIXTRON'!F40*'Adj AIXTRON'!F38/1000/'Adj AIXTRON'!F33)*F6)</f>
        <v/>
      </c>
      <c r="G46" s="28">
        <f>IF('Adj AIXTRON'!G33=0,0,(1-'Adj AIXTRON'!G40*'Adj AIXTRON'!G38/1000/'Adj AIXTRON'!G33)*G6)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Ratio Analysis - AMAT</t>
        </is>
      </c>
    </row>
    <row r="2">
      <c r="A2" s="15" t="inlineStr">
        <is>
          <t>(derived from Adjusted statements)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5">
      <c r="A5" s="19" t="inlineStr">
        <is>
          <t>PROFITABILITY</t>
        </is>
      </c>
      <c r="B5" s="20" t="n"/>
      <c r="C5" s="20" t="n"/>
      <c r="D5" s="20" t="n"/>
      <c r="E5" s="20" t="n"/>
      <c r="F5" s="20" t="n"/>
      <c r="G5" s="20" t="n"/>
    </row>
    <row r="6">
      <c r="A6" s="22" t="inlineStr">
        <is>
          <t>ROE</t>
        </is>
      </c>
      <c r="B6" s="39" t="inlineStr">
        <is>
          <t>N/A</t>
        </is>
      </c>
      <c r="C6" s="28">
        <f>IF(AVERAGE('Adj AMAT'!B81,'Adj AMAT'!C81)=0,0,'Adj AMAT'!C33/AVERAGE('Adj AMAT'!B81,'Adj AMAT'!C81))</f>
        <v/>
      </c>
      <c r="D6" s="28">
        <f>IF(AVERAGE('Adj AMAT'!C81,'Adj AMAT'!D81)=0,0,'Adj AMAT'!D33/AVERAGE('Adj AMAT'!C81,'Adj AMAT'!D81))</f>
        <v/>
      </c>
      <c r="E6" s="28">
        <f>IF(AVERAGE('Adj AMAT'!D81,'Adj AMAT'!E81)=0,0,'Adj AMAT'!E33/AVERAGE('Adj AMAT'!D81,'Adj AMAT'!E81))</f>
        <v/>
      </c>
      <c r="F6" s="28">
        <f>IF(AVERAGE('Adj AMAT'!E81,'Adj AMAT'!F81)=0,0,'Adj AMAT'!F33/AVERAGE('Adj AMAT'!E81,'Adj AMAT'!F81))</f>
        <v/>
      </c>
      <c r="G6" s="28">
        <f>IF(AVERAGE('Adj AMAT'!F81,'Adj AMAT'!G81)=0,0,'Adj AMAT'!G33/AVERAGE('Adj AMAT'!F81,'Adj AMAT'!G81))</f>
        <v/>
      </c>
    </row>
    <row r="7">
      <c r="A7" s="11" t="inlineStr">
        <is>
          <t xml:space="preserve">    Net Profit Margin (ROS)</t>
        </is>
      </c>
      <c r="B7" s="28">
        <f>IF('Adj AMAT'!B9=0,0,'Adj AMAT'!B33/'Adj AMAT'!B9)</f>
        <v/>
      </c>
      <c r="C7" s="28">
        <f>IF('Adj AMAT'!C9=0,0,'Adj AMAT'!C33/'Adj AMAT'!C9)</f>
        <v/>
      </c>
      <c r="D7" s="28">
        <f>IF('Adj AMAT'!D9=0,0,'Adj AMAT'!D33/'Adj AMAT'!D9)</f>
        <v/>
      </c>
      <c r="E7" s="28">
        <f>IF('Adj AMAT'!E9=0,0,'Adj AMAT'!E33/'Adj AMAT'!E9)</f>
        <v/>
      </c>
      <c r="F7" s="28">
        <f>IF('Adj AMAT'!F9=0,0,'Adj AMAT'!F33/'Adj AMAT'!F9)</f>
        <v/>
      </c>
      <c r="G7" s="28">
        <f>IF('Adj AMAT'!G9=0,0,'Adj AMAT'!G33/'Adj AMAT'!G9)</f>
        <v/>
      </c>
    </row>
    <row r="8">
      <c r="A8" s="11" t="inlineStr">
        <is>
          <t xml:space="preserve">    x Asset Turnover</t>
        </is>
      </c>
      <c r="B8" s="40" t="inlineStr">
        <is>
          <t>N/A</t>
        </is>
      </c>
      <c r="C8" s="41">
        <f>IF(AVERAGE('Adj AMAT'!B73,'Adj AMAT'!C73)=0,0,'Adj AMAT'!C9/AVERAGE('Adj AMAT'!B73,'Adj AMAT'!C73))</f>
        <v/>
      </c>
      <c r="D8" s="41">
        <f>IF(AVERAGE('Adj AMAT'!C73,'Adj AMAT'!D73)=0,0,'Adj AMAT'!D9/AVERAGE('Adj AMAT'!C73,'Adj AMAT'!D73))</f>
        <v/>
      </c>
      <c r="E8" s="41">
        <f>IF(AVERAGE('Adj AMAT'!D73,'Adj AMAT'!E73)=0,0,'Adj AMAT'!E9/AVERAGE('Adj AMAT'!D73,'Adj AMAT'!E73))</f>
        <v/>
      </c>
      <c r="F8" s="41">
        <f>IF(AVERAGE('Adj AMAT'!E73,'Adj AMAT'!F73)=0,0,'Adj AMAT'!F9/AVERAGE('Adj AMAT'!E73,'Adj AMAT'!F73))</f>
        <v/>
      </c>
      <c r="G8" s="41">
        <f>IF(AVERAGE('Adj AMAT'!F73,'Adj AMAT'!G73)=0,0,'Adj AMAT'!G9/AVERAGE('Adj AMAT'!F73,'Adj AMAT'!G73))</f>
        <v/>
      </c>
    </row>
    <row r="9">
      <c r="A9" s="11" t="inlineStr">
        <is>
          <t xml:space="preserve">    = ROA</t>
        </is>
      </c>
      <c r="B9" s="39" t="inlineStr">
        <is>
          <t>N/A</t>
        </is>
      </c>
      <c r="C9" s="28">
        <f>C7*C8</f>
        <v/>
      </c>
      <c r="D9" s="28">
        <f>D7*D8</f>
        <v/>
      </c>
      <c r="E9" s="28">
        <f>E7*E8</f>
        <v/>
      </c>
      <c r="F9" s="28">
        <f>F7*F8</f>
        <v/>
      </c>
      <c r="G9" s="28">
        <f>G7*G8</f>
        <v/>
      </c>
    </row>
    <row r="10">
      <c r="A10" s="11" t="inlineStr">
        <is>
          <t xml:space="preserve">    x Financial Leverage</t>
        </is>
      </c>
      <c r="B10" s="40" t="inlineStr">
        <is>
          <t>N/A</t>
        </is>
      </c>
      <c r="C10" s="41">
        <f>IF(AVERAGE('Adj AMAT'!B81,'Adj AMAT'!C81)=0,0,AVERAGE('Adj AMAT'!B73,'Adj AMAT'!C73)/AVERAGE('Adj AMAT'!B81,'Adj AMAT'!C81))</f>
        <v/>
      </c>
      <c r="D10" s="41">
        <f>IF(AVERAGE('Adj AMAT'!C81,'Adj AMAT'!D81)=0,0,AVERAGE('Adj AMAT'!C73,'Adj AMAT'!D73)/AVERAGE('Adj AMAT'!C81,'Adj AMAT'!D81))</f>
        <v/>
      </c>
      <c r="E10" s="41">
        <f>IF(AVERAGE('Adj AMAT'!D81,'Adj AMAT'!E81)=0,0,AVERAGE('Adj AMAT'!D73,'Adj AMAT'!E73)/AVERAGE('Adj AMAT'!D81,'Adj AMAT'!E81))</f>
        <v/>
      </c>
      <c r="F10" s="41">
        <f>IF(AVERAGE('Adj AMAT'!E81,'Adj AMAT'!F81)=0,0,AVERAGE('Adj AMAT'!E73,'Adj AMAT'!F73)/AVERAGE('Adj AMAT'!E81,'Adj AMAT'!F81))</f>
        <v/>
      </c>
      <c r="G10" s="41">
        <f>IF(AVERAGE('Adj AMAT'!F81,'Adj AMAT'!G81)=0,0,AVERAGE('Adj AMAT'!F73,'Adj AMAT'!G73)/AVERAGE('Adj AMAT'!F81,'Adj AMAT'!G81))</f>
        <v/>
      </c>
    </row>
    <row r="11">
      <c r="A11" s="11" t="inlineStr">
        <is>
          <t xml:space="preserve">    = ROE check (ROA x Leverage)</t>
        </is>
      </c>
      <c r="B11" s="39" t="inlineStr">
        <is>
          <t>N/A</t>
        </is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</row>
    <row r="13">
      <c r="A13" s="22" t="inlineStr">
        <is>
          <t>RNOA</t>
        </is>
      </c>
      <c r="B13" s="39" t="inlineStr">
        <is>
          <t>N/A</t>
        </is>
      </c>
      <c r="C13" s="28">
        <f>IF(AVERAGE('Adj AMAT'!B67,'Adj AMAT'!C67)=0,0,'Adj AMAT'!C36/AVERAGE('Adj AMAT'!B67,'Adj AMAT'!C67))</f>
        <v/>
      </c>
      <c r="D13" s="28">
        <f>IF(AVERAGE('Adj AMAT'!C67,'Adj AMAT'!D67)=0,0,'Adj AMAT'!D36/AVERAGE('Adj AMAT'!C67,'Adj AMAT'!D67))</f>
        <v/>
      </c>
      <c r="E13" s="28">
        <f>IF(AVERAGE('Adj AMAT'!D67,'Adj AMAT'!E67)=0,0,'Adj AMAT'!E36/AVERAGE('Adj AMAT'!D67,'Adj AMAT'!E67))</f>
        <v/>
      </c>
      <c r="F13" s="28">
        <f>IF(AVERAGE('Adj AMAT'!E67,'Adj AMAT'!F67)=0,0,'Adj AMAT'!F36/AVERAGE('Adj AMAT'!E67,'Adj AMAT'!F67))</f>
        <v/>
      </c>
      <c r="G13" s="28">
        <f>IF(AVERAGE('Adj AMAT'!F67,'Adj AMAT'!G67)=0,0,'Adj AMAT'!G36/AVERAGE('Adj AMAT'!F67,'Adj AMAT'!G67))</f>
        <v/>
      </c>
    </row>
    <row r="14">
      <c r="A14" s="11" t="inlineStr">
        <is>
          <t xml:space="preserve">    NOPAT Margin</t>
        </is>
      </c>
      <c r="B14" s="28">
        <f>IF('Adj AMAT'!B9=0,0,'Adj AMAT'!B36/'Adj AMAT'!B9)</f>
        <v/>
      </c>
      <c r="C14" s="28">
        <f>IF('Adj AMAT'!C9=0,0,'Adj AMAT'!C36/'Adj AMAT'!C9)</f>
        <v/>
      </c>
      <c r="D14" s="28">
        <f>IF('Adj AMAT'!D9=0,0,'Adj AMAT'!D36/'Adj AMAT'!D9)</f>
        <v/>
      </c>
      <c r="E14" s="28">
        <f>IF('Adj AMAT'!E9=0,0,'Adj AMAT'!E36/'Adj AMAT'!E9)</f>
        <v/>
      </c>
      <c r="F14" s="28">
        <f>IF('Adj AMAT'!F9=0,0,'Adj AMAT'!F36/'Adj AMAT'!F9)</f>
        <v/>
      </c>
      <c r="G14" s="28">
        <f>IF('Adj AMAT'!G9=0,0,'Adj AMAT'!G36/'Adj AMAT'!G9)</f>
        <v/>
      </c>
    </row>
    <row r="15">
      <c r="A15" s="11" t="inlineStr">
        <is>
          <t xml:space="preserve">    x NOA Turnover</t>
        </is>
      </c>
      <c r="B15" s="40" t="inlineStr">
        <is>
          <t>N/A</t>
        </is>
      </c>
      <c r="C15" s="41">
        <f>IF(AVERAGE('Adj AMAT'!B67,'Adj AMAT'!C67)=0,0,'Adj AMAT'!C9/AVERAGE('Adj AMAT'!B67,'Adj AMAT'!C67))</f>
        <v/>
      </c>
      <c r="D15" s="41">
        <f>IF(AVERAGE('Adj AMAT'!C67,'Adj AMAT'!D67)=0,0,'Adj AMAT'!D9/AVERAGE('Adj AMAT'!C67,'Adj AMAT'!D67))</f>
        <v/>
      </c>
      <c r="E15" s="41">
        <f>IF(AVERAGE('Adj AMAT'!D67,'Adj AMAT'!E67)=0,0,'Adj AMAT'!E9/AVERAGE('Adj AMAT'!D67,'Adj AMAT'!E67))</f>
        <v/>
      </c>
      <c r="F15" s="41">
        <f>IF(AVERAGE('Adj AMAT'!E67,'Adj AMAT'!F67)=0,0,'Adj AMAT'!F9/AVERAGE('Adj AMAT'!E67,'Adj AMAT'!F67))</f>
        <v/>
      </c>
      <c r="G15" s="41">
        <f>IF(AVERAGE('Adj AMAT'!F67,'Adj AMAT'!G67)=0,0,'Adj AMAT'!G9/AVERAGE('Adj AMAT'!F67,'Adj AMAT'!G67))</f>
        <v/>
      </c>
    </row>
    <row r="17">
      <c r="A17" s="11" t="inlineStr">
        <is>
          <t>Gross Profit Margin</t>
        </is>
      </c>
      <c r="B17" s="28">
        <f>IF('Adj AMAT'!B9=0,0,'Adj AMAT'!B11/'Adj AMAT'!B9)</f>
        <v/>
      </c>
      <c r="C17" s="28">
        <f>IF('Adj AMAT'!C9=0,0,'Adj AMAT'!C11/'Adj AMAT'!C9)</f>
        <v/>
      </c>
      <c r="D17" s="28">
        <f>IF('Adj AMAT'!D9=0,0,'Adj AMAT'!D11/'Adj AMAT'!D9)</f>
        <v/>
      </c>
      <c r="E17" s="28">
        <f>IF('Adj AMAT'!E9=0,0,'Adj AMAT'!E11/'Adj AMAT'!E9)</f>
        <v/>
      </c>
      <c r="F17" s="28">
        <f>IF('Adj AMAT'!F9=0,0,'Adj AMAT'!F11/'Adj AMAT'!F9)</f>
        <v/>
      </c>
      <c r="G17" s="28">
        <f>IF('Adj AMAT'!G9=0,0,'Adj AMAT'!G11/'Adj AMAT'!G9)</f>
        <v/>
      </c>
    </row>
    <row r="18">
      <c r="A18" s="11" t="inlineStr">
        <is>
          <t>EBIT Margin</t>
        </is>
      </c>
      <c r="B18" s="28">
        <f>IF('Adj AMAT'!B9=0,0,'Adj AMAT'!B25/'Adj AMAT'!B9)</f>
        <v/>
      </c>
      <c r="C18" s="28">
        <f>IF('Adj AMAT'!C9=0,0,'Adj AMAT'!C25/'Adj AMAT'!C9)</f>
        <v/>
      </c>
      <c r="D18" s="28">
        <f>IF('Adj AMAT'!D9=0,0,'Adj AMAT'!D25/'Adj AMAT'!D9)</f>
        <v/>
      </c>
      <c r="E18" s="28">
        <f>IF('Adj AMAT'!E9=0,0,'Adj AMAT'!E25/'Adj AMAT'!E9)</f>
        <v/>
      </c>
      <c r="F18" s="28">
        <f>IF('Adj AMAT'!F9=0,0,'Adj AMAT'!F25/'Adj AMAT'!F9)</f>
        <v/>
      </c>
      <c r="G18" s="28">
        <f>IF('Adj AMAT'!G9=0,0,'Adj AMAT'!G25/'Adj AMAT'!G9)</f>
        <v/>
      </c>
    </row>
    <row r="19">
      <c r="A19" s="11" t="inlineStr">
        <is>
          <t>NOPAT Margin</t>
        </is>
      </c>
      <c r="B19" s="28">
        <f>IF('Adj AMAT'!B9=0,0,'Adj AMAT'!B36/'Adj AMAT'!B9)</f>
        <v/>
      </c>
      <c r="C19" s="28">
        <f>IF('Adj AMAT'!C9=0,0,'Adj AMAT'!C36/'Adj AMAT'!C9)</f>
        <v/>
      </c>
      <c r="D19" s="28">
        <f>IF('Adj AMAT'!D9=0,0,'Adj AMAT'!D36/'Adj AMAT'!D9)</f>
        <v/>
      </c>
      <c r="E19" s="28">
        <f>IF('Adj AMAT'!E9=0,0,'Adj AMAT'!E36/'Adj AMAT'!E9)</f>
        <v/>
      </c>
      <c r="F19" s="28">
        <f>IF('Adj AMAT'!F9=0,0,'Adj AMAT'!F36/'Adj AMAT'!F9)</f>
        <v/>
      </c>
      <c r="G19" s="28">
        <f>IF('Adj AMAT'!G9=0,0,'Adj AMAT'!G36/'Adj AMAT'!G9)</f>
        <v/>
      </c>
    </row>
    <row r="21">
      <c r="A21" s="19" t="inlineStr">
        <is>
          <t>COMMON-SIZE INCOME STATEMENT</t>
        </is>
      </c>
      <c r="B21" s="20" t="n"/>
      <c r="C21" s="20" t="n"/>
      <c r="D21" s="20" t="n"/>
      <c r="E21" s="20" t="n"/>
      <c r="F21" s="20" t="n"/>
      <c r="G21" s="20" t="n"/>
    </row>
    <row r="22">
      <c r="A22" s="11" t="inlineStr">
        <is>
          <t>Revenue</t>
        </is>
      </c>
      <c r="B22" s="28">
        <f>1</f>
        <v/>
      </c>
      <c r="C22" s="28">
        <f>1</f>
        <v/>
      </c>
      <c r="D22" s="28">
        <f>1</f>
        <v/>
      </c>
      <c r="E22" s="28">
        <f>1</f>
        <v/>
      </c>
      <c r="F22" s="28">
        <f>1</f>
        <v/>
      </c>
      <c r="G22" s="28">
        <f>1</f>
        <v/>
      </c>
    </row>
    <row r="23">
      <c r="A23" s="11" t="inlineStr">
        <is>
          <t>Cost of Sales / Revenue</t>
        </is>
      </c>
      <c r="B23" s="28">
        <f>IF('Adj AMAT'!B9=0,0,'Adj AMAT'!B10/'Adj AMAT'!B9)</f>
        <v/>
      </c>
      <c r="C23" s="28">
        <f>IF('Adj AMAT'!C9=0,0,'Adj AMAT'!C10/'Adj AMAT'!C9)</f>
        <v/>
      </c>
      <c r="D23" s="28">
        <f>IF('Adj AMAT'!D9=0,0,'Adj AMAT'!D10/'Adj AMAT'!D9)</f>
        <v/>
      </c>
      <c r="E23" s="28">
        <f>IF('Adj AMAT'!E9=0,0,'Adj AMAT'!E10/'Adj AMAT'!E9)</f>
        <v/>
      </c>
      <c r="F23" s="28">
        <f>IF('Adj AMAT'!F9=0,0,'Adj AMAT'!F10/'Adj AMAT'!F9)</f>
        <v/>
      </c>
      <c r="G23" s="28">
        <f>IF('Adj AMAT'!G9=0,0,'Adj AMAT'!G10/'Adj AMAT'!G9)</f>
        <v/>
      </c>
    </row>
    <row r="24">
      <c r="A24" s="11" t="inlineStr">
        <is>
          <t>SG&amp;A / Revenue</t>
        </is>
      </c>
      <c r="B24" s="28">
        <f>IF('Adj AMAT'!B9=0,0,'Adj AMAT'!B12/'Adj AMAT'!B9)</f>
        <v/>
      </c>
      <c r="C24" s="28">
        <f>IF('Adj AMAT'!C9=0,0,'Adj AMAT'!C12/'Adj AMAT'!C9)</f>
        <v/>
      </c>
      <c r="D24" s="28">
        <f>IF('Adj AMAT'!D9=0,0,'Adj AMAT'!D12/'Adj AMAT'!D9)</f>
        <v/>
      </c>
      <c r="E24" s="28">
        <f>IF('Adj AMAT'!E9=0,0,'Adj AMAT'!E12/'Adj AMAT'!E9)</f>
        <v/>
      </c>
      <c r="F24" s="28">
        <f>IF('Adj AMAT'!F9=0,0,'Adj AMAT'!F12/'Adj AMAT'!F9)</f>
        <v/>
      </c>
      <c r="G24" s="28">
        <f>IF('Adj AMAT'!G9=0,0,'Adj AMAT'!G12/'Adj AMAT'!G9)</f>
        <v/>
      </c>
    </row>
    <row r="25">
      <c r="A25" s="11" t="inlineStr">
        <is>
          <t>R&amp;D / Revenue</t>
        </is>
      </c>
      <c r="B25" s="28">
        <f>IF('Adj AMAT'!B9=0,0,'Adj AMAT'!B13/'Adj AMAT'!B9)</f>
        <v/>
      </c>
      <c r="C25" s="28">
        <f>IF('Adj AMAT'!C9=0,0,'Adj AMAT'!C13/'Adj AMAT'!C9)</f>
        <v/>
      </c>
      <c r="D25" s="28">
        <f>IF('Adj AMAT'!D9=0,0,'Adj AMAT'!D13/'Adj AMAT'!D9)</f>
        <v/>
      </c>
      <c r="E25" s="28">
        <f>IF('Adj AMAT'!E9=0,0,'Adj AMAT'!E13/'Adj AMAT'!E9)</f>
        <v/>
      </c>
      <c r="F25" s="28">
        <f>IF('Adj AMAT'!F9=0,0,'Adj AMAT'!F13/'Adj AMAT'!F9)</f>
        <v/>
      </c>
      <c r="G25" s="28">
        <f>IF('Adj AMAT'!G9=0,0,'Adj AMAT'!G13/'Adj AMAT'!G9)</f>
        <v/>
      </c>
    </row>
    <row r="27">
      <c r="A27" s="19" t="inlineStr">
        <is>
          <t>ASSET MANAGEMENT</t>
        </is>
      </c>
      <c r="B27" s="20" t="n"/>
      <c r="C27" s="20" t="n"/>
      <c r="D27" s="20" t="n"/>
      <c r="E27" s="20" t="n"/>
      <c r="F27" s="20" t="n"/>
      <c r="G27" s="20" t="n"/>
    </row>
    <row r="28">
      <c r="A28" s="11" t="inlineStr">
        <is>
          <t>Receivables Turnover</t>
        </is>
      </c>
      <c r="B28" s="40" t="inlineStr">
        <is>
          <t>N/A</t>
        </is>
      </c>
      <c r="C28" s="41">
        <f>IF(AVERAGE('Adj AMAT'!B45,'Adj AMAT'!C45)=0,0,'Adj AMAT'!C9/AVERAGE('Adj AMAT'!B45,'Adj AMAT'!C45))</f>
        <v/>
      </c>
      <c r="D28" s="41">
        <f>IF(AVERAGE('Adj AMAT'!C45,'Adj AMAT'!D45)=0,0,'Adj AMAT'!D9/AVERAGE('Adj AMAT'!C45,'Adj AMAT'!D45))</f>
        <v/>
      </c>
      <c r="E28" s="41">
        <f>IF(AVERAGE('Adj AMAT'!D45,'Adj AMAT'!E45)=0,0,'Adj AMAT'!E9/AVERAGE('Adj AMAT'!D45,'Adj AMAT'!E45))</f>
        <v/>
      </c>
      <c r="F28" s="41">
        <f>IF(AVERAGE('Adj AMAT'!E45,'Adj AMAT'!F45)=0,0,'Adj AMAT'!F9/AVERAGE('Adj AMAT'!E45,'Adj AMAT'!F45))</f>
        <v/>
      </c>
      <c r="G28" s="41">
        <f>IF(AVERAGE('Adj AMAT'!F45,'Adj AMAT'!G45)=0,0,'Adj AMAT'!G9/AVERAGE('Adj AMAT'!F45,'Adj AMAT'!G45))</f>
        <v/>
      </c>
    </row>
    <row r="29">
      <c r="A29" s="11" t="inlineStr">
        <is>
          <t>Days Receivable</t>
        </is>
      </c>
      <c r="B29" s="40" t="inlineStr">
        <is>
          <t>N/A</t>
        </is>
      </c>
      <c r="C29" s="41">
        <f>IF(C28=0,0,365/C28)</f>
        <v/>
      </c>
      <c r="D29" s="41">
        <f>IF(D28=0,0,365/D28)</f>
        <v/>
      </c>
      <c r="E29" s="41">
        <f>IF(E28=0,0,365/E28)</f>
        <v/>
      </c>
      <c r="F29" s="41">
        <f>IF(F28=0,0,365/F28)</f>
        <v/>
      </c>
      <c r="G29" s="41">
        <f>IF(G28=0,0,365/G28)</f>
        <v/>
      </c>
    </row>
    <row r="30">
      <c r="A30" s="11" t="inlineStr">
        <is>
          <t>Inventory Turnover</t>
        </is>
      </c>
      <c r="B30" s="40" t="inlineStr">
        <is>
          <t>N/A</t>
        </is>
      </c>
      <c r="C30" s="41">
        <f>IF(AVERAGE('Adj AMAT'!B47,'Adj AMAT'!C47)=0,0,'Adj AMAT'!C10/AVERAGE('Adj AMAT'!B47,'Adj AMAT'!C47))</f>
        <v/>
      </c>
      <c r="D30" s="41">
        <f>IF(AVERAGE('Adj AMAT'!C47,'Adj AMAT'!D47)=0,0,'Adj AMAT'!D10/AVERAGE('Adj AMAT'!C47,'Adj AMAT'!D47))</f>
        <v/>
      </c>
      <c r="E30" s="41">
        <f>IF(AVERAGE('Adj AMAT'!D47,'Adj AMAT'!E47)=0,0,'Adj AMAT'!E10/AVERAGE('Adj AMAT'!D47,'Adj AMAT'!E47))</f>
        <v/>
      </c>
      <c r="F30" s="41">
        <f>IF(AVERAGE('Adj AMAT'!E47,'Adj AMAT'!F47)=0,0,'Adj AMAT'!F10/AVERAGE('Adj AMAT'!E47,'Adj AMAT'!F47))</f>
        <v/>
      </c>
      <c r="G30" s="41">
        <f>IF(AVERAGE('Adj AMAT'!F47,'Adj AMAT'!G47)=0,0,'Adj AMAT'!G10/AVERAGE('Adj AMAT'!F47,'Adj AMAT'!G47))</f>
        <v/>
      </c>
    </row>
    <row r="31">
      <c r="A31" s="11" t="inlineStr">
        <is>
          <t>Days Inventory</t>
        </is>
      </c>
      <c r="B31" s="40" t="inlineStr">
        <is>
          <t>N/A</t>
        </is>
      </c>
      <c r="C31" s="41">
        <f>IF(C30=0,0,365/C30)</f>
        <v/>
      </c>
      <c r="D31" s="41">
        <f>IF(D30=0,0,365/D30)</f>
        <v/>
      </c>
      <c r="E31" s="41">
        <f>IF(E30=0,0,365/E30)</f>
        <v/>
      </c>
      <c r="F31" s="41">
        <f>IF(F30=0,0,365/F30)</f>
        <v/>
      </c>
      <c r="G31" s="41">
        <f>IF(G30=0,0,365/G30)</f>
        <v/>
      </c>
    </row>
    <row r="32">
      <c r="A32" s="11" t="inlineStr">
        <is>
          <t>Payables Turnover</t>
        </is>
      </c>
      <c r="B32" s="40" t="inlineStr">
        <is>
          <t>N/A</t>
        </is>
      </c>
      <c r="C32" s="41">
        <f>IF(AVERAGE('Adj AMAT'!B49,'Adj AMAT'!C49)=0,0,'Adj AMAT'!C10/AVERAGE('Adj AMAT'!B49,'Adj AMAT'!C49))</f>
        <v/>
      </c>
      <c r="D32" s="41">
        <f>IF(AVERAGE('Adj AMAT'!C49,'Adj AMAT'!D49)=0,0,'Adj AMAT'!D10/AVERAGE('Adj AMAT'!C49,'Adj AMAT'!D49))</f>
        <v/>
      </c>
      <c r="E32" s="41">
        <f>IF(AVERAGE('Adj AMAT'!D49,'Adj AMAT'!E49)=0,0,'Adj AMAT'!E10/AVERAGE('Adj AMAT'!D49,'Adj AMAT'!E49))</f>
        <v/>
      </c>
      <c r="F32" s="41">
        <f>IF(AVERAGE('Adj AMAT'!E49,'Adj AMAT'!F49)=0,0,'Adj AMAT'!F10/AVERAGE('Adj AMAT'!E49,'Adj AMAT'!F49))</f>
        <v/>
      </c>
      <c r="G32" s="41">
        <f>IF(AVERAGE('Adj AMAT'!F49,'Adj AMAT'!G49)=0,0,'Adj AMAT'!G10/AVERAGE('Adj AMAT'!F49,'Adj AMAT'!G49))</f>
        <v/>
      </c>
    </row>
    <row r="33">
      <c r="A33" s="11" t="inlineStr">
        <is>
          <t>Days Payable</t>
        </is>
      </c>
      <c r="B33" s="40" t="inlineStr">
        <is>
          <t>N/A</t>
        </is>
      </c>
      <c r="C33" s="41">
        <f>IF(C32=0,0,365/C32)</f>
        <v/>
      </c>
      <c r="D33" s="41">
        <f>IF(D32=0,0,365/D32)</f>
        <v/>
      </c>
      <c r="E33" s="41">
        <f>IF(E32=0,0,365/E32)</f>
        <v/>
      </c>
      <c r="F33" s="41">
        <f>IF(F32=0,0,365/F32)</f>
        <v/>
      </c>
      <c r="G33" s="41">
        <f>IF(G32=0,0,365/G32)</f>
        <v/>
      </c>
    </row>
    <row r="34">
      <c r="A34" s="22" t="inlineStr">
        <is>
          <t>Cash Conversion Cycle</t>
        </is>
      </c>
      <c r="B34" s="40" t="inlineStr">
        <is>
          <t>N/A</t>
        </is>
      </c>
      <c r="C34" s="41">
        <f>C31+C29-C33</f>
        <v/>
      </c>
      <c r="D34" s="41">
        <f>D31+D29-D33</f>
        <v/>
      </c>
      <c r="E34" s="41">
        <f>E31+E29-E33</f>
        <v/>
      </c>
      <c r="F34" s="41">
        <f>F31+F29-F33</f>
        <v/>
      </c>
      <c r="G34" s="41">
        <f>G31+G29-G33</f>
        <v/>
      </c>
    </row>
    <row r="36">
      <c r="A36" s="11" t="inlineStr">
        <is>
          <t>OWC / Revenue</t>
        </is>
      </c>
      <c r="B36" s="28">
        <f>IF('Adj AMAT'!B9=0,0,'Adj AMAT'!B54/'Adj AMAT'!B9)</f>
        <v/>
      </c>
      <c r="C36" s="28">
        <f>IF('Adj AMAT'!C9=0,0,'Adj AMAT'!C54/'Adj AMAT'!C9)</f>
        <v/>
      </c>
      <c r="D36" s="28">
        <f>IF('Adj AMAT'!D9=0,0,'Adj AMAT'!D54/'Adj AMAT'!D9)</f>
        <v/>
      </c>
      <c r="E36" s="28">
        <f>IF('Adj AMAT'!E9=0,0,'Adj AMAT'!E54/'Adj AMAT'!E9)</f>
        <v/>
      </c>
      <c r="F36" s="28">
        <f>IF('Adj AMAT'!F9=0,0,'Adj AMAT'!F54/'Adj AMAT'!F9)</f>
        <v/>
      </c>
      <c r="G36" s="28">
        <f>IF('Adj AMAT'!G9=0,0,'Adj AMAT'!G54/'Adj AMAT'!G9)</f>
        <v/>
      </c>
    </row>
    <row r="37">
      <c r="A37" s="11" t="inlineStr">
        <is>
          <t>PP&amp;E / Revenue</t>
        </is>
      </c>
      <c r="B37" s="28">
        <f>IF('Adj AMAT'!B9=0,0,'Adj AMAT'!B57/'Adj AMAT'!B9)</f>
        <v/>
      </c>
      <c r="C37" s="28">
        <f>IF('Adj AMAT'!C9=0,0,'Adj AMAT'!C57/'Adj AMAT'!C9)</f>
        <v/>
      </c>
      <c r="D37" s="28">
        <f>IF('Adj AMAT'!D9=0,0,'Adj AMAT'!D57/'Adj AMAT'!D9)</f>
        <v/>
      </c>
      <c r="E37" s="28">
        <f>IF('Adj AMAT'!E9=0,0,'Adj AMAT'!E57/'Adj AMAT'!E9)</f>
        <v/>
      </c>
      <c r="F37" s="28">
        <f>IF('Adj AMAT'!F9=0,0,'Adj AMAT'!F57/'Adj AMAT'!F9)</f>
        <v/>
      </c>
      <c r="G37" s="28">
        <f>IF('Adj AMAT'!G9=0,0,'Adj AMAT'!G57/'Adj AMAT'!G9)</f>
        <v/>
      </c>
    </row>
    <row r="39">
      <c r="A39" s="19" t="inlineStr">
        <is>
          <t>LIQUIDITY &amp; SOLVENCY</t>
        </is>
      </c>
      <c r="B39" s="20" t="n"/>
      <c r="C39" s="20" t="n"/>
      <c r="D39" s="20" t="n"/>
      <c r="E39" s="20" t="n"/>
      <c r="F39" s="20" t="n"/>
      <c r="G39" s="20" t="n"/>
    </row>
    <row r="40">
      <c r="A40" s="11" t="inlineStr">
        <is>
          <t>Cash / Total Debt</t>
        </is>
      </c>
      <c r="B40" s="41">
        <f>IF('Adj AMAT'!B78=0,0,'Adj AMAT'!B79/'Adj AMAT'!B78)</f>
        <v/>
      </c>
      <c r="C40" s="41">
        <f>IF('Adj AMAT'!C78=0,0,'Adj AMAT'!C79/'Adj AMAT'!C78)</f>
        <v/>
      </c>
      <c r="D40" s="41">
        <f>IF('Adj AMAT'!D78=0,0,'Adj AMAT'!D79/'Adj AMAT'!D78)</f>
        <v/>
      </c>
      <c r="E40" s="41">
        <f>IF('Adj AMAT'!E78=0,0,'Adj AMAT'!E79/'Adj AMAT'!E78)</f>
        <v/>
      </c>
      <c r="F40" s="41">
        <f>IF('Adj AMAT'!F78=0,0,'Adj AMAT'!F79/'Adj AMAT'!F78)</f>
        <v/>
      </c>
      <c r="G40" s="41">
        <f>IF('Adj AMAT'!G78=0,0,'Adj AMAT'!G79/'Adj AMAT'!G78)</f>
        <v/>
      </c>
    </row>
    <row r="41">
      <c r="A41" s="11" t="inlineStr">
        <is>
          <t>Debt-to-Equity</t>
        </is>
      </c>
      <c r="B41" s="41">
        <f>IF('Adj AMAT'!B81=0,0,'Adj AMAT'!B78/'Adj AMAT'!B81)</f>
        <v/>
      </c>
      <c r="C41" s="41">
        <f>IF('Adj AMAT'!C81=0,0,'Adj AMAT'!C78/'Adj AMAT'!C81)</f>
        <v/>
      </c>
      <c r="D41" s="41">
        <f>IF('Adj AMAT'!D81=0,0,'Adj AMAT'!D78/'Adj AMAT'!D81)</f>
        <v/>
      </c>
      <c r="E41" s="41">
        <f>IF('Adj AMAT'!E81=0,0,'Adj AMAT'!E78/'Adj AMAT'!E81)</f>
        <v/>
      </c>
      <c r="F41" s="41">
        <f>IF('Adj AMAT'!F81=0,0,'Adj AMAT'!F78/'Adj AMAT'!F81)</f>
        <v/>
      </c>
      <c r="G41" s="41">
        <f>IF('Adj AMAT'!G81=0,0,'Adj AMAT'!G78/'Adj AMAT'!G81)</f>
        <v/>
      </c>
    </row>
    <row r="42">
      <c r="A42" s="11" t="inlineStr">
        <is>
          <t>Interest Coverage</t>
        </is>
      </c>
      <c r="B42" s="41">
        <f>IF(ABS('Adj AMAT'!B29)=0,0,'Adj AMAT'!B25/ABS('Adj AMAT'!B29))</f>
        <v/>
      </c>
      <c r="C42" s="41">
        <f>IF(ABS('Adj AMAT'!C29)=0,0,'Adj AMAT'!C25/ABS('Adj AMAT'!C29))</f>
        <v/>
      </c>
      <c r="D42" s="41">
        <f>IF(ABS('Adj AMAT'!D29)=0,0,'Adj AMAT'!D25/ABS('Adj AMAT'!D29))</f>
        <v/>
      </c>
      <c r="E42" s="41">
        <f>IF(ABS('Adj AMAT'!E29)=0,0,'Adj AMAT'!E25/ABS('Adj AMAT'!E29))</f>
        <v/>
      </c>
      <c r="F42" s="41">
        <f>IF(ABS('Adj AMAT'!F29)=0,0,'Adj AMAT'!F25/ABS('Adj AMAT'!F29))</f>
        <v/>
      </c>
      <c r="G42" s="41">
        <f>IF(ABS('Adj AMAT'!G29)=0,0,'Adj AMAT'!G25/ABS('Adj AMAT'!G29))</f>
        <v/>
      </c>
    </row>
    <row r="44">
      <c r="A44" s="19" t="inlineStr">
        <is>
          <t>GROWTH</t>
        </is>
      </c>
      <c r="B44" s="20" t="n"/>
      <c r="C44" s="20" t="n"/>
      <c r="D44" s="20" t="n"/>
      <c r="E44" s="20" t="n"/>
      <c r="F44" s="20" t="n"/>
      <c r="G44" s="20" t="n"/>
    </row>
    <row r="45">
      <c r="A45" s="11" t="inlineStr">
        <is>
          <t>Revenue Growth</t>
        </is>
      </c>
      <c r="B45" s="39" t="inlineStr">
        <is>
          <t>N/A</t>
        </is>
      </c>
      <c r="C45" s="28">
        <f>IF('Adj AMAT'!B9=0,0,'Adj AMAT'!C9/'Adj AMAT'!B9-1)</f>
        <v/>
      </c>
      <c r="D45" s="28">
        <f>IF('Adj AMAT'!C9=0,0,'Adj AMAT'!D9/'Adj AMAT'!C9-1)</f>
        <v/>
      </c>
      <c r="E45" s="28">
        <f>IF('Adj AMAT'!D9=0,0,'Adj AMAT'!E9/'Adj AMAT'!D9-1)</f>
        <v/>
      </c>
      <c r="F45" s="28">
        <f>IF('Adj AMAT'!E9=0,0,'Adj AMAT'!F9/'Adj AMAT'!E9-1)</f>
        <v/>
      </c>
      <c r="G45" s="28">
        <f>IF('Adj AMAT'!F9=0,0,'Adj AMAT'!G9/'Adj AMAT'!F9-1)</f>
        <v/>
      </c>
    </row>
    <row r="46">
      <c r="A46" s="11" t="inlineStr">
        <is>
          <t>Sustainable Growth</t>
        </is>
      </c>
      <c r="B46" s="39" t="inlineStr">
        <is>
          <t>N/A</t>
        </is>
      </c>
      <c r="C46" s="28">
        <f>IF('Adj AMAT'!C33=0,0,(1-'Adj AMAT'!C40*'Adj AMAT'!C38/1000/'Adj AMAT'!C33)*C6)</f>
        <v/>
      </c>
      <c r="D46" s="28">
        <f>IF('Adj AMAT'!D33=0,0,(1-'Adj AMAT'!D40*'Adj AMAT'!D38/1000/'Adj AMAT'!D33)*D6)</f>
        <v/>
      </c>
      <c r="E46" s="28">
        <f>IF('Adj AMAT'!E33=0,0,(1-'Adj AMAT'!E40*'Adj AMAT'!E38/1000/'Adj AMAT'!E33)*E6)</f>
        <v/>
      </c>
      <c r="F46" s="28">
        <f>IF('Adj AMAT'!F33=0,0,(1-'Adj AMAT'!F40*'Adj AMAT'!F38/1000/'Adj AMAT'!F33)*F6)</f>
        <v/>
      </c>
      <c r="G46" s="28">
        <f>IF('Adj AMAT'!G33=0,0,(1-'Adj AMAT'!G40*'Adj AMAT'!G38/1000/'Adj AMAT'!G33)*G6)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Ratio Analysis - LRCX</t>
        </is>
      </c>
    </row>
    <row r="2">
      <c r="A2" s="15" t="inlineStr">
        <is>
          <t>(derived from Adjusted statements)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5">
      <c r="A5" s="19" t="inlineStr">
        <is>
          <t>PROFITABILITY</t>
        </is>
      </c>
      <c r="B5" s="20" t="n"/>
      <c r="C5" s="20" t="n"/>
      <c r="D5" s="20" t="n"/>
      <c r="E5" s="20" t="n"/>
      <c r="F5" s="20" t="n"/>
      <c r="G5" s="20" t="n"/>
    </row>
    <row r="6">
      <c r="A6" s="22" t="inlineStr">
        <is>
          <t>ROE</t>
        </is>
      </c>
      <c r="B6" s="39" t="inlineStr">
        <is>
          <t>N/A</t>
        </is>
      </c>
      <c r="C6" s="28">
        <f>IF(AVERAGE('Adj LRCX'!B81,'Adj LRCX'!C81)=0,0,'Adj LRCX'!C33/AVERAGE('Adj LRCX'!B81,'Adj LRCX'!C81))</f>
        <v/>
      </c>
      <c r="D6" s="28">
        <f>IF(AVERAGE('Adj LRCX'!C81,'Adj LRCX'!D81)=0,0,'Adj LRCX'!D33/AVERAGE('Adj LRCX'!C81,'Adj LRCX'!D81))</f>
        <v/>
      </c>
      <c r="E6" s="28">
        <f>IF(AVERAGE('Adj LRCX'!D81,'Adj LRCX'!E81)=0,0,'Adj LRCX'!E33/AVERAGE('Adj LRCX'!D81,'Adj LRCX'!E81))</f>
        <v/>
      </c>
      <c r="F6" s="28">
        <f>IF(AVERAGE('Adj LRCX'!E81,'Adj LRCX'!F81)=0,0,'Adj LRCX'!F33/AVERAGE('Adj LRCX'!E81,'Adj LRCX'!F81))</f>
        <v/>
      </c>
      <c r="G6" s="28">
        <f>IF(AVERAGE('Adj LRCX'!F81,'Adj LRCX'!G81)=0,0,'Adj LRCX'!G33/AVERAGE('Adj LRCX'!F81,'Adj LRCX'!G81))</f>
        <v/>
      </c>
    </row>
    <row r="7">
      <c r="A7" s="11" t="inlineStr">
        <is>
          <t xml:space="preserve">    Net Profit Margin (ROS)</t>
        </is>
      </c>
      <c r="B7" s="28">
        <f>IF('Adj LRCX'!B9=0,0,'Adj LRCX'!B33/'Adj LRCX'!B9)</f>
        <v/>
      </c>
      <c r="C7" s="28">
        <f>IF('Adj LRCX'!C9=0,0,'Adj LRCX'!C33/'Adj LRCX'!C9)</f>
        <v/>
      </c>
      <c r="D7" s="28">
        <f>IF('Adj LRCX'!D9=0,0,'Adj LRCX'!D33/'Adj LRCX'!D9)</f>
        <v/>
      </c>
      <c r="E7" s="28">
        <f>IF('Adj LRCX'!E9=0,0,'Adj LRCX'!E33/'Adj LRCX'!E9)</f>
        <v/>
      </c>
      <c r="F7" s="28">
        <f>IF('Adj LRCX'!F9=0,0,'Adj LRCX'!F33/'Adj LRCX'!F9)</f>
        <v/>
      </c>
      <c r="G7" s="28">
        <f>IF('Adj LRCX'!G9=0,0,'Adj LRCX'!G33/'Adj LRCX'!G9)</f>
        <v/>
      </c>
    </row>
    <row r="8">
      <c r="A8" s="11" t="inlineStr">
        <is>
          <t xml:space="preserve">    x Asset Turnover</t>
        </is>
      </c>
      <c r="B8" s="40" t="inlineStr">
        <is>
          <t>N/A</t>
        </is>
      </c>
      <c r="C8" s="41">
        <f>IF(AVERAGE('Adj LRCX'!B73,'Adj LRCX'!C73)=0,0,'Adj LRCX'!C9/AVERAGE('Adj LRCX'!B73,'Adj LRCX'!C73))</f>
        <v/>
      </c>
      <c r="D8" s="41">
        <f>IF(AVERAGE('Adj LRCX'!C73,'Adj LRCX'!D73)=0,0,'Adj LRCX'!D9/AVERAGE('Adj LRCX'!C73,'Adj LRCX'!D73))</f>
        <v/>
      </c>
      <c r="E8" s="41">
        <f>IF(AVERAGE('Adj LRCX'!D73,'Adj LRCX'!E73)=0,0,'Adj LRCX'!E9/AVERAGE('Adj LRCX'!D73,'Adj LRCX'!E73))</f>
        <v/>
      </c>
      <c r="F8" s="41">
        <f>IF(AVERAGE('Adj LRCX'!E73,'Adj LRCX'!F73)=0,0,'Adj LRCX'!F9/AVERAGE('Adj LRCX'!E73,'Adj LRCX'!F73))</f>
        <v/>
      </c>
      <c r="G8" s="41">
        <f>IF(AVERAGE('Adj LRCX'!F73,'Adj LRCX'!G73)=0,0,'Adj LRCX'!G9/AVERAGE('Adj LRCX'!F73,'Adj LRCX'!G73))</f>
        <v/>
      </c>
    </row>
    <row r="9">
      <c r="A9" s="11" t="inlineStr">
        <is>
          <t xml:space="preserve">    = ROA</t>
        </is>
      </c>
      <c r="B9" s="39" t="inlineStr">
        <is>
          <t>N/A</t>
        </is>
      </c>
      <c r="C9" s="28">
        <f>C7*C8</f>
        <v/>
      </c>
      <c r="D9" s="28">
        <f>D7*D8</f>
        <v/>
      </c>
      <c r="E9" s="28">
        <f>E7*E8</f>
        <v/>
      </c>
      <c r="F9" s="28">
        <f>F7*F8</f>
        <v/>
      </c>
      <c r="G9" s="28">
        <f>G7*G8</f>
        <v/>
      </c>
    </row>
    <row r="10">
      <c r="A10" s="11" t="inlineStr">
        <is>
          <t xml:space="preserve">    x Financial Leverage</t>
        </is>
      </c>
      <c r="B10" s="40" t="inlineStr">
        <is>
          <t>N/A</t>
        </is>
      </c>
      <c r="C10" s="41">
        <f>IF(AVERAGE('Adj LRCX'!B81,'Adj LRCX'!C81)=0,0,AVERAGE('Adj LRCX'!B73,'Adj LRCX'!C73)/AVERAGE('Adj LRCX'!B81,'Adj LRCX'!C81))</f>
        <v/>
      </c>
      <c r="D10" s="41">
        <f>IF(AVERAGE('Adj LRCX'!C81,'Adj LRCX'!D81)=0,0,AVERAGE('Adj LRCX'!C73,'Adj LRCX'!D73)/AVERAGE('Adj LRCX'!C81,'Adj LRCX'!D81))</f>
        <v/>
      </c>
      <c r="E10" s="41">
        <f>IF(AVERAGE('Adj LRCX'!D81,'Adj LRCX'!E81)=0,0,AVERAGE('Adj LRCX'!D73,'Adj LRCX'!E73)/AVERAGE('Adj LRCX'!D81,'Adj LRCX'!E81))</f>
        <v/>
      </c>
      <c r="F10" s="41">
        <f>IF(AVERAGE('Adj LRCX'!E81,'Adj LRCX'!F81)=0,0,AVERAGE('Adj LRCX'!E73,'Adj LRCX'!F73)/AVERAGE('Adj LRCX'!E81,'Adj LRCX'!F81))</f>
        <v/>
      </c>
      <c r="G10" s="41">
        <f>IF(AVERAGE('Adj LRCX'!F81,'Adj LRCX'!G81)=0,0,AVERAGE('Adj LRCX'!F73,'Adj LRCX'!G73)/AVERAGE('Adj LRCX'!F81,'Adj LRCX'!G81))</f>
        <v/>
      </c>
    </row>
    <row r="11">
      <c r="A11" s="11" t="inlineStr">
        <is>
          <t xml:space="preserve">    = ROE check (ROA x Leverage)</t>
        </is>
      </c>
      <c r="B11" s="39" t="inlineStr">
        <is>
          <t>N/A</t>
        </is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</row>
    <row r="13">
      <c r="A13" s="22" t="inlineStr">
        <is>
          <t>RNOA</t>
        </is>
      </c>
      <c r="B13" s="39" t="inlineStr">
        <is>
          <t>N/A</t>
        </is>
      </c>
      <c r="C13" s="28">
        <f>IF(AVERAGE('Adj LRCX'!B67,'Adj LRCX'!C67)=0,0,'Adj LRCX'!C36/AVERAGE('Adj LRCX'!B67,'Adj LRCX'!C67))</f>
        <v/>
      </c>
      <c r="D13" s="28">
        <f>IF(AVERAGE('Adj LRCX'!C67,'Adj LRCX'!D67)=0,0,'Adj LRCX'!D36/AVERAGE('Adj LRCX'!C67,'Adj LRCX'!D67))</f>
        <v/>
      </c>
      <c r="E13" s="28">
        <f>IF(AVERAGE('Adj LRCX'!D67,'Adj LRCX'!E67)=0,0,'Adj LRCX'!E36/AVERAGE('Adj LRCX'!D67,'Adj LRCX'!E67))</f>
        <v/>
      </c>
      <c r="F13" s="28">
        <f>IF(AVERAGE('Adj LRCX'!E67,'Adj LRCX'!F67)=0,0,'Adj LRCX'!F36/AVERAGE('Adj LRCX'!E67,'Adj LRCX'!F67))</f>
        <v/>
      </c>
      <c r="G13" s="28">
        <f>IF(AVERAGE('Adj LRCX'!F67,'Adj LRCX'!G67)=0,0,'Adj LRCX'!G36/AVERAGE('Adj LRCX'!F67,'Adj LRCX'!G67))</f>
        <v/>
      </c>
    </row>
    <row r="14">
      <c r="A14" s="11" t="inlineStr">
        <is>
          <t xml:space="preserve">    NOPAT Margin</t>
        </is>
      </c>
      <c r="B14" s="28">
        <f>IF('Adj LRCX'!B9=0,0,'Adj LRCX'!B36/'Adj LRCX'!B9)</f>
        <v/>
      </c>
      <c r="C14" s="28">
        <f>IF('Adj LRCX'!C9=0,0,'Adj LRCX'!C36/'Adj LRCX'!C9)</f>
        <v/>
      </c>
      <c r="D14" s="28">
        <f>IF('Adj LRCX'!D9=0,0,'Adj LRCX'!D36/'Adj LRCX'!D9)</f>
        <v/>
      </c>
      <c r="E14" s="28">
        <f>IF('Adj LRCX'!E9=0,0,'Adj LRCX'!E36/'Adj LRCX'!E9)</f>
        <v/>
      </c>
      <c r="F14" s="28">
        <f>IF('Adj LRCX'!F9=0,0,'Adj LRCX'!F36/'Adj LRCX'!F9)</f>
        <v/>
      </c>
      <c r="G14" s="28">
        <f>IF('Adj LRCX'!G9=0,0,'Adj LRCX'!G36/'Adj LRCX'!G9)</f>
        <v/>
      </c>
    </row>
    <row r="15">
      <c r="A15" s="11" t="inlineStr">
        <is>
          <t xml:space="preserve">    x NOA Turnover</t>
        </is>
      </c>
      <c r="B15" s="40" t="inlineStr">
        <is>
          <t>N/A</t>
        </is>
      </c>
      <c r="C15" s="41">
        <f>IF(AVERAGE('Adj LRCX'!B67,'Adj LRCX'!C67)=0,0,'Adj LRCX'!C9/AVERAGE('Adj LRCX'!B67,'Adj LRCX'!C67))</f>
        <v/>
      </c>
      <c r="D15" s="41">
        <f>IF(AVERAGE('Adj LRCX'!C67,'Adj LRCX'!D67)=0,0,'Adj LRCX'!D9/AVERAGE('Adj LRCX'!C67,'Adj LRCX'!D67))</f>
        <v/>
      </c>
      <c r="E15" s="41">
        <f>IF(AVERAGE('Adj LRCX'!D67,'Adj LRCX'!E67)=0,0,'Adj LRCX'!E9/AVERAGE('Adj LRCX'!D67,'Adj LRCX'!E67))</f>
        <v/>
      </c>
      <c r="F15" s="41">
        <f>IF(AVERAGE('Adj LRCX'!E67,'Adj LRCX'!F67)=0,0,'Adj LRCX'!F9/AVERAGE('Adj LRCX'!E67,'Adj LRCX'!F67))</f>
        <v/>
      </c>
      <c r="G15" s="41">
        <f>IF(AVERAGE('Adj LRCX'!F67,'Adj LRCX'!G67)=0,0,'Adj LRCX'!G9/AVERAGE('Adj LRCX'!F67,'Adj LRCX'!G67))</f>
        <v/>
      </c>
    </row>
    <row r="17">
      <c r="A17" s="11" t="inlineStr">
        <is>
          <t>Gross Profit Margin</t>
        </is>
      </c>
      <c r="B17" s="28">
        <f>IF('Adj LRCX'!B9=0,0,'Adj LRCX'!B11/'Adj LRCX'!B9)</f>
        <v/>
      </c>
      <c r="C17" s="28">
        <f>IF('Adj LRCX'!C9=0,0,'Adj LRCX'!C11/'Adj LRCX'!C9)</f>
        <v/>
      </c>
      <c r="D17" s="28">
        <f>IF('Adj LRCX'!D9=0,0,'Adj LRCX'!D11/'Adj LRCX'!D9)</f>
        <v/>
      </c>
      <c r="E17" s="28">
        <f>IF('Adj LRCX'!E9=0,0,'Adj LRCX'!E11/'Adj LRCX'!E9)</f>
        <v/>
      </c>
      <c r="F17" s="28">
        <f>IF('Adj LRCX'!F9=0,0,'Adj LRCX'!F11/'Adj LRCX'!F9)</f>
        <v/>
      </c>
      <c r="G17" s="28">
        <f>IF('Adj LRCX'!G9=0,0,'Adj LRCX'!G11/'Adj LRCX'!G9)</f>
        <v/>
      </c>
    </row>
    <row r="18">
      <c r="A18" s="11" t="inlineStr">
        <is>
          <t>EBIT Margin</t>
        </is>
      </c>
      <c r="B18" s="28">
        <f>IF('Adj LRCX'!B9=0,0,'Adj LRCX'!B25/'Adj LRCX'!B9)</f>
        <v/>
      </c>
      <c r="C18" s="28">
        <f>IF('Adj LRCX'!C9=0,0,'Adj LRCX'!C25/'Adj LRCX'!C9)</f>
        <v/>
      </c>
      <c r="D18" s="28">
        <f>IF('Adj LRCX'!D9=0,0,'Adj LRCX'!D25/'Adj LRCX'!D9)</f>
        <v/>
      </c>
      <c r="E18" s="28">
        <f>IF('Adj LRCX'!E9=0,0,'Adj LRCX'!E25/'Adj LRCX'!E9)</f>
        <v/>
      </c>
      <c r="F18" s="28">
        <f>IF('Adj LRCX'!F9=0,0,'Adj LRCX'!F25/'Adj LRCX'!F9)</f>
        <v/>
      </c>
      <c r="G18" s="28">
        <f>IF('Adj LRCX'!G9=0,0,'Adj LRCX'!G25/'Adj LRCX'!G9)</f>
        <v/>
      </c>
    </row>
    <row r="19">
      <c r="A19" s="11" t="inlineStr">
        <is>
          <t>NOPAT Margin</t>
        </is>
      </c>
      <c r="B19" s="28">
        <f>IF('Adj LRCX'!B9=0,0,'Adj LRCX'!B36/'Adj LRCX'!B9)</f>
        <v/>
      </c>
      <c r="C19" s="28">
        <f>IF('Adj LRCX'!C9=0,0,'Adj LRCX'!C36/'Adj LRCX'!C9)</f>
        <v/>
      </c>
      <c r="D19" s="28">
        <f>IF('Adj LRCX'!D9=0,0,'Adj LRCX'!D36/'Adj LRCX'!D9)</f>
        <v/>
      </c>
      <c r="E19" s="28">
        <f>IF('Adj LRCX'!E9=0,0,'Adj LRCX'!E36/'Adj LRCX'!E9)</f>
        <v/>
      </c>
      <c r="F19" s="28">
        <f>IF('Adj LRCX'!F9=0,0,'Adj LRCX'!F36/'Adj LRCX'!F9)</f>
        <v/>
      </c>
      <c r="G19" s="28">
        <f>IF('Adj LRCX'!G9=0,0,'Adj LRCX'!G36/'Adj LRCX'!G9)</f>
        <v/>
      </c>
    </row>
    <row r="21">
      <c r="A21" s="19" t="inlineStr">
        <is>
          <t>COMMON-SIZE INCOME STATEMENT</t>
        </is>
      </c>
      <c r="B21" s="20" t="n"/>
      <c r="C21" s="20" t="n"/>
      <c r="D21" s="20" t="n"/>
      <c r="E21" s="20" t="n"/>
      <c r="F21" s="20" t="n"/>
      <c r="G21" s="20" t="n"/>
    </row>
    <row r="22">
      <c r="A22" s="11" t="inlineStr">
        <is>
          <t>Revenue</t>
        </is>
      </c>
      <c r="B22" s="28">
        <f>1</f>
        <v/>
      </c>
      <c r="C22" s="28">
        <f>1</f>
        <v/>
      </c>
      <c r="D22" s="28">
        <f>1</f>
        <v/>
      </c>
      <c r="E22" s="28">
        <f>1</f>
        <v/>
      </c>
      <c r="F22" s="28">
        <f>1</f>
        <v/>
      </c>
      <c r="G22" s="28">
        <f>1</f>
        <v/>
      </c>
    </row>
    <row r="23">
      <c r="A23" s="11" t="inlineStr">
        <is>
          <t>Cost of Sales / Revenue</t>
        </is>
      </c>
      <c r="B23" s="28">
        <f>IF('Adj LRCX'!B9=0,0,'Adj LRCX'!B10/'Adj LRCX'!B9)</f>
        <v/>
      </c>
      <c r="C23" s="28">
        <f>IF('Adj LRCX'!C9=0,0,'Adj LRCX'!C10/'Adj LRCX'!C9)</f>
        <v/>
      </c>
      <c r="D23" s="28">
        <f>IF('Adj LRCX'!D9=0,0,'Adj LRCX'!D10/'Adj LRCX'!D9)</f>
        <v/>
      </c>
      <c r="E23" s="28">
        <f>IF('Adj LRCX'!E9=0,0,'Adj LRCX'!E10/'Adj LRCX'!E9)</f>
        <v/>
      </c>
      <c r="F23" s="28">
        <f>IF('Adj LRCX'!F9=0,0,'Adj LRCX'!F10/'Adj LRCX'!F9)</f>
        <v/>
      </c>
      <c r="G23" s="28">
        <f>IF('Adj LRCX'!G9=0,0,'Adj LRCX'!G10/'Adj LRCX'!G9)</f>
        <v/>
      </c>
    </row>
    <row r="24">
      <c r="A24" s="11" t="inlineStr">
        <is>
          <t>SG&amp;A / Revenue</t>
        </is>
      </c>
      <c r="B24" s="28">
        <f>IF('Adj LRCX'!B9=0,0,'Adj LRCX'!B12/'Adj LRCX'!B9)</f>
        <v/>
      </c>
      <c r="C24" s="28">
        <f>IF('Adj LRCX'!C9=0,0,'Adj LRCX'!C12/'Adj LRCX'!C9)</f>
        <v/>
      </c>
      <c r="D24" s="28">
        <f>IF('Adj LRCX'!D9=0,0,'Adj LRCX'!D12/'Adj LRCX'!D9)</f>
        <v/>
      </c>
      <c r="E24" s="28">
        <f>IF('Adj LRCX'!E9=0,0,'Adj LRCX'!E12/'Adj LRCX'!E9)</f>
        <v/>
      </c>
      <c r="F24" s="28">
        <f>IF('Adj LRCX'!F9=0,0,'Adj LRCX'!F12/'Adj LRCX'!F9)</f>
        <v/>
      </c>
      <c r="G24" s="28">
        <f>IF('Adj LRCX'!G9=0,0,'Adj LRCX'!G12/'Adj LRCX'!G9)</f>
        <v/>
      </c>
    </row>
    <row r="25">
      <c r="A25" s="11" t="inlineStr">
        <is>
          <t>R&amp;D / Revenue</t>
        </is>
      </c>
      <c r="B25" s="28">
        <f>IF('Adj LRCX'!B9=0,0,'Adj LRCX'!B13/'Adj LRCX'!B9)</f>
        <v/>
      </c>
      <c r="C25" s="28">
        <f>IF('Adj LRCX'!C9=0,0,'Adj LRCX'!C13/'Adj LRCX'!C9)</f>
        <v/>
      </c>
      <c r="D25" s="28">
        <f>IF('Adj LRCX'!D9=0,0,'Adj LRCX'!D13/'Adj LRCX'!D9)</f>
        <v/>
      </c>
      <c r="E25" s="28">
        <f>IF('Adj LRCX'!E9=0,0,'Adj LRCX'!E13/'Adj LRCX'!E9)</f>
        <v/>
      </c>
      <c r="F25" s="28">
        <f>IF('Adj LRCX'!F9=0,0,'Adj LRCX'!F13/'Adj LRCX'!F9)</f>
        <v/>
      </c>
      <c r="G25" s="28">
        <f>IF('Adj LRCX'!G9=0,0,'Adj LRCX'!G13/'Adj LRCX'!G9)</f>
        <v/>
      </c>
    </row>
    <row r="27">
      <c r="A27" s="19" t="inlineStr">
        <is>
          <t>ASSET MANAGEMENT</t>
        </is>
      </c>
      <c r="B27" s="20" t="n"/>
      <c r="C27" s="20" t="n"/>
      <c r="D27" s="20" t="n"/>
      <c r="E27" s="20" t="n"/>
      <c r="F27" s="20" t="n"/>
      <c r="G27" s="20" t="n"/>
    </row>
    <row r="28">
      <c r="A28" s="11" t="inlineStr">
        <is>
          <t>Receivables Turnover</t>
        </is>
      </c>
      <c r="B28" s="40" t="inlineStr">
        <is>
          <t>N/A</t>
        </is>
      </c>
      <c r="C28" s="41">
        <f>IF(AVERAGE('Adj LRCX'!B45,'Adj LRCX'!C45)=0,0,'Adj LRCX'!C9/AVERAGE('Adj LRCX'!B45,'Adj LRCX'!C45))</f>
        <v/>
      </c>
      <c r="D28" s="41">
        <f>IF(AVERAGE('Adj LRCX'!C45,'Adj LRCX'!D45)=0,0,'Adj LRCX'!D9/AVERAGE('Adj LRCX'!C45,'Adj LRCX'!D45))</f>
        <v/>
      </c>
      <c r="E28" s="41">
        <f>IF(AVERAGE('Adj LRCX'!D45,'Adj LRCX'!E45)=0,0,'Adj LRCX'!E9/AVERAGE('Adj LRCX'!D45,'Adj LRCX'!E45))</f>
        <v/>
      </c>
      <c r="F28" s="41">
        <f>IF(AVERAGE('Adj LRCX'!E45,'Adj LRCX'!F45)=0,0,'Adj LRCX'!F9/AVERAGE('Adj LRCX'!E45,'Adj LRCX'!F45))</f>
        <v/>
      </c>
      <c r="G28" s="41">
        <f>IF(AVERAGE('Adj LRCX'!F45,'Adj LRCX'!G45)=0,0,'Adj LRCX'!G9/AVERAGE('Adj LRCX'!F45,'Adj LRCX'!G45))</f>
        <v/>
      </c>
    </row>
    <row r="29">
      <c r="A29" s="11" t="inlineStr">
        <is>
          <t>Days Receivable</t>
        </is>
      </c>
      <c r="B29" s="40" t="inlineStr">
        <is>
          <t>N/A</t>
        </is>
      </c>
      <c r="C29" s="41">
        <f>IF(C28=0,0,365/C28)</f>
        <v/>
      </c>
      <c r="D29" s="41">
        <f>IF(D28=0,0,365/D28)</f>
        <v/>
      </c>
      <c r="E29" s="41">
        <f>IF(E28=0,0,365/E28)</f>
        <v/>
      </c>
      <c r="F29" s="41">
        <f>IF(F28=0,0,365/F28)</f>
        <v/>
      </c>
      <c r="G29" s="41">
        <f>IF(G28=0,0,365/G28)</f>
        <v/>
      </c>
    </row>
    <row r="30">
      <c r="A30" s="11" t="inlineStr">
        <is>
          <t>Inventory Turnover</t>
        </is>
      </c>
      <c r="B30" s="40" t="inlineStr">
        <is>
          <t>N/A</t>
        </is>
      </c>
      <c r="C30" s="41">
        <f>IF(AVERAGE('Adj LRCX'!B47,'Adj LRCX'!C47)=0,0,'Adj LRCX'!C10/AVERAGE('Adj LRCX'!B47,'Adj LRCX'!C47))</f>
        <v/>
      </c>
      <c r="D30" s="41">
        <f>IF(AVERAGE('Adj LRCX'!C47,'Adj LRCX'!D47)=0,0,'Adj LRCX'!D10/AVERAGE('Adj LRCX'!C47,'Adj LRCX'!D47))</f>
        <v/>
      </c>
      <c r="E30" s="41">
        <f>IF(AVERAGE('Adj LRCX'!D47,'Adj LRCX'!E47)=0,0,'Adj LRCX'!E10/AVERAGE('Adj LRCX'!D47,'Adj LRCX'!E47))</f>
        <v/>
      </c>
      <c r="F30" s="41">
        <f>IF(AVERAGE('Adj LRCX'!E47,'Adj LRCX'!F47)=0,0,'Adj LRCX'!F10/AVERAGE('Adj LRCX'!E47,'Adj LRCX'!F47))</f>
        <v/>
      </c>
      <c r="G30" s="41">
        <f>IF(AVERAGE('Adj LRCX'!F47,'Adj LRCX'!G47)=0,0,'Adj LRCX'!G10/AVERAGE('Adj LRCX'!F47,'Adj LRCX'!G47))</f>
        <v/>
      </c>
    </row>
    <row r="31">
      <c r="A31" s="11" t="inlineStr">
        <is>
          <t>Days Inventory</t>
        </is>
      </c>
      <c r="B31" s="40" t="inlineStr">
        <is>
          <t>N/A</t>
        </is>
      </c>
      <c r="C31" s="41">
        <f>IF(C30=0,0,365/C30)</f>
        <v/>
      </c>
      <c r="D31" s="41">
        <f>IF(D30=0,0,365/D30)</f>
        <v/>
      </c>
      <c r="E31" s="41">
        <f>IF(E30=0,0,365/E30)</f>
        <v/>
      </c>
      <c r="F31" s="41">
        <f>IF(F30=0,0,365/F30)</f>
        <v/>
      </c>
      <c r="G31" s="41">
        <f>IF(G30=0,0,365/G30)</f>
        <v/>
      </c>
    </row>
    <row r="32">
      <c r="A32" s="11" t="inlineStr">
        <is>
          <t>Payables Turnover</t>
        </is>
      </c>
      <c r="B32" s="40" t="inlineStr">
        <is>
          <t>N/A</t>
        </is>
      </c>
      <c r="C32" s="41">
        <f>IF(AVERAGE('Adj LRCX'!B49,'Adj LRCX'!C49)=0,0,'Adj LRCX'!C10/AVERAGE('Adj LRCX'!B49,'Adj LRCX'!C49))</f>
        <v/>
      </c>
      <c r="D32" s="41">
        <f>IF(AVERAGE('Adj LRCX'!C49,'Adj LRCX'!D49)=0,0,'Adj LRCX'!D10/AVERAGE('Adj LRCX'!C49,'Adj LRCX'!D49))</f>
        <v/>
      </c>
      <c r="E32" s="41">
        <f>IF(AVERAGE('Adj LRCX'!D49,'Adj LRCX'!E49)=0,0,'Adj LRCX'!E10/AVERAGE('Adj LRCX'!D49,'Adj LRCX'!E49))</f>
        <v/>
      </c>
      <c r="F32" s="41">
        <f>IF(AVERAGE('Adj LRCX'!E49,'Adj LRCX'!F49)=0,0,'Adj LRCX'!F10/AVERAGE('Adj LRCX'!E49,'Adj LRCX'!F49))</f>
        <v/>
      </c>
      <c r="G32" s="41">
        <f>IF(AVERAGE('Adj LRCX'!F49,'Adj LRCX'!G49)=0,0,'Adj LRCX'!G10/AVERAGE('Adj LRCX'!F49,'Adj LRCX'!G49))</f>
        <v/>
      </c>
    </row>
    <row r="33">
      <c r="A33" s="11" t="inlineStr">
        <is>
          <t>Days Payable</t>
        </is>
      </c>
      <c r="B33" s="40" t="inlineStr">
        <is>
          <t>N/A</t>
        </is>
      </c>
      <c r="C33" s="41">
        <f>IF(C32=0,0,365/C32)</f>
        <v/>
      </c>
      <c r="D33" s="41">
        <f>IF(D32=0,0,365/D32)</f>
        <v/>
      </c>
      <c r="E33" s="41">
        <f>IF(E32=0,0,365/E32)</f>
        <v/>
      </c>
      <c r="F33" s="41">
        <f>IF(F32=0,0,365/F32)</f>
        <v/>
      </c>
      <c r="G33" s="41">
        <f>IF(G32=0,0,365/G32)</f>
        <v/>
      </c>
    </row>
    <row r="34">
      <c r="A34" s="22" t="inlineStr">
        <is>
          <t>Cash Conversion Cycle</t>
        </is>
      </c>
      <c r="B34" s="40" t="inlineStr">
        <is>
          <t>N/A</t>
        </is>
      </c>
      <c r="C34" s="41">
        <f>C31+C29-C33</f>
        <v/>
      </c>
      <c r="D34" s="41">
        <f>D31+D29-D33</f>
        <v/>
      </c>
      <c r="E34" s="41">
        <f>E31+E29-E33</f>
        <v/>
      </c>
      <c r="F34" s="41">
        <f>F31+F29-F33</f>
        <v/>
      </c>
      <c r="G34" s="41">
        <f>G31+G29-G33</f>
        <v/>
      </c>
    </row>
    <row r="36">
      <c r="A36" s="11" t="inlineStr">
        <is>
          <t>OWC / Revenue</t>
        </is>
      </c>
      <c r="B36" s="28">
        <f>IF('Adj LRCX'!B9=0,0,'Adj LRCX'!B54/'Adj LRCX'!B9)</f>
        <v/>
      </c>
      <c r="C36" s="28">
        <f>IF('Adj LRCX'!C9=0,0,'Adj LRCX'!C54/'Adj LRCX'!C9)</f>
        <v/>
      </c>
      <c r="D36" s="28">
        <f>IF('Adj LRCX'!D9=0,0,'Adj LRCX'!D54/'Adj LRCX'!D9)</f>
        <v/>
      </c>
      <c r="E36" s="28">
        <f>IF('Adj LRCX'!E9=0,0,'Adj LRCX'!E54/'Adj LRCX'!E9)</f>
        <v/>
      </c>
      <c r="F36" s="28">
        <f>IF('Adj LRCX'!F9=0,0,'Adj LRCX'!F54/'Adj LRCX'!F9)</f>
        <v/>
      </c>
      <c r="G36" s="28">
        <f>IF('Adj LRCX'!G9=0,0,'Adj LRCX'!G54/'Adj LRCX'!G9)</f>
        <v/>
      </c>
    </row>
    <row r="37">
      <c r="A37" s="11" t="inlineStr">
        <is>
          <t>PP&amp;E / Revenue</t>
        </is>
      </c>
      <c r="B37" s="28">
        <f>IF('Adj LRCX'!B9=0,0,'Adj LRCX'!B57/'Adj LRCX'!B9)</f>
        <v/>
      </c>
      <c r="C37" s="28">
        <f>IF('Adj LRCX'!C9=0,0,'Adj LRCX'!C57/'Adj LRCX'!C9)</f>
        <v/>
      </c>
      <c r="D37" s="28">
        <f>IF('Adj LRCX'!D9=0,0,'Adj LRCX'!D57/'Adj LRCX'!D9)</f>
        <v/>
      </c>
      <c r="E37" s="28">
        <f>IF('Adj LRCX'!E9=0,0,'Adj LRCX'!E57/'Adj LRCX'!E9)</f>
        <v/>
      </c>
      <c r="F37" s="28">
        <f>IF('Adj LRCX'!F9=0,0,'Adj LRCX'!F57/'Adj LRCX'!F9)</f>
        <v/>
      </c>
      <c r="G37" s="28">
        <f>IF('Adj LRCX'!G9=0,0,'Adj LRCX'!G57/'Adj LRCX'!G9)</f>
        <v/>
      </c>
    </row>
    <row r="39">
      <c r="A39" s="19" t="inlineStr">
        <is>
          <t>LIQUIDITY &amp; SOLVENCY</t>
        </is>
      </c>
      <c r="B39" s="20" t="n"/>
      <c r="C39" s="20" t="n"/>
      <c r="D39" s="20" t="n"/>
      <c r="E39" s="20" t="n"/>
      <c r="F39" s="20" t="n"/>
      <c r="G39" s="20" t="n"/>
    </row>
    <row r="40">
      <c r="A40" s="11" t="inlineStr">
        <is>
          <t>Cash / Total Debt</t>
        </is>
      </c>
      <c r="B40" s="41">
        <f>IF('Adj LRCX'!B78=0,0,'Adj LRCX'!B79/'Adj LRCX'!B78)</f>
        <v/>
      </c>
      <c r="C40" s="41">
        <f>IF('Adj LRCX'!C78=0,0,'Adj LRCX'!C79/'Adj LRCX'!C78)</f>
        <v/>
      </c>
      <c r="D40" s="41">
        <f>IF('Adj LRCX'!D78=0,0,'Adj LRCX'!D79/'Adj LRCX'!D78)</f>
        <v/>
      </c>
      <c r="E40" s="41">
        <f>IF('Adj LRCX'!E78=0,0,'Adj LRCX'!E79/'Adj LRCX'!E78)</f>
        <v/>
      </c>
      <c r="F40" s="41">
        <f>IF('Adj LRCX'!F78=0,0,'Adj LRCX'!F79/'Adj LRCX'!F78)</f>
        <v/>
      </c>
      <c r="G40" s="41">
        <f>IF('Adj LRCX'!G78=0,0,'Adj LRCX'!G79/'Adj LRCX'!G78)</f>
        <v/>
      </c>
    </row>
    <row r="41">
      <c r="A41" s="11" t="inlineStr">
        <is>
          <t>Debt-to-Equity</t>
        </is>
      </c>
      <c r="B41" s="41">
        <f>IF('Adj LRCX'!B81=0,0,'Adj LRCX'!B78/'Adj LRCX'!B81)</f>
        <v/>
      </c>
      <c r="C41" s="41">
        <f>IF('Adj LRCX'!C81=0,0,'Adj LRCX'!C78/'Adj LRCX'!C81)</f>
        <v/>
      </c>
      <c r="D41" s="41">
        <f>IF('Adj LRCX'!D81=0,0,'Adj LRCX'!D78/'Adj LRCX'!D81)</f>
        <v/>
      </c>
      <c r="E41" s="41">
        <f>IF('Adj LRCX'!E81=0,0,'Adj LRCX'!E78/'Adj LRCX'!E81)</f>
        <v/>
      </c>
      <c r="F41" s="41">
        <f>IF('Adj LRCX'!F81=0,0,'Adj LRCX'!F78/'Adj LRCX'!F81)</f>
        <v/>
      </c>
      <c r="G41" s="41">
        <f>IF('Adj LRCX'!G81=0,0,'Adj LRCX'!G78/'Adj LRCX'!G81)</f>
        <v/>
      </c>
    </row>
    <row r="42">
      <c r="A42" s="11" t="inlineStr">
        <is>
          <t>Interest Coverage</t>
        </is>
      </c>
      <c r="B42" s="41">
        <f>IF(ABS('Adj LRCX'!B29)=0,0,'Adj LRCX'!B25/ABS('Adj LRCX'!B29))</f>
        <v/>
      </c>
      <c r="C42" s="41">
        <f>IF(ABS('Adj LRCX'!C29)=0,0,'Adj LRCX'!C25/ABS('Adj LRCX'!C29))</f>
        <v/>
      </c>
      <c r="D42" s="41">
        <f>IF(ABS('Adj LRCX'!D29)=0,0,'Adj LRCX'!D25/ABS('Adj LRCX'!D29))</f>
        <v/>
      </c>
      <c r="E42" s="41">
        <f>IF(ABS('Adj LRCX'!E29)=0,0,'Adj LRCX'!E25/ABS('Adj LRCX'!E29))</f>
        <v/>
      </c>
      <c r="F42" s="41">
        <f>IF(ABS('Adj LRCX'!F29)=0,0,'Adj LRCX'!F25/ABS('Adj LRCX'!F29))</f>
        <v/>
      </c>
      <c r="G42" s="41">
        <f>IF(ABS('Adj LRCX'!G29)=0,0,'Adj LRCX'!G25/ABS('Adj LRCX'!G29))</f>
        <v/>
      </c>
    </row>
    <row r="44">
      <c r="A44" s="19" t="inlineStr">
        <is>
          <t>GROWTH</t>
        </is>
      </c>
      <c r="B44" s="20" t="n"/>
      <c r="C44" s="20" t="n"/>
      <c r="D44" s="20" t="n"/>
      <c r="E44" s="20" t="n"/>
      <c r="F44" s="20" t="n"/>
      <c r="G44" s="20" t="n"/>
    </row>
    <row r="45">
      <c r="A45" s="11" t="inlineStr">
        <is>
          <t>Revenue Growth</t>
        </is>
      </c>
      <c r="B45" s="39" t="inlineStr">
        <is>
          <t>N/A</t>
        </is>
      </c>
      <c r="C45" s="28">
        <f>IF('Adj LRCX'!B9=0,0,'Adj LRCX'!C9/'Adj LRCX'!B9-1)</f>
        <v/>
      </c>
      <c r="D45" s="28">
        <f>IF('Adj LRCX'!C9=0,0,'Adj LRCX'!D9/'Adj LRCX'!C9-1)</f>
        <v/>
      </c>
      <c r="E45" s="28">
        <f>IF('Adj LRCX'!D9=0,0,'Adj LRCX'!E9/'Adj LRCX'!D9-1)</f>
        <v/>
      </c>
      <c r="F45" s="28">
        <f>IF('Adj LRCX'!E9=0,0,'Adj LRCX'!F9/'Adj LRCX'!E9-1)</f>
        <v/>
      </c>
      <c r="G45" s="28">
        <f>IF('Adj LRCX'!F9=0,0,'Adj LRCX'!G9/'Adj LRCX'!F9-1)</f>
        <v/>
      </c>
    </row>
    <row r="46">
      <c r="A46" s="11" t="inlineStr">
        <is>
          <t>Sustainable Growth</t>
        </is>
      </c>
      <c r="B46" s="39" t="inlineStr">
        <is>
          <t>N/A</t>
        </is>
      </c>
      <c r="C46" s="28">
        <f>IF('Adj LRCX'!C33=0,0,(1-'Adj LRCX'!C40*'Adj LRCX'!C38/1000/'Adj LRCX'!C33)*C6)</f>
        <v/>
      </c>
      <c r="D46" s="28">
        <f>IF('Adj LRCX'!D33=0,0,(1-'Adj LRCX'!D40*'Adj LRCX'!D38/1000/'Adj LRCX'!D33)*D6)</f>
        <v/>
      </c>
      <c r="E46" s="28">
        <f>IF('Adj LRCX'!E33=0,0,(1-'Adj LRCX'!E40*'Adj LRCX'!E38/1000/'Adj LRCX'!E33)*E6)</f>
        <v/>
      </c>
      <c r="F46" s="28">
        <f>IF('Adj LRCX'!F33=0,0,(1-'Adj LRCX'!F40*'Adj LRCX'!F38/1000/'Adj LRCX'!F33)*F6)</f>
        <v/>
      </c>
      <c r="G46" s="28">
        <f>IF('Adj LRCX'!G33=0,0,(1-'Adj LRCX'!G40*'Adj LRCX'!G38/1000/'Adj LRCX'!G33)*G6)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Ratio Comparison - Peer Analysis</t>
        </is>
      </c>
    </row>
    <row r="2">
      <c r="A2" s="15" t="inlineStr">
        <is>
          <t>(key ratios side-by-side)</t>
        </is>
      </c>
    </row>
    <row r="3">
      <c r="B3" s="16" t="n">
        <v>2019</v>
      </c>
      <c r="C3" s="16" t="n">
        <v>2020</v>
      </c>
      <c r="D3" s="16" t="n">
        <v>2021</v>
      </c>
      <c r="E3" s="16" t="n">
        <v>2022</v>
      </c>
      <c r="F3" s="16" t="n">
        <v>2023</v>
      </c>
      <c r="G3" s="16" t="n">
        <v>2024</v>
      </c>
    </row>
    <row r="5">
      <c r="A5" s="19" t="inlineStr">
        <is>
          <t>ROE</t>
        </is>
      </c>
      <c r="B5" s="20" t="n"/>
      <c r="C5" s="20" t="n"/>
      <c r="D5" s="20" t="n"/>
      <c r="E5" s="20" t="n"/>
      <c r="F5" s="20" t="n"/>
      <c r="G5" s="20" t="n"/>
    </row>
    <row r="6">
      <c r="A6" s="11" t="inlineStr">
        <is>
          <t xml:space="preserve">    ASM</t>
        </is>
      </c>
      <c r="B6" s="18">
        <f>'Ratios ASM'!B6</f>
        <v/>
      </c>
      <c r="C6" s="18">
        <f>'Ratios ASM'!C6</f>
        <v/>
      </c>
      <c r="D6" s="18">
        <f>'Ratios ASM'!D6</f>
        <v/>
      </c>
      <c r="E6" s="18">
        <f>'Ratios ASM'!E6</f>
        <v/>
      </c>
      <c r="F6" s="18">
        <f>'Ratios ASM'!F6</f>
        <v/>
      </c>
      <c r="G6" s="18">
        <f>'Ratios ASM'!G6</f>
        <v/>
      </c>
    </row>
    <row r="7">
      <c r="A7" s="11" t="inlineStr">
        <is>
          <t xml:space="preserve">    AIXTRON</t>
        </is>
      </c>
      <c r="B7" s="18">
        <f>'Ratios AIXTRON'!B6</f>
        <v/>
      </c>
      <c r="C7" s="18">
        <f>'Ratios AIXTRON'!C6</f>
        <v/>
      </c>
      <c r="D7" s="18">
        <f>'Ratios AIXTRON'!D6</f>
        <v/>
      </c>
      <c r="E7" s="18">
        <f>'Ratios AIXTRON'!E6</f>
        <v/>
      </c>
      <c r="F7" s="18">
        <f>'Ratios AIXTRON'!F6</f>
        <v/>
      </c>
      <c r="G7" s="18">
        <f>'Ratios AIXTRON'!G6</f>
        <v/>
      </c>
    </row>
    <row r="8">
      <c r="A8" s="11" t="inlineStr">
        <is>
          <t xml:space="preserve">    AMAT</t>
        </is>
      </c>
      <c r="B8" s="18">
        <f>'Ratios AMAT'!B6</f>
        <v/>
      </c>
      <c r="C8" s="18">
        <f>'Ratios AMAT'!C6</f>
        <v/>
      </c>
      <c r="D8" s="18">
        <f>'Ratios AMAT'!D6</f>
        <v/>
      </c>
      <c r="E8" s="18">
        <f>'Ratios AMAT'!E6</f>
        <v/>
      </c>
      <c r="F8" s="18">
        <f>'Ratios AMAT'!F6</f>
        <v/>
      </c>
      <c r="G8" s="18">
        <f>'Ratios AMAT'!G6</f>
        <v/>
      </c>
    </row>
    <row r="9">
      <c r="A9" s="11" t="inlineStr">
        <is>
          <t xml:space="preserve">    LRCX</t>
        </is>
      </c>
      <c r="B9" s="18">
        <f>'Ratios LRCX'!B6</f>
        <v/>
      </c>
      <c r="C9" s="18">
        <f>'Ratios LRCX'!C6</f>
        <v/>
      </c>
      <c r="D9" s="18">
        <f>'Ratios LRCX'!D6</f>
        <v/>
      </c>
      <c r="E9" s="18">
        <f>'Ratios LRCX'!E6</f>
        <v/>
      </c>
      <c r="F9" s="18">
        <f>'Ratios LRCX'!F6</f>
        <v/>
      </c>
      <c r="G9" s="18">
        <f>'Ratios LRCX'!G6</f>
        <v/>
      </c>
    </row>
    <row r="11">
      <c r="A11" s="19" t="inlineStr">
        <is>
          <t>RNOA</t>
        </is>
      </c>
      <c r="B11" s="20" t="n"/>
      <c r="C11" s="20" t="n"/>
      <c r="D11" s="20" t="n"/>
      <c r="E11" s="20" t="n"/>
      <c r="F11" s="20" t="n"/>
      <c r="G11" s="20" t="n"/>
    </row>
    <row r="12">
      <c r="A12" s="11" t="inlineStr">
        <is>
          <t xml:space="preserve">    ASM</t>
        </is>
      </c>
      <c r="B12" s="18">
        <f>'Ratios ASM'!B13</f>
        <v/>
      </c>
      <c r="C12" s="18">
        <f>'Ratios ASM'!C13</f>
        <v/>
      </c>
      <c r="D12" s="18">
        <f>'Ratios ASM'!D13</f>
        <v/>
      </c>
      <c r="E12" s="18">
        <f>'Ratios ASM'!E13</f>
        <v/>
      </c>
      <c r="F12" s="18">
        <f>'Ratios ASM'!F13</f>
        <v/>
      </c>
      <c r="G12" s="18">
        <f>'Ratios ASM'!G13</f>
        <v/>
      </c>
    </row>
    <row r="13">
      <c r="A13" s="11" t="inlineStr">
        <is>
          <t xml:space="preserve">    AIXTRON</t>
        </is>
      </c>
      <c r="B13" s="18">
        <f>'Ratios AIXTRON'!B13</f>
        <v/>
      </c>
      <c r="C13" s="18">
        <f>'Ratios AIXTRON'!C13</f>
        <v/>
      </c>
      <c r="D13" s="18">
        <f>'Ratios AIXTRON'!D13</f>
        <v/>
      </c>
      <c r="E13" s="18">
        <f>'Ratios AIXTRON'!E13</f>
        <v/>
      </c>
      <c r="F13" s="18">
        <f>'Ratios AIXTRON'!F13</f>
        <v/>
      </c>
      <c r="G13" s="18">
        <f>'Ratios AIXTRON'!G13</f>
        <v/>
      </c>
    </row>
    <row r="14">
      <c r="A14" s="11" t="inlineStr">
        <is>
          <t xml:space="preserve">    AMAT</t>
        </is>
      </c>
      <c r="B14" s="18">
        <f>'Ratios AMAT'!B13</f>
        <v/>
      </c>
      <c r="C14" s="18">
        <f>'Ratios AMAT'!C13</f>
        <v/>
      </c>
      <c r="D14" s="18">
        <f>'Ratios AMAT'!D13</f>
        <v/>
      </c>
      <c r="E14" s="18">
        <f>'Ratios AMAT'!E13</f>
        <v/>
      </c>
      <c r="F14" s="18">
        <f>'Ratios AMAT'!F13</f>
        <v/>
      </c>
      <c r="G14" s="18">
        <f>'Ratios AMAT'!G13</f>
        <v/>
      </c>
    </row>
    <row r="15">
      <c r="A15" s="11" t="inlineStr">
        <is>
          <t xml:space="preserve">    LRCX</t>
        </is>
      </c>
      <c r="B15" s="18">
        <f>'Ratios LRCX'!B13</f>
        <v/>
      </c>
      <c r="C15" s="18">
        <f>'Ratios LRCX'!C13</f>
        <v/>
      </c>
      <c r="D15" s="18">
        <f>'Ratios LRCX'!D13</f>
        <v/>
      </c>
      <c r="E15" s="18">
        <f>'Ratios LRCX'!E13</f>
        <v/>
      </c>
      <c r="F15" s="18">
        <f>'Ratios LRCX'!F13</f>
        <v/>
      </c>
      <c r="G15" s="18">
        <f>'Ratios LRCX'!G13</f>
        <v/>
      </c>
    </row>
    <row r="17">
      <c r="A17" s="19" t="inlineStr">
        <is>
          <t>NOPAT Margin</t>
        </is>
      </c>
      <c r="B17" s="20" t="n"/>
      <c r="C17" s="20" t="n"/>
      <c r="D17" s="20" t="n"/>
      <c r="E17" s="20" t="n"/>
      <c r="F17" s="20" t="n"/>
      <c r="G17" s="20" t="n"/>
    </row>
    <row r="18">
      <c r="A18" s="11" t="inlineStr">
        <is>
          <t xml:space="preserve">    ASM</t>
        </is>
      </c>
      <c r="B18" s="18">
        <f>'Ratios ASM'!B19</f>
        <v/>
      </c>
      <c r="C18" s="18">
        <f>'Ratios ASM'!C19</f>
        <v/>
      </c>
      <c r="D18" s="18">
        <f>'Ratios ASM'!D19</f>
        <v/>
      </c>
      <c r="E18" s="18">
        <f>'Ratios ASM'!E19</f>
        <v/>
      </c>
      <c r="F18" s="18">
        <f>'Ratios ASM'!F19</f>
        <v/>
      </c>
      <c r="G18" s="18">
        <f>'Ratios ASM'!G19</f>
        <v/>
      </c>
    </row>
    <row r="19">
      <c r="A19" s="11" t="inlineStr">
        <is>
          <t xml:space="preserve">    AIXTRON</t>
        </is>
      </c>
      <c r="B19" s="18">
        <f>'Ratios AIXTRON'!B19</f>
        <v/>
      </c>
      <c r="C19" s="18">
        <f>'Ratios AIXTRON'!C19</f>
        <v/>
      </c>
      <c r="D19" s="18">
        <f>'Ratios AIXTRON'!D19</f>
        <v/>
      </c>
      <c r="E19" s="18">
        <f>'Ratios AIXTRON'!E19</f>
        <v/>
      </c>
      <c r="F19" s="18">
        <f>'Ratios AIXTRON'!F19</f>
        <v/>
      </c>
      <c r="G19" s="18">
        <f>'Ratios AIXTRON'!G19</f>
        <v/>
      </c>
    </row>
    <row r="20">
      <c r="A20" s="11" t="inlineStr">
        <is>
          <t xml:space="preserve">    AMAT</t>
        </is>
      </c>
      <c r="B20" s="18">
        <f>'Ratios AMAT'!B19</f>
        <v/>
      </c>
      <c r="C20" s="18">
        <f>'Ratios AMAT'!C19</f>
        <v/>
      </c>
      <c r="D20" s="18">
        <f>'Ratios AMAT'!D19</f>
        <v/>
      </c>
      <c r="E20" s="18">
        <f>'Ratios AMAT'!E19</f>
        <v/>
      </c>
      <c r="F20" s="18">
        <f>'Ratios AMAT'!F19</f>
        <v/>
      </c>
      <c r="G20" s="18">
        <f>'Ratios AMAT'!G19</f>
        <v/>
      </c>
    </row>
    <row r="21">
      <c r="A21" s="11" t="inlineStr">
        <is>
          <t xml:space="preserve">    LRCX</t>
        </is>
      </c>
      <c r="B21" s="18">
        <f>'Ratios LRCX'!B19</f>
        <v/>
      </c>
      <c r="C21" s="18">
        <f>'Ratios LRCX'!C19</f>
        <v/>
      </c>
      <c r="D21" s="18">
        <f>'Ratios LRCX'!D19</f>
        <v/>
      </c>
      <c r="E21" s="18">
        <f>'Ratios LRCX'!E19</f>
        <v/>
      </c>
      <c r="F21" s="18">
        <f>'Ratios LRCX'!F19</f>
        <v/>
      </c>
      <c r="G21" s="18">
        <f>'Ratios LRCX'!G19</f>
        <v/>
      </c>
    </row>
    <row r="23">
      <c r="A23" s="19" t="inlineStr">
        <is>
          <t>Gross Profit Margin</t>
        </is>
      </c>
      <c r="B23" s="20" t="n"/>
      <c r="C23" s="20" t="n"/>
      <c r="D23" s="20" t="n"/>
      <c r="E23" s="20" t="n"/>
      <c r="F23" s="20" t="n"/>
      <c r="G23" s="20" t="n"/>
    </row>
    <row r="24">
      <c r="A24" s="11" t="inlineStr">
        <is>
          <t xml:space="preserve">    ASM</t>
        </is>
      </c>
      <c r="B24" s="18">
        <f>'Ratios ASM'!B17</f>
        <v/>
      </c>
      <c r="C24" s="18">
        <f>'Ratios ASM'!C17</f>
        <v/>
      </c>
      <c r="D24" s="18">
        <f>'Ratios ASM'!D17</f>
        <v/>
      </c>
      <c r="E24" s="18">
        <f>'Ratios ASM'!E17</f>
        <v/>
      </c>
      <c r="F24" s="18">
        <f>'Ratios ASM'!F17</f>
        <v/>
      </c>
      <c r="G24" s="18">
        <f>'Ratios ASM'!G17</f>
        <v/>
      </c>
    </row>
    <row r="25">
      <c r="A25" s="11" t="inlineStr">
        <is>
          <t xml:space="preserve">    AIXTRON</t>
        </is>
      </c>
      <c r="B25" s="18">
        <f>'Ratios AIXTRON'!B17</f>
        <v/>
      </c>
      <c r="C25" s="18">
        <f>'Ratios AIXTRON'!C17</f>
        <v/>
      </c>
      <c r="D25" s="18">
        <f>'Ratios AIXTRON'!D17</f>
        <v/>
      </c>
      <c r="E25" s="18">
        <f>'Ratios AIXTRON'!E17</f>
        <v/>
      </c>
      <c r="F25" s="18">
        <f>'Ratios AIXTRON'!F17</f>
        <v/>
      </c>
      <c r="G25" s="18">
        <f>'Ratios AIXTRON'!G17</f>
        <v/>
      </c>
    </row>
    <row r="26">
      <c r="A26" s="11" t="inlineStr">
        <is>
          <t xml:space="preserve">    AMAT</t>
        </is>
      </c>
      <c r="B26" s="18">
        <f>'Ratios AMAT'!B17</f>
        <v/>
      </c>
      <c r="C26" s="18">
        <f>'Ratios AMAT'!C17</f>
        <v/>
      </c>
      <c r="D26" s="18">
        <f>'Ratios AMAT'!D17</f>
        <v/>
      </c>
      <c r="E26" s="18">
        <f>'Ratios AMAT'!E17</f>
        <v/>
      </c>
      <c r="F26" s="18">
        <f>'Ratios AMAT'!F17</f>
        <v/>
      </c>
      <c r="G26" s="18">
        <f>'Ratios AMAT'!G17</f>
        <v/>
      </c>
    </row>
    <row r="27">
      <c r="A27" s="11" t="inlineStr">
        <is>
          <t xml:space="preserve">    LRCX</t>
        </is>
      </c>
      <c r="B27" s="18">
        <f>'Ratios LRCX'!B17</f>
        <v/>
      </c>
      <c r="C27" s="18">
        <f>'Ratios LRCX'!C17</f>
        <v/>
      </c>
      <c r="D27" s="18">
        <f>'Ratios LRCX'!D17</f>
        <v/>
      </c>
      <c r="E27" s="18">
        <f>'Ratios LRCX'!E17</f>
        <v/>
      </c>
      <c r="F27" s="18">
        <f>'Ratios LRCX'!F17</f>
        <v/>
      </c>
      <c r="G27" s="18">
        <f>'Ratios LRCX'!G17</f>
        <v/>
      </c>
    </row>
    <row r="29">
      <c r="A29" s="19" t="inlineStr">
        <is>
          <t>Revenue Growth</t>
        </is>
      </c>
      <c r="B29" s="20" t="n"/>
      <c r="C29" s="20" t="n"/>
      <c r="D29" s="20" t="n"/>
      <c r="E29" s="20" t="n"/>
      <c r="F29" s="20" t="n"/>
      <c r="G29" s="20" t="n"/>
    </row>
    <row r="30">
      <c r="A30" s="11" t="inlineStr">
        <is>
          <t xml:space="preserve">    ASM</t>
        </is>
      </c>
      <c r="B30" s="18">
        <f>'Ratios ASM'!B45</f>
        <v/>
      </c>
      <c r="C30" s="18">
        <f>'Ratios ASM'!C45</f>
        <v/>
      </c>
      <c r="D30" s="18">
        <f>'Ratios ASM'!D45</f>
        <v/>
      </c>
      <c r="E30" s="18">
        <f>'Ratios ASM'!E45</f>
        <v/>
      </c>
      <c r="F30" s="18">
        <f>'Ratios ASM'!F45</f>
        <v/>
      </c>
      <c r="G30" s="18">
        <f>'Ratios ASM'!G45</f>
        <v/>
      </c>
    </row>
    <row r="31">
      <c r="A31" s="11" t="inlineStr">
        <is>
          <t xml:space="preserve">    AIXTRON</t>
        </is>
      </c>
      <c r="B31" s="18">
        <f>'Ratios AIXTRON'!B45</f>
        <v/>
      </c>
      <c r="C31" s="18">
        <f>'Ratios AIXTRON'!C45</f>
        <v/>
      </c>
      <c r="D31" s="18">
        <f>'Ratios AIXTRON'!D45</f>
        <v/>
      </c>
      <c r="E31" s="18">
        <f>'Ratios AIXTRON'!E45</f>
        <v/>
      </c>
      <c r="F31" s="18">
        <f>'Ratios AIXTRON'!F45</f>
        <v/>
      </c>
      <c r="G31" s="18">
        <f>'Ratios AIXTRON'!G45</f>
        <v/>
      </c>
    </row>
    <row r="32">
      <c r="A32" s="11" t="inlineStr">
        <is>
          <t xml:space="preserve">    AMAT</t>
        </is>
      </c>
      <c r="B32" s="18">
        <f>'Ratios AMAT'!B45</f>
        <v/>
      </c>
      <c r="C32" s="18">
        <f>'Ratios AMAT'!C45</f>
        <v/>
      </c>
      <c r="D32" s="18">
        <f>'Ratios AMAT'!D45</f>
        <v/>
      </c>
      <c r="E32" s="18">
        <f>'Ratios AMAT'!E45</f>
        <v/>
      </c>
      <c r="F32" s="18">
        <f>'Ratios AMAT'!F45</f>
        <v/>
      </c>
      <c r="G32" s="18">
        <f>'Ratios AMAT'!G45</f>
        <v/>
      </c>
    </row>
    <row r="33">
      <c r="A33" s="11" t="inlineStr">
        <is>
          <t xml:space="preserve">    LRCX</t>
        </is>
      </c>
      <c r="B33" s="18">
        <f>'Ratios LRCX'!B45</f>
        <v/>
      </c>
      <c r="C33" s="18">
        <f>'Ratios LRCX'!C45</f>
        <v/>
      </c>
      <c r="D33" s="18">
        <f>'Ratios LRCX'!D45</f>
        <v/>
      </c>
      <c r="E33" s="18">
        <f>'Ratios LRCX'!E45</f>
        <v/>
      </c>
      <c r="F33" s="18">
        <f>'Ratios LRCX'!F45</f>
        <v/>
      </c>
      <c r="G33" s="18">
        <f>'Ratios LRCX'!G45</f>
        <v/>
      </c>
    </row>
    <row r="35">
      <c r="A35" s="19" t="inlineStr">
        <is>
          <t>OWC / Revenue</t>
        </is>
      </c>
      <c r="B35" s="20" t="n"/>
      <c r="C35" s="20" t="n"/>
      <c r="D35" s="20" t="n"/>
      <c r="E35" s="20" t="n"/>
      <c r="F35" s="20" t="n"/>
      <c r="G35" s="20" t="n"/>
    </row>
    <row r="36">
      <c r="A36" s="11" t="inlineStr">
        <is>
          <t xml:space="preserve">    ASM</t>
        </is>
      </c>
      <c r="B36" s="18">
        <f>'Ratios ASM'!B36</f>
        <v/>
      </c>
      <c r="C36" s="18">
        <f>'Ratios ASM'!C36</f>
        <v/>
      </c>
      <c r="D36" s="18">
        <f>'Ratios ASM'!D36</f>
        <v/>
      </c>
      <c r="E36" s="18">
        <f>'Ratios ASM'!E36</f>
        <v/>
      </c>
      <c r="F36" s="18">
        <f>'Ratios ASM'!F36</f>
        <v/>
      </c>
      <c r="G36" s="18">
        <f>'Ratios ASM'!G36</f>
        <v/>
      </c>
    </row>
    <row r="37">
      <c r="A37" s="11" t="inlineStr">
        <is>
          <t xml:space="preserve">    AIXTRON</t>
        </is>
      </c>
      <c r="B37" s="18">
        <f>'Ratios AIXTRON'!B36</f>
        <v/>
      </c>
      <c r="C37" s="18">
        <f>'Ratios AIXTRON'!C36</f>
        <v/>
      </c>
      <c r="D37" s="18">
        <f>'Ratios AIXTRON'!D36</f>
        <v/>
      </c>
      <c r="E37" s="18">
        <f>'Ratios AIXTRON'!E36</f>
        <v/>
      </c>
      <c r="F37" s="18">
        <f>'Ratios AIXTRON'!F36</f>
        <v/>
      </c>
      <c r="G37" s="18">
        <f>'Ratios AIXTRON'!G36</f>
        <v/>
      </c>
    </row>
    <row r="38">
      <c r="A38" s="11" t="inlineStr">
        <is>
          <t xml:space="preserve">    AMAT</t>
        </is>
      </c>
      <c r="B38" s="18">
        <f>'Ratios AMAT'!B36</f>
        <v/>
      </c>
      <c r="C38" s="18">
        <f>'Ratios AMAT'!C36</f>
        <v/>
      </c>
      <c r="D38" s="18">
        <f>'Ratios AMAT'!D36</f>
        <v/>
      </c>
      <c r="E38" s="18">
        <f>'Ratios AMAT'!E36</f>
        <v/>
      </c>
      <c r="F38" s="18">
        <f>'Ratios AMAT'!F36</f>
        <v/>
      </c>
      <c r="G38" s="18">
        <f>'Ratios AMAT'!G36</f>
        <v/>
      </c>
    </row>
    <row r="39">
      <c r="A39" s="11" t="inlineStr">
        <is>
          <t xml:space="preserve">    LRCX</t>
        </is>
      </c>
      <c r="B39" s="18">
        <f>'Ratios LRCX'!B36</f>
        <v/>
      </c>
      <c r="C39" s="18">
        <f>'Ratios LRCX'!C36</f>
        <v/>
      </c>
      <c r="D39" s="18">
        <f>'Ratios LRCX'!D36</f>
        <v/>
      </c>
      <c r="E39" s="18">
        <f>'Ratios LRCX'!E36</f>
        <v/>
      </c>
      <c r="F39" s="18">
        <f>'Ratios LRCX'!F36</f>
        <v/>
      </c>
      <c r="G39" s="18">
        <f>'Ratios LRCX'!G36</f>
        <v/>
      </c>
    </row>
    <row r="41">
      <c r="A41" s="19" t="inlineStr">
        <is>
          <t>Days Receivable</t>
        </is>
      </c>
      <c r="B41" s="20" t="n"/>
      <c r="C41" s="20" t="n"/>
      <c r="D41" s="20" t="n"/>
      <c r="E41" s="20" t="n"/>
      <c r="F41" s="20" t="n"/>
      <c r="G41" s="20" t="n"/>
    </row>
    <row r="42">
      <c r="A42" s="11" t="inlineStr">
        <is>
          <t xml:space="preserve">    ASM</t>
        </is>
      </c>
      <c r="B42" s="42">
        <f>'Ratios ASM'!B29</f>
        <v/>
      </c>
      <c r="C42" s="42">
        <f>'Ratios ASM'!C29</f>
        <v/>
      </c>
      <c r="D42" s="42">
        <f>'Ratios ASM'!D29</f>
        <v/>
      </c>
      <c r="E42" s="42">
        <f>'Ratios ASM'!E29</f>
        <v/>
      </c>
      <c r="F42" s="42">
        <f>'Ratios ASM'!F29</f>
        <v/>
      </c>
      <c r="G42" s="42">
        <f>'Ratios ASM'!G29</f>
        <v/>
      </c>
    </row>
    <row r="43">
      <c r="A43" s="11" t="inlineStr">
        <is>
          <t xml:space="preserve">    AIXTRON</t>
        </is>
      </c>
      <c r="B43" s="42">
        <f>'Ratios AIXTRON'!B29</f>
        <v/>
      </c>
      <c r="C43" s="42">
        <f>'Ratios AIXTRON'!C29</f>
        <v/>
      </c>
      <c r="D43" s="42">
        <f>'Ratios AIXTRON'!D29</f>
        <v/>
      </c>
      <c r="E43" s="42">
        <f>'Ratios AIXTRON'!E29</f>
        <v/>
      </c>
      <c r="F43" s="42">
        <f>'Ratios AIXTRON'!F29</f>
        <v/>
      </c>
      <c r="G43" s="42">
        <f>'Ratios AIXTRON'!G29</f>
        <v/>
      </c>
    </row>
    <row r="44">
      <c r="A44" s="11" t="inlineStr">
        <is>
          <t xml:space="preserve">    AMAT</t>
        </is>
      </c>
      <c r="B44" s="42">
        <f>'Ratios AMAT'!B29</f>
        <v/>
      </c>
      <c r="C44" s="42">
        <f>'Ratios AMAT'!C29</f>
        <v/>
      </c>
      <c r="D44" s="42">
        <f>'Ratios AMAT'!D29</f>
        <v/>
      </c>
      <c r="E44" s="42">
        <f>'Ratios AMAT'!E29</f>
        <v/>
      </c>
      <c r="F44" s="42">
        <f>'Ratios AMAT'!F29</f>
        <v/>
      </c>
      <c r="G44" s="42">
        <f>'Ratios AMAT'!G29</f>
        <v/>
      </c>
    </row>
    <row r="45">
      <c r="A45" s="11" t="inlineStr">
        <is>
          <t xml:space="preserve">    LRCX</t>
        </is>
      </c>
      <c r="B45" s="42">
        <f>'Ratios LRCX'!B29</f>
        <v/>
      </c>
      <c r="C45" s="42">
        <f>'Ratios LRCX'!C29</f>
        <v/>
      </c>
      <c r="D45" s="42">
        <f>'Ratios LRCX'!D29</f>
        <v/>
      </c>
      <c r="E45" s="42">
        <f>'Ratios LRCX'!E29</f>
        <v/>
      </c>
      <c r="F45" s="42">
        <f>'Ratios LRCX'!F29</f>
        <v/>
      </c>
      <c r="G45" s="42">
        <f>'Ratios LRCX'!G29</f>
        <v/>
      </c>
    </row>
    <row r="47">
      <c r="A47" s="19" t="inlineStr">
        <is>
          <t>Debt-to-Equity</t>
        </is>
      </c>
      <c r="B47" s="20" t="n"/>
      <c r="C47" s="20" t="n"/>
      <c r="D47" s="20" t="n"/>
      <c r="E47" s="20" t="n"/>
      <c r="F47" s="20" t="n"/>
      <c r="G47" s="20" t="n"/>
    </row>
    <row r="48">
      <c r="A48" s="11" t="inlineStr">
        <is>
          <t xml:space="preserve">    ASM</t>
        </is>
      </c>
      <c r="B48" s="42">
        <f>'Ratios ASM'!B41</f>
        <v/>
      </c>
      <c r="C48" s="42">
        <f>'Ratios ASM'!C41</f>
        <v/>
      </c>
      <c r="D48" s="42">
        <f>'Ratios ASM'!D41</f>
        <v/>
      </c>
      <c r="E48" s="42">
        <f>'Ratios ASM'!E41</f>
        <v/>
      </c>
      <c r="F48" s="42">
        <f>'Ratios ASM'!F41</f>
        <v/>
      </c>
      <c r="G48" s="42">
        <f>'Ratios ASM'!G41</f>
        <v/>
      </c>
    </row>
    <row r="49">
      <c r="A49" s="11" t="inlineStr">
        <is>
          <t xml:space="preserve">    AIXTRON</t>
        </is>
      </c>
      <c r="B49" s="42">
        <f>'Ratios AIXTRON'!B41</f>
        <v/>
      </c>
      <c r="C49" s="42">
        <f>'Ratios AIXTRON'!C41</f>
        <v/>
      </c>
      <c r="D49" s="42">
        <f>'Ratios AIXTRON'!D41</f>
        <v/>
      </c>
      <c r="E49" s="42">
        <f>'Ratios AIXTRON'!E41</f>
        <v/>
      </c>
      <c r="F49" s="42">
        <f>'Ratios AIXTRON'!F41</f>
        <v/>
      </c>
      <c r="G49" s="42">
        <f>'Ratios AIXTRON'!G41</f>
        <v/>
      </c>
    </row>
    <row r="50">
      <c r="A50" s="11" t="inlineStr">
        <is>
          <t xml:space="preserve">    AMAT</t>
        </is>
      </c>
      <c r="B50" s="42">
        <f>'Ratios AMAT'!B41</f>
        <v/>
      </c>
      <c r="C50" s="42">
        <f>'Ratios AMAT'!C41</f>
        <v/>
      </c>
      <c r="D50" s="42">
        <f>'Ratios AMAT'!D41</f>
        <v/>
      </c>
      <c r="E50" s="42">
        <f>'Ratios AMAT'!E41</f>
        <v/>
      </c>
      <c r="F50" s="42">
        <f>'Ratios AMAT'!F41</f>
        <v/>
      </c>
      <c r="G50" s="42">
        <f>'Ratios AMAT'!G41</f>
        <v/>
      </c>
    </row>
    <row r="51">
      <c r="A51" s="11" t="inlineStr">
        <is>
          <t xml:space="preserve">    LRCX</t>
        </is>
      </c>
      <c r="B51" s="42">
        <f>'Ratios LRCX'!B41</f>
        <v/>
      </c>
      <c r="C51" s="42">
        <f>'Ratios LRCX'!C41</f>
        <v/>
      </c>
      <c r="D51" s="42">
        <f>'Ratios LRCX'!D41</f>
        <v/>
      </c>
      <c r="E51" s="42">
        <f>'Ratios LRCX'!E41</f>
        <v/>
      </c>
      <c r="F51" s="42">
        <f>'Ratios LRCX'!F41</f>
        <v/>
      </c>
      <c r="G51" s="42">
        <f>'Ratios LRCX'!G41</f>
        <v/>
      </c>
    </row>
    <row r="53">
      <c r="A53" s="19" t="inlineStr">
        <is>
          <t>Interest Coverage</t>
        </is>
      </c>
      <c r="B53" s="20" t="n"/>
      <c r="C53" s="20" t="n"/>
      <c r="D53" s="20" t="n"/>
      <c r="E53" s="20" t="n"/>
      <c r="F53" s="20" t="n"/>
      <c r="G53" s="20" t="n"/>
    </row>
    <row r="54">
      <c r="A54" s="11" t="inlineStr">
        <is>
          <t xml:space="preserve">    ASM</t>
        </is>
      </c>
      <c r="B54" s="42">
        <f>'Ratios ASM'!B42</f>
        <v/>
      </c>
      <c r="C54" s="42">
        <f>'Ratios ASM'!C42</f>
        <v/>
      </c>
      <c r="D54" s="42">
        <f>'Ratios ASM'!D42</f>
        <v/>
      </c>
      <c r="E54" s="42">
        <f>'Ratios ASM'!E42</f>
        <v/>
      </c>
      <c r="F54" s="42">
        <f>'Ratios ASM'!F42</f>
        <v/>
      </c>
      <c r="G54" s="42">
        <f>'Ratios ASM'!G42</f>
        <v/>
      </c>
    </row>
    <row r="55">
      <c r="A55" s="11" t="inlineStr">
        <is>
          <t xml:space="preserve">    AIXTRON</t>
        </is>
      </c>
      <c r="B55" s="42">
        <f>'Ratios AIXTRON'!B42</f>
        <v/>
      </c>
      <c r="C55" s="42">
        <f>'Ratios AIXTRON'!C42</f>
        <v/>
      </c>
      <c r="D55" s="42">
        <f>'Ratios AIXTRON'!D42</f>
        <v/>
      </c>
      <c r="E55" s="42">
        <f>'Ratios AIXTRON'!E42</f>
        <v/>
      </c>
      <c r="F55" s="42">
        <f>'Ratios AIXTRON'!F42</f>
        <v/>
      </c>
      <c r="G55" s="42">
        <f>'Ratios AIXTRON'!G42</f>
        <v/>
      </c>
    </row>
    <row r="56">
      <c r="A56" s="11" t="inlineStr">
        <is>
          <t xml:space="preserve">    AMAT</t>
        </is>
      </c>
      <c r="B56" s="42">
        <f>'Ratios AMAT'!B42</f>
        <v/>
      </c>
      <c r="C56" s="42">
        <f>'Ratios AMAT'!C42</f>
        <v/>
      </c>
      <c r="D56" s="42">
        <f>'Ratios AMAT'!D42</f>
        <v/>
      </c>
      <c r="E56" s="42">
        <f>'Ratios AMAT'!E42</f>
        <v/>
      </c>
      <c r="F56" s="42">
        <f>'Ratios AMAT'!F42</f>
        <v/>
      </c>
      <c r="G56" s="42">
        <f>'Ratios AMAT'!G42</f>
        <v/>
      </c>
    </row>
    <row r="57">
      <c r="A57" s="11" t="inlineStr">
        <is>
          <t xml:space="preserve">    LRCX</t>
        </is>
      </c>
      <c r="B57" s="42">
        <f>'Ratios LRCX'!B42</f>
        <v/>
      </c>
      <c r="C57" s="42">
        <f>'Ratios LRCX'!C42</f>
        <v/>
      </c>
      <c r="D57" s="42">
        <f>'Ratios LRCX'!D42</f>
        <v/>
      </c>
      <c r="E57" s="42">
        <f>'Ratios LRCX'!E42</f>
        <v/>
      </c>
      <c r="F57" s="42">
        <f>'Ratios LRCX'!F42</f>
        <v/>
      </c>
      <c r="G57" s="42">
        <f>'Ratios LRCX'!G42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2026-03-26T02:51:27Z</dcterms:created>
  <dcterms:modified xmlns:dcterms="http://purl.org/dc/terms/" xmlns:xsi="http://www.w3.org/2001/XMLSchema-instance" xsi:type="dcterms:W3CDTF">2026-03-26T02:51:27Z</dcterms:modified>
</cp:coreProperties>
</file>