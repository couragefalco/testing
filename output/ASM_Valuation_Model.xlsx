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  <sheet xmlns:r="http://schemas.openxmlformats.org/officeDocument/2006/relationships" name="Std AIXTRON" sheetId="8" state="visible" r:id="rId8"/>
    <sheet xmlns:r="http://schemas.openxmlformats.org/officeDocument/2006/relationships" name="Std AMAT" sheetId="9" state="visible" r:id="rId9"/>
    <sheet xmlns:r="http://schemas.openxmlformats.org/officeDocument/2006/relationships" name="Std LRCX" sheetId="10" state="visible" r:id="rId10"/>
    <sheet xmlns:r="http://schemas.openxmlformats.org/officeDocument/2006/relationships" name="Adjustments" sheetId="11" state="visible" r:id="rId11"/>
    <sheet xmlns:r="http://schemas.openxmlformats.org/officeDocument/2006/relationships" name="Adj ASM" sheetId="12" state="visible" r:id="rId12"/>
    <sheet xmlns:r="http://schemas.openxmlformats.org/officeDocument/2006/relationships" name="Adj AIXTRON" sheetId="13" state="visible" r:id="rId13"/>
    <sheet xmlns:r="http://schemas.openxmlformats.org/officeDocument/2006/relationships" name="Adj AMAT" sheetId="14" state="visible" r:id="rId14"/>
    <sheet xmlns:r="http://schemas.openxmlformats.org/officeDocument/2006/relationships" name="Adj LRCX" sheetId="15" state="visible" r:id="rId15"/>
    <sheet xmlns:r="http://schemas.openxmlformats.org/officeDocument/2006/relationships" name="Ratio Definitions" sheetId="16" state="visible" r:id="rId16"/>
    <sheet xmlns:r="http://schemas.openxmlformats.org/officeDocument/2006/relationships" name="Ratios ASM" sheetId="17" state="visible" r:id="rId17"/>
    <sheet xmlns:r="http://schemas.openxmlformats.org/officeDocument/2006/relationships" name="Ratios AIXTRON" sheetId="18" state="visible" r:id="rId18"/>
    <sheet xmlns:r="http://schemas.openxmlformats.org/officeDocument/2006/relationships" name="Ratios AMAT" sheetId="19" state="visible" r:id="rId19"/>
    <sheet xmlns:r="http://schemas.openxmlformats.org/officeDocument/2006/relationships" name="Ratios LRCX" sheetId="20" state="visible" r:id="rId20"/>
    <sheet xmlns:r="http://schemas.openxmlformats.org/officeDocument/2006/relationships" name="Ratio Comparison" sheetId="21" state="visible" r:id="rId21"/>
    <sheet xmlns:r="http://schemas.openxmlformats.org/officeDocument/2006/relationships" name="Forecast" sheetId="22" state="visible" r:id="rId22"/>
    <sheet xmlns:r="http://schemas.openxmlformats.org/officeDocument/2006/relationships" name="Valuation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0.0%"/>
    <numFmt numFmtId="166" formatCode="#,##0;(#,##0);&quot;-&quot;"/>
    <numFmt numFmtId="167" formatCode="#,##0.00;(#,##0.00);&quot;-&quot;"/>
    <numFmt numFmtId="168" formatCode="0.00;(0.00);&quot;-&quot;"/>
    <numFmt numFmtId="169" formatCode="0.0000"/>
    <numFmt numFmtId="170" formatCode="0.0&quot;x&quot;"/>
  </numFmts>
  <fonts count="18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  <font>
      <b val="1"/>
      <color rgb="00000000"/>
      <sz val="12"/>
    </font>
    <font>
      <b val="1"/>
      <color rgb="00008000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  <xf numFmtId="0" fontId="15" fillId="0" borderId="0" pivotButton="0" quotePrefix="0" xfId="0"/>
    <xf numFmtId="49" fontId="16" fillId="2" borderId="2" pivotButton="0" quotePrefix="0" xfId="0"/>
    <xf numFmtId="165" fontId="14" fillId="3" borderId="0" pivotButton="0" quotePrefix="0" xfId="0"/>
    <xf numFmtId="166" fontId="16" fillId="0" borderId="0" pivotButton="0" quotePrefix="0" xfId="0"/>
    <xf numFmtId="166" fontId="16" fillId="0" borderId="3" pivotButton="0" quotePrefix="0" xfId="0"/>
    <xf numFmtId="166" fontId="16" fillId="0" borderId="4" pivotButton="0" quotePrefix="0" xfId="0"/>
    <xf numFmtId="0" fontId="15" fillId="0" borderId="1" pivotButton="0" quotePrefix="0" xfId="0"/>
    <xf numFmtId="165" fontId="17" fillId="0" borderId="0" pivotButton="0" quotePrefix="0" xfId="0"/>
    <xf numFmtId="168" fontId="17" fillId="0" borderId="0" pivotButton="0" quotePrefix="0" xfId="0"/>
    <xf numFmtId="168" fontId="10" fillId="0" borderId="0" pivotButton="0" quotePrefix="0" xfId="0"/>
    <xf numFmtId="168" fontId="14" fillId="0" borderId="0" pivotButton="0" quotePrefix="0" xfId="0"/>
    <xf numFmtId="166" fontId="14" fillId="0" borderId="4" pivotButton="0" quotePrefix="0" xfId="0"/>
    <xf numFmtId="168" fontId="11" fillId="3" borderId="0" pivotButton="0" quotePrefix="0" xfId="0"/>
    <xf numFmtId="166" fontId="11" fillId="3" borderId="0" pivotButton="0" quotePrefix="0" xfId="0"/>
    <xf numFmtId="165" fontId="13" fillId="0" borderId="0" pivotButton="0" quotePrefix="0" xfId="0"/>
    <xf numFmtId="4" fontId="11" fillId="3" borderId="0" pivotButton="0" quotePrefix="0" xfId="0"/>
    <xf numFmtId="169" fontId="10" fillId="0" borderId="0" pivotButton="0" quotePrefix="0" xfId="0"/>
    <xf numFmtId="4" fontId="13" fillId="0" borderId="4" pivotButton="0" quotePrefix="0" xfId="0"/>
    <xf numFmtId="0" fontId="0" fillId="0" borderId="4" pivotButton="0" quotePrefix="0" xfId="0"/>
    <xf numFmtId="0" fontId="13" fillId="2" borderId="2" pivotButton="0" quotePrefix="0" xfId="0"/>
    <xf numFmtId="165" fontId="11" fillId="3" borderId="2" applyAlignment="1" pivotButton="0" quotePrefix="0" xfId="0">
      <alignment horizontal="center"/>
    </xf>
    <xf numFmtId="165" fontId="11" fillId="3" borderId="2" pivotButton="0" quotePrefix="0" xfId="0"/>
    <xf numFmtId="4" fontId="10" fillId="0" borderId="0" pivotButton="0" quotePrefix="0" xfId="0"/>
    <xf numFmtId="0" fontId="13" fillId="2" borderId="2" applyAlignment="1" pivotButton="0" quotePrefix="0" xfId="0">
      <alignment horizontal="center"/>
    </xf>
    <xf numFmtId="170" fontId="10" fillId="0" borderId="0" pivotButton="0" quotePrefix="0" xfId="0"/>
    <xf numFmtId="170" fontId="13" fillId="0" borderId="0" pivotButton="0" quotePrefix="0" xfId="0"/>
    <xf numFmtId="4" fontId="13" fillId="0" borderId="0" pivotButton="0" quotePrefix="0" xfId="0"/>
    <xf numFmtId="0" fontId="15" fillId="0" borderId="4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ASM'!B166),'Input ASM'!B166,0)</f>
        <v/>
      </c>
      <c r="C79" s="21">
        <f>IF(ISNUMBER('Input ASM'!C166),'Input ASM'!C166,0)</f>
        <v/>
      </c>
      <c r="D79" s="21">
        <f>IF(ISNUMBER('Input ASM'!D166),'Input ASM'!D166,0)</f>
        <v/>
      </c>
      <c r="E79" s="21">
        <f>IF(ISNUMBER('Input ASM'!E166),'Input ASM'!E166,0)</f>
        <v/>
      </c>
      <c r="F79" s="21">
        <f>IF(ISNUMBER('Input ASM'!F166),'Input ASM'!F166,0)</f>
        <v/>
      </c>
      <c r="G79" s="21">
        <f>IF(ISNUMBER('Input ASM'!G166),'Input ASM'!G166,0)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AIXTRON'!B68),'Input AIXTRON'!B68,0)</f>
        <v/>
      </c>
      <c r="C6" s="18">
        <f>IF(ISNUMBER('Input AIXTRON'!C68),'Input AIXTRON'!C68,0)</f>
        <v/>
      </c>
      <c r="D6" s="18">
        <f>IF(ISNUMBER('Input AIXTRON'!D68),'Input AIXTRON'!D68,0)</f>
        <v/>
      </c>
      <c r="E6" s="18">
        <f>IF(ISNUMBER('Input AIXTRON'!E68),'Input AIXTRON'!E68,0)</f>
        <v/>
      </c>
      <c r="F6" s="18">
        <f>IF(ISNUMBER('Input AIXTRON'!F68),'Input AIXTRON'!F68,0)</f>
        <v/>
      </c>
      <c r="G6" s="18">
        <f>IF(ISNUMBER('Input AIXTRON'!G68),'Input AIXTRON'!G68,0)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AIXTRON'!B21),'Input AIXTRON'!B21,0)</f>
        <v/>
      </c>
      <c r="C9" s="21">
        <f>IF(ISNUMBER('Input AIXTRON'!C21),'Input AIXTRON'!C21,0)</f>
        <v/>
      </c>
      <c r="D9" s="21">
        <f>IF(ISNUMBER('Input AIXTRON'!D21),'Input AIXTRON'!D21,0)</f>
        <v/>
      </c>
      <c r="E9" s="21">
        <f>IF(ISNUMBER('Input AIXTRON'!E21),'Input AIXTRON'!E21,0)</f>
        <v/>
      </c>
      <c r="F9" s="21">
        <f>IF(ISNUMBER('Input AIXTRON'!F21),'Input AIXTRON'!F21,0)</f>
        <v/>
      </c>
      <c r="G9" s="21">
        <f>IF(ISNUMBER('Input AIXTRON'!G21),'Input AIXTRON'!G21,0)</f>
        <v/>
      </c>
    </row>
    <row r="10">
      <c r="A10" s="11" t="inlineStr">
        <is>
          <t>Cost of Sales</t>
        </is>
      </c>
      <c r="B10" s="21">
        <f>IF(ISNUMBER('Input AIXTRON'!B23),'Input AIXTRON'!B23,0)</f>
        <v/>
      </c>
      <c r="C10" s="21">
        <f>IF(ISNUMBER('Input AIXTRON'!C23),'Input AIXTRON'!C23,0)</f>
        <v/>
      </c>
      <c r="D10" s="21">
        <f>IF(ISNUMBER('Input AIXTRON'!D23),'Input AIXTRON'!D23,0)</f>
        <v/>
      </c>
      <c r="E10" s="21">
        <f>IF(ISNUMBER('Input AIXTRON'!E23),'Input AIXTRON'!E23,0)</f>
        <v/>
      </c>
      <c r="F10" s="21">
        <f>IF(ISNUMBER('Input AIXTRON'!F23),'Input AIXTRON'!F23,0)</f>
        <v/>
      </c>
      <c r="G10" s="21">
        <f>IF(ISNUMBER('Input AIXTRON'!G23),'Input AIXTRON'!G23,0)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AIXTRON'!B26),'Input AIXTRON'!B26,0)</f>
        <v/>
      </c>
      <c r="C12" s="21">
        <f>IF(ISNUMBER('Input AIXTRON'!C26),'Input AIXTRON'!C26,0)</f>
        <v/>
      </c>
      <c r="D12" s="21">
        <f>IF(ISNUMBER('Input AIXTRON'!D26),'Input AIXTRON'!D26,0)</f>
        <v/>
      </c>
      <c r="E12" s="21">
        <f>IF(ISNUMBER('Input AIXTRON'!E26),'Input AIXTRON'!E26,0)</f>
        <v/>
      </c>
      <c r="F12" s="21">
        <f>IF(ISNUMBER('Input AIXTRON'!F26),'Input AIXTRON'!F26,0)</f>
        <v/>
      </c>
      <c r="G12" s="21">
        <f>IF(ISNUMBER('Input AIXTRON'!G26),'Input AIXTRON'!G26,0)</f>
        <v/>
      </c>
    </row>
    <row r="13">
      <c r="A13" s="11" t="inlineStr">
        <is>
          <t xml:space="preserve">  R&amp;D</t>
        </is>
      </c>
      <c r="B13" s="21">
        <f>IF(ISNUMBER('Input AIXTRON'!B27),'Input AIXTRON'!B27,0)</f>
        <v/>
      </c>
      <c r="C13" s="21">
        <f>IF(ISNUMBER('Input AIXTRON'!C27),'Input AIXTRON'!C27,0)</f>
        <v/>
      </c>
      <c r="D13" s="21">
        <f>IF(ISNUMBER('Input AIXTRON'!D27),'Input AIXTRON'!D27,0)</f>
        <v/>
      </c>
      <c r="E13" s="21">
        <f>IF(ISNUMBER('Input AIXTRON'!E27),'Input AIXTRON'!E27,0)</f>
        <v/>
      </c>
      <c r="F13" s="21">
        <f>IF(ISNUMBER('Input AIXTRON'!F27),'Input AIXTRON'!F27,0)</f>
        <v/>
      </c>
      <c r="G13" s="21">
        <f>IF(ISNUMBER('Input AIXTRON'!G27),'Input AIXTRON'!G27,0)</f>
        <v/>
      </c>
    </row>
    <row r="14">
      <c r="A14" s="11" t="inlineStr">
        <is>
          <t xml:space="preserve">  Depreciation &amp; Amortization</t>
        </is>
      </c>
      <c r="B14" s="21">
        <f>IF(ISNUMBER('Input AIXTRON'!B111),'Input AIXTRON'!B111,0)</f>
        <v/>
      </c>
      <c r="C14" s="21">
        <f>IF(ISNUMBER('Input AIXTRON'!C111),'Input AIXTRON'!C111,0)</f>
        <v/>
      </c>
      <c r="D14" s="21">
        <f>IF(ISNUMBER('Input AIXTRON'!D111),'Input AIXTRON'!D111,0)</f>
        <v/>
      </c>
      <c r="E14" s="21">
        <f>IF(ISNUMBER('Input AIXTRON'!E111),'Input AIXTRON'!E111,0)</f>
        <v/>
      </c>
      <c r="F14" s="21">
        <f>IF(ISNUMBER('Input AIXTRON'!F111),'Input AIXTRON'!F111,0)</f>
        <v/>
      </c>
      <c r="G14" s="21">
        <f>IF(ISNUMBER('Input AIXTRON'!G111),'Input AIXTRON'!G111,0)</f>
        <v/>
      </c>
    </row>
    <row r="15">
      <c r="A15" s="11" t="inlineStr">
        <is>
          <t xml:space="preserve">  Other Operating Expense</t>
        </is>
      </c>
      <c r="B15" s="21">
        <f>IF(ISNUMBER('Input AIXTRON'!B28),'Input AIXTRON'!B28,0)</f>
        <v/>
      </c>
      <c r="C15" s="21">
        <f>IF(ISNUMBER('Input AIXTRON'!C28),'Input AIXTRON'!C28,0)</f>
        <v/>
      </c>
      <c r="D15" s="21">
        <f>IF(ISNUMBER('Input AIXTRON'!D28),'Input AIXTRON'!D28,0)</f>
        <v/>
      </c>
      <c r="E15" s="21">
        <f>IF(ISNUMBER('Input AIXTRON'!E28),'Input AIXTRON'!E28,0)</f>
        <v/>
      </c>
      <c r="F15" s="21">
        <f>IF(ISNUMBER('Input AIXTRON'!F28),'Input AIXTRON'!F28,0)</f>
        <v/>
      </c>
      <c r="G15" s="21">
        <f>IF(ISNUMBER('Input AIXTRON'!G28),'Input AIXTRON'!G28,0)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AIXTRON'!B38),'Input AIXTRON'!B38,0)</f>
        <v/>
      </c>
      <c r="C20" s="21">
        <f>IF(ISNUMBER('Input AIXTRON'!C38),'Input AIXTRON'!C38,0)</f>
        <v/>
      </c>
      <c r="D20" s="21">
        <f>IF(ISNUMBER('Input AIXTRON'!D38),'Input AIXTRON'!D38,0)</f>
        <v/>
      </c>
      <c r="E20" s="21">
        <f>IF(ISNUMBER('Input AIXTRON'!E38),'Input AIXTRON'!E38,0)</f>
        <v/>
      </c>
      <c r="F20" s="21">
        <f>IF(ISNUMBER('Input AIXTRON'!F38),'Input AIXTRON'!F38,0)</f>
        <v/>
      </c>
      <c r="G20" s="21">
        <f>IF(ISNUMBER('Input AIXTRON'!G38),'Input AIXTRON'!G38,0)</f>
        <v/>
      </c>
    </row>
    <row r="21">
      <c r="A21" s="11" t="inlineStr">
        <is>
          <t xml:space="preserve">  Gain/Loss on Sale of Assets</t>
        </is>
      </c>
      <c r="B21" s="21">
        <f>IF(ISNUMBER('Input AIXTRON'!B39),'Input AIXTRON'!B39,0)</f>
        <v/>
      </c>
      <c r="C21" s="21">
        <f>IF(ISNUMBER('Input AIXTRON'!C39),'Input AIXTRON'!C39,0)</f>
        <v/>
      </c>
      <c r="D21" s="21">
        <f>IF(ISNUMBER('Input AIXTRON'!D39),'Input AIXTRON'!D39,0)</f>
        <v/>
      </c>
      <c r="E21" s="21">
        <f>IF(ISNUMBER('Input AIXTRON'!E39),'Input AIXTRON'!E39,0)</f>
        <v/>
      </c>
      <c r="F21" s="21">
        <f>IF(ISNUMBER('Input AIXTRON'!F39),'Input AIXTRON'!F39,0)</f>
        <v/>
      </c>
      <c r="G21" s="21">
        <f>IF(ISNUMBER('Input AIXTRON'!G39),'Input AIXTRON'!G39,0)</f>
        <v/>
      </c>
    </row>
    <row r="22">
      <c r="A22" s="11" t="inlineStr">
        <is>
          <t xml:space="preserve">  Asset Writedown</t>
        </is>
      </c>
      <c r="B22" s="21">
        <f>IF(ISNUMBER('Input AIXTRON'!B40),'Input AIXTRON'!B40,0)</f>
        <v/>
      </c>
      <c r="C22" s="21">
        <f>IF(ISNUMBER('Input AIXTRON'!C40),'Input AIXTRON'!C40,0)</f>
        <v/>
      </c>
      <c r="D22" s="21">
        <f>IF(ISNUMBER('Input AIXTRON'!D40),'Input AIXTRON'!D40,0)</f>
        <v/>
      </c>
      <c r="E22" s="21">
        <f>IF(ISNUMBER('Input AIXTRON'!E40),'Input AIXTRON'!E40,0)</f>
        <v/>
      </c>
      <c r="F22" s="21">
        <f>IF(ISNUMBER('Input AIXTRON'!F40),'Input AIXTRON'!F40,0)</f>
        <v/>
      </c>
      <c r="G22" s="21">
        <f>IF(ISNUMBER('Input AIXTRON'!G40),'Input AIXTRON'!G40,0)</f>
        <v/>
      </c>
    </row>
    <row r="23">
      <c r="A23" s="11" t="inlineStr">
        <is>
          <t xml:space="preserve">  Other Unusual Items</t>
        </is>
      </c>
      <c r="B23" s="21">
        <f>IF(ISNUMBER('Input AIXTRON'!B37),'Input AIXTRON'!B37,0)+IF(ISNUMBER('Input AIXTRON'!B41),'Input AIXTRON'!B41,0)</f>
        <v/>
      </c>
      <c r="C23" s="21">
        <f>IF(ISNUMBER('Input AIXTRON'!C37),'Input AIXTRON'!C37,0)+IF(ISNUMBER('Input AIXTRON'!C41),'Input AIXTRON'!C41,0)</f>
        <v/>
      </c>
      <c r="D23" s="21">
        <f>IF(ISNUMBER('Input AIXTRON'!D37),'Input AIXTRON'!D37,0)+IF(ISNUMBER('Input AIXTRON'!D41),'Input AIXTRON'!D41,0)</f>
        <v/>
      </c>
      <c r="E23" s="21">
        <f>IF(ISNUMBER('Input AIXTRON'!E37),'Input AIXTRON'!E37,0)+IF(ISNUMBER('Input AIXTRON'!E41),'Input AIXTRON'!E41,0)</f>
        <v/>
      </c>
      <c r="F23" s="21">
        <f>IF(ISNUMBER('Input AIXTRON'!F37),'Input AIXTRON'!F37,0)+IF(ISNUMBER('Input AIXTRON'!F41),'Input AIXTRON'!F41,0)</f>
        <v/>
      </c>
      <c r="G23" s="21">
        <f>IF(ISNUMBER('Input AIXTRON'!G37),'Input AIXTRON'!G37,0)+IF(ISNUMBER('Input AIXTRON'!G41),'Input AIXTRON'!G41,0)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AIXTRON'!B33),'Input AIXTRON'!B33,0)</f>
        <v/>
      </c>
      <c r="C28" s="21">
        <f>IF(ISNUMBER('Input AIXTRON'!C33),'Input AIXTRON'!C33,0)</f>
        <v/>
      </c>
      <c r="D28" s="21">
        <f>IF(ISNUMBER('Input AIXTRON'!D33),'Input AIXTRON'!D33,0)</f>
        <v/>
      </c>
      <c r="E28" s="21">
        <f>IF(ISNUMBER('Input AIXTRON'!E33),'Input AIXTRON'!E33,0)</f>
        <v/>
      </c>
      <c r="F28" s="21">
        <f>IF(ISNUMBER('Input AIXTRON'!F33),'Input AIXTRON'!F33,0)</f>
        <v/>
      </c>
      <c r="G28" s="21">
        <f>IF(ISNUMBER('Input AIXTRON'!G33),'Input AIXTRON'!G33,0)</f>
        <v/>
      </c>
    </row>
    <row r="29">
      <c r="A29" s="11" t="inlineStr">
        <is>
          <t xml:space="preserve">  Interest Expense</t>
        </is>
      </c>
      <c r="B29" s="21">
        <f>IF(ISNUMBER('Input AIXTRON'!B32),'Input AIXTRON'!B32,0)</f>
        <v/>
      </c>
      <c r="C29" s="21">
        <f>IF(ISNUMBER('Input AIXTRON'!C32),'Input AIXTRON'!C32,0)</f>
        <v/>
      </c>
      <c r="D29" s="21">
        <f>IF(ISNUMBER('Input AIXTRON'!D32),'Input AIXTRON'!D32,0)</f>
        <v/>
      </c>
      <c r="E29" s="21">
        <f>IF(ISNUMBER('Input AIXTRON'!E32),'Input AIXTRON'!E32,0)</f>
        <v/>
      </c>
      <c r="F29" s="21">
        <f>IF(ISNUMBER('Input AIXTRON'!F32),'Input AIXTRON'!F32,0)</f>
        <v/>
      </c>
      <c r="G29" s="21">
        <f>IF(ISNUMBER('Input AIXTRON'!G32),'Input AIXTRON'!G32,0)</f>
        <v/>
      </c>
    </row>
    <row r="30">
      <c r="A30" s="11" t="inlineStr">
        <is>
          <t xml:space="preserve">  FX Gains/(Losses)</t>
        </is>
      </c>
      <c r="B30" s="21">
        <f>IF(ISNUMBER('Input AIXTRON'!B35),'Input AIXTRON'!B35,0)</f>
        <v/>
      </c>
      <c r="C30" s="21">
        <f>IF(ISNUMBER('Input AIXTRON'!C35),'Input AIXTRON'!C35,0)</f>
        <v/>
      </c>
      <c r="D30" s="21">
        <f>IF(ISNUMBER('Input AIXTRON'!D35),'Input AIXTRON'!D35,0)</f>
        <v/>
      </c>
      <c r="E30" s="21">
        <f>IF(ISNUMBER('Input AIXTRON'!E35),'Input AIXTRON'!E35,0)</f>
        <v/>
      </c>
      <c r="F30" s="21">
        <f>IF(ISNUMBER('Input AIXTRON'!F35),'Input AIXTRON'!F35,0)</f>
        <v/>
      </c>
      <c r="G30" s="21">
        <f>IF(ISNUMBER('Input AIXTRON'!G35),'Input AIXTRON'!G35,0)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AIXTRON'!B44),'Input AIXTRON'!B44,0)</f>
        <v/>
      </c>
      <c r="C32" s="21">
        <f>IF(ISNUMBER('Input AIXTRON'!C44),'Input AIXTRON'!C44,0)</f>
        <v/>
      </c>
      <c r="D32" s="21">
        <f>IF(ISNUMBER('Input AIXTRON'!D44),'Input AIXTRON'!D44,0)</f>
        <v/>
      </c>
      <c r="E32" s="21">
        <f>IF(ISNUMBER('Input AIXTRON'!E44),'Input AIXTRON'!E44,0)</f>
        <v/>
      </c>
      <c r="F32" s="21">
        <f>IF(ISNUMBER('Input AIXTRON'!F44),'Input AIXTRON'!F44,0)</f>
        <v/>
      </c>
      <c r="G32" s="21">
        <f>IF(ISNUMBER('Input AIXTRON'!G44),'Input AIXTRON'!G44,0)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AIXTRON'!B57),'Input AIXTRON'!B57,0)</f>
        <v/>
      </c>
      <c r="C38" s="21">
        <f>IF(ISNUMBER('Input AIXTRON'!C57),'Input AIXTRON'!C57,0)</f>
        <v/>
      </c>
      <c r="D38" s="21">
        <f>IF(ISNUMBER('Input AIXTRON'!D57),'Input AIXTRON'!D57,0)</f>
        <v/>
      </c>
      <c r="E38" s="21">
        <f>IF(ISNUMBER('Input AIXTRON'!E57),'Input AIXTRON'!E57,0)</f>
        <v/>
      </c>
      <c r="F38" s="21">
        <f>IF(ISNUMBER('Input AIXTRON'!F57),'Input AIXTRON'!F57,0)</f>
        <v/>
      </c>
      <c r="G38" s="21">
        <f>IF(ISNUMBER('Input AIXTRON'!G57),'Input AIXTRON'!G57,0)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AIXTRON'!B60),'Input AIXTRON'!B60,0)</f>
        <v/>
      </c>
      <c r="C40" s="30">
        <f>IF(ISNUMBER('Input AIXTRON'!C60),'Input AIXTRON'!C60,0)</f>
        <v/>
      </c>
      <c r="D40" s="30">
        <f>IF(ISNUMBER('Input AIXTRON'!D60),'Input AIXTRON'!D60,0)</f>
        <v/>
      </c>
      <c r="E40" s="30">
        <f>IF(ISNUMBER('Input AIXTRON'!E60),'Input AIXTRON'!E60,0)</f>
        <v/>
      </c>
      <c r="F40" s="30">
        <f>IF(ISNUMBER('Input AIXTRON'!F60),'Input AIXTRON'!F60,0)</f>
        <v/>
      </c>
      <c r="G40" s="30">
        <f>IF(ISNUMBER('Input AIXTRON'!G60),'Input AIXTRON'!G60,0)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AIXTRON'!B167),'Input AIXTRON'!B167,0)</f>
        <v/>
      </c>
      <c r="C45" s="21">
        <f>IF(ISNUMBER('Input AIXTRON'!C167),'Input AIXTRON'!C167,0)</f>
        <v/>
      </c>
      <c r="D45" s="21">
        <f>IF(ISNUMBER('Input AIXTRON'!D167),'Input AIXTRON'!D167,0)</f>
        <v/>
      </c>
      <c r="E45" s="21">
        <f>IF(ISNUMBER('Input AIXTRON'!E167),'Input AIXTRON'!E167,0)</f>
        <v/>
      </c>
      <c r="F45" s="21">
        <f>IF(ISNUMBER('Input AIXTRON'!F167),'Input AIXTRON'!F167,0)</f>
        <v/>
      </c>
      <c r="G45" s="21">
        <f>IF(ISNUMBER('Input AIXTRON'!G167),'Input AIXTRON'!G167,0)</f>
        <v/>
      </c>
    </row>
    <row r="46">
      <c r="A46" s="11" t="inlineStr">
        <is>
          <t xml:space="preserve">  + Other Receivables</t>
        </is>
      </c>
      <c r="B46" s="21">
        <f>IF(ISNUMBER('Input AIXTRON'!B168),'Input AIXTRON'!B168,0)</f>
        <v/>
      </c>
      <c r="C46" s="21">
        <f>IF(ISNUMBER('Input AIXTRON'!C168),'Input AIXTRON'!C168,0)</f>
        <v/>
      </c>
      <c r="D46" s="21">
        <f>IF(ISNUMBER('Input AIXTRON'!D168),'Input AIXTRON'!D168,0)</f>
        <v/>
      </c>
      <c r="E46" s="21">
        <f>IF(ISNUMBER('Input AIXTRON'!E168),'Input AIXTRON'!E168,0)</f>
        <v/>
      </c>
      <c r="F46" s="21">
        <f>IF(ISNUMBER('Input AIXTRON'!F168),'Input AIXTRON'!F168,0)</f>
        <v/>
      </c>
      <c r="G46" s="21">
        <f>IF(ISNUMBER('Input AIXTRON'!G168),'Input AIXTRON'!G168,0)</f>
        <v/>
      </c>
    </row>
    <row r="47">
      <c r="A47" s="11" t="inlineStr">
        <is>
          <t xml:space="preserve">  + Inventories</t>
        </is>
      </c>
      <c r="B47" s="21">
        <f>IF(ISNUMBER('Input AIXTRON'!B170),'Input AIXTRON'!B170,0)</f>
        <v/>
      </c>
      <c r="C47" s="21">
        <f>IF(ISNUMBER('Input AIXTRON'!C170),'Input AIXTRON'!C170,0)</f>
        <v/>
      </c>
      <c r="D47" s="21">
        <f>IF(ISNUMBER('Input AIXTRON'!D170),'Input AIXTRON'!D170,0)</f>
        <v/>
      </c>
      <c r="E47" s="21">
        <f>IF(ISNUMBER('Input AIXTRON'!E170),'Input AIXTRON'!E170,0)</f>
        <v/>
      </c>
      <c r="F47" s="21">
        <f>IF(ISNUMBER('Input AIXTRON'!F170),'Input AIXTRON'!F170,0)</f>
        <v/>
      </c>
      <c r="G47" s="21">
        <f>IF(ISNUMBER('Input AIXTRON'!G170),'Input AIXTRON'!G170,0)</f>
        <v/>
      </c>
    </row>
    <row r="48">
      <c r="A48" s="11" t="inlineStr">
        <is>
          <t xml:space="preserve">  + Prepaid &amp; Other CA</t>
        </is>
      </c>
      <c r="B48" s="21">
        <f>IF(ISNUMBER('Input AIXTRON'!B171),'Input AIXTRON'!B171,0)+IF(ISNUMBER('Input AIXTRON'!B172),'Input AIXTRON'!B172,0)</f>
        <v/>
      </c>
      <c r="C48" s="21">
        <f>IF(ISNUMBER('Input AIXTRON'!C171),'Input AIXTRON'!C171,0)+IF(ISNUMBER('Input AIXTRON'!C172),'Input AIXTRON'!C172,0)</f>
        <v/>
      </c>
      <c r="D48" s="21">
        <f>IF(ISNUMBER('Input AIXTRON'!D171),'Input AIXTRON'!D171,0)+IF(ISNUMBER('Input AIXTRON'!D172),'Input AIXTRON'!D172,0)</f>
        <v/>
      </c>
      <c r="E48" s="21">
        <f>IF(ISNUMBER('Input AIXTRON'!E171),'Input AIXTRON'!E171,0)+IF(ISNUMBER('Input AIXTRON'!E172),'Input AIXTRON'!E172,0)</f>
        <v/>
      </c>
      <c r="F48" s="21">
        <f>IF(ISNUMBER('Input AIXTRON'!F171),'Input AIXTRON'!F171,0)+IF(ISNUMBER('Input AIXTRON'!F172),'Input AIXTRON'!F172,0)</f>
        <v/>
      </c>
      <c r="G48" s="21">
        <f>IF(ISNUMBER('Input AIXTRON'!G171),'Input AIXTRON'!G171,0)+IF(ISNUMBER('Input AIXTRON'!G172),'Input AIXTRON'!G172,0)</f>
        <v/>
      </c>
    </row>
    <row r="49">
      <c r="A49" s="11" t="inlineStr">
        <is>
          <t xml:space="preserve">  - Accounts Payable</t>
        </is>
      </c>
      <c r="B49" s="21">
        <f>IF(ISNUMBER('Input AIXTRON'!B184),'Input AIXTRON'!B184,0)</f>
        <v/>
      </c>
      <c r="C49" s="21">
        <f>IF(ISNUMBER('Input AIXTRON'!C184),'Input AIXTRON'!C184,0)</f>
        <v/>
      </c>
      <c r="D49" s="21">
        <f>IF(ISNUMBER('Input AIXTRON'!D184),'Input AIXTRON'!D184,0)</f>
        <v/>
      </c>
      <c r="E49" s="21">
        <f>IF(ISNUMBER('Input AIXTRON'!E184),'Input AIXTRON'!E184,0)</f>
        <v/>
      </c>
      <c r="F49" s="21">
        <f>IF(ISNUMBER('Input AIXTRON'!F184),'Input AIXTRON'!F184,0)</f>
        <v/>
      </c>
      <c r="G49" s="21">
        <f>IF(ISNUMBER('Input AIXTRON'!G184),'Input AIXTRON'!G184,0)</f>
        <v/>
      </c>
    </row>
    <row r="50">
      <c r="A50" s="11" t="inlineStr">
        <is>
          <t xml:space="preserve">  - Accrued Expenses</t>
        </is>
      </c>
      <c r="B50" s="21">
        <f>IF(ISNUMBER('Input AIXTRON'!B185),'Input AIXTRON'!B185,0)</f>
        <v/>
      </c>
      <c r="C50" s="21">
        <f>IF(ISNUMBER('Input AIXTRON'!C185),'Input AIXTRON'!C185,0)</f>
        <v/>
      </c>
      <c r="D50" s="21">
        <f>IF(ISNUMBER('Input AIXTRON'!D185),'Input AIXTRON'!D185,0)</f>
        <v/>
      </c>
      <c r="E50" s="21">
        <f>IF(ISNUMBER('Input AIXTRON'!E185),'Input AIXTRON'!E185,0)</f>
        <v/>
      </c>
      <c r="F50" s="21">
        <f>IF(ISNUMBER('Input AIXTRON'!F185),'Input AIXTRON'!F185,0)</f>
        <v/>
      </c>
      <c r="G50" s="21">
        <f>IF(ISNUMBER('Input AIXTRON'!G185),'Input AIXTRON'!G185,0)</f>
        <v/>
      </c>
    </row>
    <row r="51">
      <c r="A51" s="11" t="inlineStr">
        <is>
          <t xml:space="preserve">  - Unearned Revenue / Contract Liabilities</t>
        </is>
      </c>
      <c r="B51" s="21">
        <f>IF(ISNUMBER('Input AIXTRON'!B188),'Input AIXTRON'!B188,0)</f>
        <v/>
      </c>
      <c r="C51" s="21">
        <f>IF(ISNUMBER('Input AIXTRON'!C188),'Input AIXTRON'!C188,0)</f>
        <v/>
      </c>
      <c r="D51" s="21">
        <f>IF(ISNUMBER('Input AIXTRON'!D188),'Input AIXTRON'!D188,0)</f>
        <v/>
      </c>
      <c r="E51" s="21">
        <f>IF(ISNUMBER('Input AIXTRON'!E188),'Input AIXTRON'!E188,0)</f>
        <v/>
      </c>
      <c r="F51" s="21">
        <f>IF(ISNUMBER('Input AIXTRON'!F188),'Input AIXTRON'!F188,0)</f>
        <v/>
      </c>
      <c r="G51" s="21">
        <f>IF(ISNUMBER('Input AIXTRON'!G188),'Input AIXTRON'!G188,0)</f>
        <v/>
      </c>
    </row>
    <row r="52">
      <c r="A52" s="11" t="inlineStr">
        <is>
          <t xml:space="preserve">  - Income Taxes Payable</t>
        </is>
      </c>
      <c r="B52" s="21">
        <f>IF(ISNUMBER('Input AIXTRON'!B187),'Input AIXTRON'!B187,0)</f>
        <v/>
      </c>
      <c r="C52" s="21">
        <f>IF(ISNUMBER('Input AIXTRON'!C187),'Input AIXTRON'!C187,0)</f>
        <v/>
      </c>
      <c r="D52" s="21">
        <f>IF(ISNUMBER('Input AIXTRON'!D187),'Input AIXTRON'!D187,0)</f>
        <v/>
      </c>
      <c r="E52" s="21">
        <f>IF(ISNUMBER('Input AIXTRON'!E187),'Input AIXTRON'!E187,0)</f>
        <v/>
      </c>
      <c r="F52" s="21">
        <f>IF(ISNUMBER('Input AIXTRON'!F187),'Input AIXTRON'!F187,0)</f>
        <v/>
      </c>
      <c r="G52" s="21">
        <f>IF(ISNUMBER('Input AIXTRON'!G187),'Input AIXTRON'!G187,0)</f>
        <v/>
      </c>
    </row>
    <row r="53">
      <c r="A53" s="11" t="inlineStr">
        <is>
          <t xml:space="preserve">  - Other Current Liabilities</t>
        </is>
      </c>
      <c r="B53" s="21">
        <f>IF(ISNUMBER('Input AIXTRON'!B189),'Input AIXTRON'!B189,0)</f>
        <v/>
      </c>
      <c r="C53" s="21">
        <f>IF(ISNUMBER('Input AIXTRON'!C189),'Input AIXTRON'!C189,0)</f>
        <v/>
      </c>
      <c r="D53" s="21">
        <f>IF(ISNUMBER('Input AIXTRON'!D189),'Input AIXTRON'!D189,0)</f>
        <v/>
      </c>
      <c r="E53" s="21">
        <f>IF(ISNUMBER('Input AIXTRON'!E189),'Input AIXTRON'!E189,0)</f>
        <v/>
      </c>
      <c r="F53" s="21">
        <f>IF(ISNUMBER('Input AIXTRON'!F189),'Input AIXTRON'!F189,0)</f>
        <v/>
      </c>
      <c r="G53" s="21">
        <f>IF(ISNUMBER('Input AIXTRON'!G189),'Input AIXTRON'!G189,0)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AIXTRON'!B176),'Input AIXTRON'!B176,0)</f>
        <v/>
      </c>
      <c r="C57" s="21">
        <f>IF(ISNUMBER('Input AIXTRON'!C176),'Input AIXTRON'!C176,0)</f>
        <v/>
      </c>
      <c r="D57" s="21">
        <f>IF(ISNUMBER('Input AIXTRON'!D176),'Input AIXTRON'!D176,0)</f>
        <v/>
      </c>
      <c r="E57" s="21">
        <f>IF(ISNUMBER('Input AIXTRON'!E176),'Input AIXTRON'!E176,0)</f>
        <v/>
      </c>
      <c r="F57" s="21">
        <f>IF(ISNUMBER('Input AIXTRON'!F176),'Input AIXTRON'!F176,0)</f>
        <v/>
      </c>
      <c r="G57" s="21">
        <f>IF(ISNUMBER('Input AIXTRON'!G176),'Input AIXTRON'!G176,0)</f>
        <v/>
      </c>
    </row>
    <row r="58">
      <c r="A58" s="11" t="inlineStr">
        <is>
          <t xml:space="preserve">  + Goodwill</t>
        </is>
      </c>
      <c r="B58" s="21">
        <f>IF(ISNUMBER('Input AIXTRON'!B178),'Input AIXTRON'!B178,0)</f>
        <v/>
      </c>
      <c r="C58" s="21">
        <f>IF(ISNUMBER('Input AIXTRON'!C178),'Input AIXTRON'!C178,0)</f>
        <v/>
      </c>
      <c r="D58" s="21">
        <f>IF(ISNUMBER('Input AIXTRON'!D178),'Input AIXTRON'!D178,0)</f>
        <v/>
      </c>
      <c r="E58" s="21">
        <f>IF(ISNUMBER('Input AIXTRON'!E178),'Input AIXTRON'!E178,0)</f>
        <v/>
      </c>
      <c r="F58" s="21">
        <f>IF(ISNUMBER('Input AIXTRON'!F178),'Input AIXTRON'!F178,0)</f>
        <v/>
      </c>
      <c r="G58" s="21">
        <f>IF(ISNUMBER('Input AIXTRON'!G178),'Input AIXTRON'!G178,0)</f>
        <v/>
      </c>
    </row>
    <row r="59">
      <c r="A59" s="11" t="inlineStr">
        <is>
          <t xml:space="preserve">  + Other Intangible Assets</t>
        </is>
      </c>
      <c r="B59" s="21">
        <f>IF(ISNUMBER('Input AIXTRON'!B179),'Input AIXTRON'!B179,0)</f>
        <v/>
      </c>
      <c r="C59" s="21">
        <f>IF(ISNUMBER('Input AIXTRON'!C179),'Input AIXTRON'!C179,0)</f>
        <v/>
      </c>
      <c r="D59" s="21">
        <f>IF(ISNUMBER('Input AIXTRON'!D179),'Input AIXTRON'!D179,0)</f>
        <v/>
      </c>
      <c r="E59" s="21">
        <f>IF(ISNUMBER('Input AIXTRON'!E179),'Input AIXTRON'!E179,0)</f>
        <v/>
      </c>
      <c r="F59" s="21">
        <f>IF(ISNUMBER('Input AIXTRON'!F179),'Input AIXTRON'!F179,0)</f>
        <v/>
      </c>
      <c r="G59" s="21">
        <f>IF(ISNUMBER('Input AIXTRON'!G179),'Input AIXTRON'!G179,0)</f>
        <v/>
      </c>
    </row>
    <row r="60">
      <c r="A60" s="11" t="inlineStr">
        <is>
          <t xml:space="preserve">  + Deferred Tax Assets</t>
        </is>
      </c>
      <c r="B60" s="21">
        <f>IF(ISNUMBER('Input AIXTRON'!B180),'Input AIXTRON'!B180,0)</f>
        <v/>
      </c>
      <c r="C60" s="21">
        <f>IF(ISNUMBER('Input AIXTRON'!C180),'Input AIXTRON'!C180,0)</f>
        <v/>
      </c>
      <c r="D60" s="21">
        <f>IF(ISNUMBER('Input AIXTRON'!D180),'Input AIXTRON'!D180,0)</f>
        <v/>
      </c>
      <c r="E60" s="21">
        <f>IF(ISNUMBER('Input AIXTRON'!E180),'Input AIXTRON'!E180,0)</f>
        <v/>
      </c>
      <c r="F60" s="21">
        <f>IF(ISNUMBER('Input AIXTRON'!F180),'Input AIXTRON'!F180,0)</f>
        <v/>
      </c>
      <c r="G60" s="21">
        <f>IF(ISNUMBER('Input AIXTRON'!G180),'Input AIXTRON'!G180,0)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AIXTRON'!B181),'Input AIXTRON'!B181,0)</f>
        <v/>
      </c>
      <c r="C62" s="21">
        <f>IF(ISNUMBER('Input AIXTRON'!C181),'Input AIXTRON'!C181,0)</f>
        <v/>
      </c>
      <c r="D62" s="21">
        <f>IF(ISNUMBER('Input AIXTRON'!D181),'Input AIXTRON'!D181,0)</f>
        <v/>
      </c>
      <c r="E62" s="21">
        <f>IF(ISNUMBER('Input AIXTRON'!E181),'Input AIXTRON'!E181,0)</f>
        <v/>
      </c>
      <c r="F62" s="21">
        <f>IF(ISNUMBER('Input AIXTRON'!F181),'Input AIXTRON'!F181,0)</f>
        <v/>
      </c>
      <c r="G62" s="21">
        <f>IF(ISNUMBER('Input AIXTRON'!G181),'Input AIXTRON'!G181,0)</f>
        <v/>
      </c>
    </row>
    <row r="63">
      <c r="A63" s="11" t="inlineStr">
        <is>
          <t xml:space="preserve">  - Deferred Tax Liabilities</t>
        </is>
      </c>
      <c r="B63" s="21">
        <f>IF(ISNUMBER('Input AIXTRON'!B192),'Input AIXTRON'!B192,0)</f>
        <v/>
      </c>
      <c r="C63" s="21">
        <f>IF(ISNUMBER('Input AIXTRON'!C192),'Input AIXTRON'!C192,0)</f>
        <v/>
      </c>
      <c r="D63" s="21">
        <f>IF(ISNUMBER('Input AIXTRON'!D192),'Input AIXTRON'!D192,0)</f>
        <v/>
      </c>
      <c r="E63" s="21">
        <f>IF(ISNUMBER('Input AIXTRON'!E192),'Input AIXTRON'!E192,0)</f>
        <v/>
      </c>
      <c r="F63" s="21">
        <f>IF(ISNUMBER('Input AIXTRON'!F192),'Input AIXTRON'!F192,0)</f>
        <v/>
      </c>
      <c r="G63" s="21">
        <f>IF(ISNUMBER('Input AIXTRON'!G192),'Input AIXTRON'!G192,0)</f>
        <v/>
      </c>
    </row>
    <row r="64">
      <c r="A64" s="11" t="inlineStr">
        <is>
          <t xml:space="preserve">  - Other Non-Current Liabilities</t>
        </is>
      </c>
      <c r="B64" s="21">
        <f>IF(ISNUMBER('Input AIXTRON'!B193),'Input AIXTRON'!B193,0)</f>
        <v/>
      </c>
      <c r="C64" s="21">
        <f>IF(ISNUMBER('Input AIXTRON'!C193),'Input AIXTRON'!C193,0)</f>
        <v/>
      </c>
      <c r="D64" s="21">
        <f>IF(ISNUMBER('Input AIXTRON'!D193),'Input AIXTRON'!D193,0)</f>
        <v/>
      </c>
      <c r="E64" s="21">
        <f>IF(ISNUMBER('Input AIXTRON'!E193),'Input AIXTRON'!E193,0)</f>
        <v/>
      </c>
      <c r="F64" s="21">
        <f>IF(ISNUMBER('Input AIXTRON'!F193),'Input AIXTRON'!F193,0)</f>
        <v/>
      </c>
      <c r="G64" s="21">
        <f>IF(ISNUMBER('Input AIXTRON'!G193),'Input AIXTRON'!G193,0)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AIXTRON'!B177),'Input AIXTRON'!B177,0)</f>
        <v/>
      </c>
      <c r="C70" s="21">
        <f>IF(ISNUMBER('Input AIXTRON'!C177),'Input AIXTRON'!C177,0)</f>
        <v/>
      </c>
      <c r="D70" s="21">
        <f>IF(ISNUMBER('Input AIXTRON'!D177),'Input AIXTRON'!D177,0)</f>
        <v/>
      </c>
      <c r="E70" s="21">
        <f>IF(ISNUMBER('Input AIXTRON'!E177),'Input AIXTRON'!E177,0)</f>
        <v/>
      </c>
      <c r="F70" s="21">
        <f>IF(ISNUMBER('Input AIXTRON'!F177),'Input AIXTRON'!F177,0)</f>
        <v/>
      </c>
      <c r="G70" s="21">
        <f>IF(ISNUMBER('Input AIXTRON'!G177),'Input AIXTRON'!G177,0)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AIXTRON'!B186),'Input AIXTRON'!B186,0)</f>
        <v/>
      </c>
      <c r="C76" s="21">
        <f>IF(ISNUMBER('Input AIXTRON'!C186),'Input AIXTRON'!C186,0)</f>
        <v/>
      </c>
      <c r="D76" s="21">
        <f>IF(ISNUMBER('Input AIXTRON'!D186),'Input AIXTRON'!D186,0)</f>
        <v/>
      </c>
      <c r="E76" s="21">
        <f>IF(ISNUMBER('Input AIXTRON'!E186),'Input AIXTRON'!E186,0)</f>
        <v/>
      </c>
      <c r="F76" s="21">
        <f>IF(ISNUMBER('Input AIXTRON'!F186),'Input AIXTRON'!F186,0)</f>
        <v/>
      </c>
      <c r="G76" s="21">
        <f>IF(ISNUMBER('Input AIXTRON'!G186),'Input AIXTRON'!G186,0)</f>
        <v/>
      </c>
    </row>
    <row r="77">
      <c r="A77" s="11" t="inlineStr">
        <is>
          <t xml:space="preserve">  + Lease Liabilities (non-current)</t>
        </is>
      </c>
      <c r="B77" s="21">
        <f>IF(ISNUMBER('Input AIXTRON'!B191),'Input AIXTRON'!B191,0)</f>
        <v/>
      </c>
      <c r="C77" s="21">
        <f>IF(ISNUMBER('Input AIXTRON'!C191),'Input AIXTRON'!C191,0)</f>
        <v/>
      </c>
      <c r="D77" s="21">
        <f>IF(ISNUMBER('Input AIXTRON'!D191),'Input AIXTRON'!D191,0)</f>
        <v/>
      </c>
      <c r="E77" s="21">
        <f>IF(ISNUMBER('Input AIXTRON'!E191),'Input AIXTRON'!E191,0)</f>
        <v/>
      </c>
      <c r="F77" s="21">
        <f>IF(ISNUMBER('Input AIXTRON'!F191),'Input AIXTRON'!F191,0)</f>
        <v/>
      </c>
      <c r="G77" s="21">
        <f>IF(ISNUMBER('Input AIXTRON'!G191),'Input AIXTRON'!G191,0)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AIXTRON'!B166),'Input AIXTRON'!B166,0)</f>
        <v/>
      </c>
      <c r="C79" s="21">
        <f>IF(ISNUMBER('Input AIXTRON'!C166),'Input AIXTRON'!C166,0)</f>
        <v/>
      </c>
      <c r="D79" s="21">
        <f>IF(ISNUMBER('Input AIXTRON'!D166),'Input AIXTRON'!D166,0)</f>
        <v/>
      </c>
      <c r="E79" s="21">
        <f>IF(ISNUMBER('Input AIXTRON'!E166),'Input AIXTRON'!E166,0)</f>
        <v/>
      </c>
      <c r="F79" s="21">
        <f>IF(ISNUMBER('Input AIXTRON'!F166),'Input AIXTRON'!F166,0)</f>
        <v/>
      </c>
      <c r="G79" s="21">
        <f>IF(ISNUMBER('Input AIXTRON'!G166),'Input AIXTRON'!G166,0)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AIXTRON'!B202),'Input AIXTRON'!B202,0)</f>
        <v/>
      </c>
      <c r="C81" s="21">
        <f>IF(ISNUMBER('Input AIXTRON'!C202),'Input AIXTRON'!C202,0)</f>
        <v/>
      </c>
      <c r="D81" s="21">
        <f>IF(ISNUMBER('Input AIXTRON'!D202),'Input AIXTRON'!D202,0)</f>
        <v/>
      </c>
      <c r="E81" s="21">
        <f>IF(ISNUMBER('Input AIXTRON'!E202),'Input AIXTRON'!E202,0)</f>
        <v/>
      </c>
      <c r="F81" s="21">
        <f>IF(ISNUMBER('Input AIXTRON'!F202),'Input AIXTRON'!F202,0)</f>
        <v/>
      </c>
      <c r="G81" s="21">
        <f>IF(ISNUMBER('Input AIXTRON'!G202),'Input AIXTRON'!G202,0)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AIXTRON'!B111),'Input AIXTRON'!B111,0)</f>
        <v/>
      </c>
      <c r="C88" s="21">
        <f>IF(ISNUMBER('Input AIXTRON'!C111),'Input AIXTRON'!C111,0)</f>
        <v/>
      </c>
      <c r="D88" s="21">
        <f>IF(ISNUMBER('Input AIXTRON'!D111),'Input AIXTRON'!D111,0)</f>
        <v/>
      </c>
      <c r="E88" s="21">
        <f>IF(ISNUMBER('Input AIXTRON'!E111),'Input AIXTRON'!E111,0)</f>
        <v/>
      </c>
      <c r="F88" s="21">
        <f>IF(ISNUMBER('Input AIXTRON'!F111),'Input AIXTRON'!F111,0)</f>
        <v/>
      </c>
      <c r="G88" s="21">
        <f>IF(ISNUMBER('Input AIXTRON'!G111),'Input AIXTRON'!G111,0)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AIXTRON'!B125),'Input AIXTRON'!B125,0))</f>
        <v/>
      </c>
      <c r="C90" s="21">
        <f>ABS(IF(ISNUMBER('Input AIXTRON'!C125),'Input AIXTRON'!C125,0))</f>
        <v/>
      </c>
      <c r="D90" s="21">
        <f>ABS(IF(ISNUMBER('Input AIXTRON'!D125),'Input AIXTRON'!D125,0))</f>
        <v/>
      </c>
      <c r="E90" s="21">
        <f>ABS(IF(ISNUMBER('Input AIXTRON'!E125),'Input AIXTRON'!E125,0))</f>
        <v/>
      </c>
      <c r="F90" s="21">
        <f>ABS(IF(ISNUMBER('Input AIXTRON'!F125),'Input AIXTRON'!F125,0))</f>
        <v/>
      </c>
      <c r="G90" s="21">
        <f>ABS(IF(ISNUMBER('Input AIXTRON'!G125),'Input AIXTRON'!G125,0))</f>
        <v/>
      </c>
    </row>
    <row r="91">
      <c r="A91" s="11" t="inlineStr">
        <is>
          <t>- Purchase of Intangibles</t>
        </is>
      </c>
      <c r="B91" s="21">
        <f>ABS(IF(ISNUMBER('Input AIXTRON'!B127),'Input AIXTRON'!B127,0))</f>
        <v/>
      </c>
      <c r="C91" s="21">
        <f>ABS(IF(ISNUMBER('Input AIXTRON'!C127),'Input AIXTRON'!C127,0))</f>
        <v/>
      </c>
      <c r="D91" s="21">
        <f>ABS(IF(ISNUMBER('Input AIXTRON'!D127),'Input AIXTRON'!D127,0))</f>
        <v/>
      </c>
      <c r="E91" s="21">
        <f>ABS(IF(ISNUMBER('Input AIXTRON'!E127),'Input AIXTRON'!E127,0))</f>
        <v/>
      </c>
      <c r="F91" s="21">
        <f>ABS(IF(ISNUMBER('Input AIXTRON'!F127),'Input AIXTRON'!F127,0))</f>
        <v/>
      </c>
      <c r="G91" s="21">
        <f>ABS(IF(ISNUMBER('Input AIXTRON'!G127),'Input AIXTRON'!G127,0))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AMAT'!B66),'Input AMAT'!B66,0)</f>
        <v/>
      </c>
      <c r="C6" s="18">
        <f>IF(ISNUMBER('Input AMAT'!C66),'Input AMAT'!C66,0)</f>
        <v/>
      </c>
      <c r="D6" s="18">
        <f>IF(ISNUMBER('Input AMAT'!D66),'Input AMAT'!D66,0)</f>
        <v/>
      </c>
      <c r="E6" s="18">
        <f>IF(ISNUMBER('Input AMAT'!E66),'Input AMAT'!E66,0)</f>
        <v/>
      </c>
      <c r="F6" s="18">
        <f>IF(ISNUMBER('Input AMAT'!F66),'Input AMAT'!F66,0)</f>
        <v/>
      </c>
      <c r="G6" s="18">
        <f>IF(ISNUMBER('Input AMAT'!G66),'Input AMAT'!G66,0)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AMAT'!B21),'Input AMAT'!B21,0)</f>
        <v/>
      </c>
      <c r="C9" s="21">
        <f>IF(ISNUMBER('Input AMAT'!C21),'Input AMAT'!C21,0)</f>
        <v/>
      </c>
      <c r="D9" s="21">
        <f>IF(ISNUMBER('Input AMAT'!D21),'Input AMAT'!D21,0)</f>
        <v/>
      </c>
      <c r="E9" s="21">
        <f>IF(ISNUMBER('Input AMAT'!E21),'Input AMAT'!E21,0)</f>
        <v/>
      </c>
      <c r="F9" s="21">
        <f>IF(ISNUMBER('Input AMAT'!F21),'Input AMAT'!F21,0)</f>
        <v/>
      </c>
      <c r="G9" s="21">
        <f>IF(ISNUMBER('Input AMAT'!G21),'Input AMAT'!G21,0)</f>
        <v/>
      </c>
    </row>
    <row r="10">
      <c r="A10" s="11" t="inlineStr">
        <is>
          <t>Cost of Sales</t>
        </is>
      </c>
      <c r="B10" s="21">
        <f>IF(ISNUMBER('Input AMAT'!B23),'Input AMAT'!B23,0)</f>
        <v/>
      </c>
      <c r="C10" s="21">
        <f>IF(ISNUMBER('Input AMAT'!C23),'Input AMAT'!C23,0)</f>
        <v/>
      </c>
      <c r="D10" s="21">
        <f>IF(ISNUMBER('Input AMAT'!D23),'Input AMAT'!D23,0)</f>
        <v/>
      </c>
      <c r="E10" s="21">
        <f>IF(ISNUMBER('Input AMAT'!E23),'Input AMAT'!E23,0)</f>
        <v/>
      </c>
      <c r="F10" s="21">
        <f>IF(ISNUMBER('Input AMAT'!F23),'Input AMAT'!F23,0)</f>
        <v/>
      </c>
      <c r="G10" s="21">
        <f>IF(ISNUMBER('Input AMAT'!G23),'Input AMAT'!G23,0)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AMAT'!B26),'Input AMAT'!B26,0)</f>
        <v/>
      </c>
      <c r="C12" s="21">
        <f>IF(ISNUMBER('Input AMAT'!C26),'Input AMAT'!C26,0)</f>
        <v/>
      </c>
      <c r="D12" s="21">
        <f>IF(ISNUMBER('Input AMAT'!D26),'Input AMAT'!D26,0)</f>
        <v/>
      </c>
      <c r="E12" s="21">
        <f>IF(ISNUMBER('Input AMAT'!E26),'Input AMAT'!E26,0)</f>
        <v/>
      </c>
      <c r="F12" s="21">
        <f>IF(ISNUMBER('Input AMAT'!F26),'Input AMAT'!F26,0)</f>
        <v/>
      </c>
      <c r="G12" s="21">
        <f>IF(ISNUMBER('Input AMAT'!G26),'Input AMAT'!G26,0)</f>
        <v/>
      </c>
    </row>
    <row r="13">
      <c r="A13" s="11" t="inlineStr">
        <is>
          <t xml:space="preserve">  R&amp;D</t>
        </is>
      </c>
      <c r="B13" s="21">
        <f>IF(ISNUMBER('Input AMAT'!B27),'Input AMAT'!B27,0)</f>
        <v/>
      </c>
      <c r="C13" s="21">
        <f>IF(ISNUMBER('Input AMAT'!C27),'Input AMAT'!C27,0)</f>
        <v/>
      </c>
      <c r="D13" s="21">
        <f>IF(ISNUMBER('Input AMAT'!D27),'Input AMAT'!D27,0)</f>
        <v/>
      </c>
      <c r="E13" s="21">
        <f>IF(ISNUMBER('Input AMAT'!E27),'Input AMAT'!E27,0)</f>
        <v/>
      </c>
      <c r="F13" s="21">
        <f>IF(ISNUMBER('Input AMAT'!F27),'Input AMAT'!F27,0)</f>
        <v/>
      </c>
      <c r="G13" s="21">
        <f>IF(ISNUMBER('Input AMAT'!G27),'Input AMAT'!G27,0)</f>
        <v/>
      </c>
    </row>
    <row r="14">
      <c r="A14" s="11" t="inlineStr">
        <is>
          <t xml:space="preserve">  Depreciation &amp; Amortization</t>
        </is>
      </c>
      <c r="B14" s="21">
        <f>IF(ISNUMBER('Input AMAT'!B108),'Input AMAT'!B108,0)</f>
        <v/>
      </c>
      <c r="C14" s="21">
        <f>IF(ISNUMBER('Input AMAT'!C108),'Input AMAT'!C108,0)</f>
        <v/>
      </c>
      <c r="D14" s="21">
        <f>IF(ISNUMBER('Input AMAT'!D108),'Input AMAT'!D108,0)</f>
        <v/>
      </c>
      <c r="E14" s="21">
        <f>IF(ISNUMBER('Input AMAT'!E108),'Input AMAT'!E108,0)</f>
        <v/>
      </c>
      <c r="F14" s="21">
        <f>IF(ISNUMBER('Input AMAT'!F108),'Input AMAT'!F108,0)</f>
        <v/>
      </c>
      <c r="G14" s="21">
        <f>IF(ISNUMBER('Input AMAT'!G108),'Input AMAT'!G108,0)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AMAT'!B39),'Input AMAT'!B39,0)</f>
        <v/>
      </c>
      <c r="C20" s="21">
        <f>IF(ISNUMBER('Input AMAT'!C39),'Input AMAT'!C39,0)</f>
        <v/>
      </c>
      <c r="D20" s="21">
        <f>IF(ISNUMBER('Input AMAT'!D39),'Input AMAT'!D39,0)</f>
        <v/>
      </c>
      <c r="E20" s="21">
        <f>IF(ISNUMBER('Input AMAT'!E39),'Input AMAT'!E39,0)</f>
        <v/>
      </c>
      <c r="F20" s="21">
        <f>IF(ISNUMBER('Input AMAT'!F39),'Input AMAT'!F39,0)</f>
        <v/>
      </c>
      <c r="G20" s="21">
        <f>IF(ISNUMBER('Input AMAT'!G39),'Input AMAT'!G39,0)</f>
        <v/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AMAT'!B40),'Input AMAT'!B40,0)+IF(ISNUMBER('Input AMAT'!B37),'Input AMAT'!B37,0)+IF(ISNUMBER('Input AMAT'!B38),'Input AMAT'!B38,0)</f>
        <v/>
      </c>
      <c r="C23" s="21">
        <f>IF(ISNUMBER('Input AMAT'!C40),'Input AMAT'!C40,0)+IF(ISNUMBER('Input AMAT'!C37),'Input AMAT'!C37,0)+IF(ISNUMBER('Input AMAT'!C38),'Input AMAT'!C38,0)</f>
        <v/>
      </c>
      <c r="D23" s="21">
        <f>IF(ISNUMBER('Input AMAT'!D40),'Input AMAT'!D40,0)+IF(ISNUMBER('Input AMAT'!D37),'Input AMAT'!D37,0)+IF(ISNUMBER('Input AMAT'!D38),'Input AMAT'!D38,0)</f>
        <v/>
      </c>
      <c r="E23" s="21">
        <f>IF(ISNUMBER('Input AMAT'!E40),'Input AMAT'!E40,0)+IF(ISNUMBER('Input AMAT'!E37),'Input AMAT'!E37,0)+IF(ISNUMBER('Input AMAT'!E38),'Input AMAT'!E38,0)</f>
        <v/>
      </c>
      <c r="F23" s="21">
        <f>IF(ISNUMBER('Input AMAT'!F40),'Input AMAT'!F40,0)+IF(ISNUMBER('Input AMAT'!F37),'Input AMAT'!F37,0)+IF(ISNUMBER('Input AMAT'!F38),'Input AMAT'!F38,0)</f>
        <v/>
      </c>
      <c r="G23" s="21">
        <f>IF(ISNUMBER('Input AMAT'!G40),'Input AMAT'!G40,0)+IF(ISNUMBER('Input AMAT'!G37),'Input AMAT'!G37,0)+IF(ISNUMBER('Input AMAT'!G38),'Input AMAT'!G38,0)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AMAT'!B32),'Input AMAT'!B32,0)</f>
        <v/>
      </c>
      <c r="C28" s="21">
        <f>IF(ISNUMBER('Input AMAT'!C32),'Input AMAT'!C32,0)</f>
        <v/>
      </c>
      <c r="D28" s="21">
        <f>IF(ISNUMBER('Input AMAT'!D32),'Input AMAT'!D32,0)</f>
        <v/>
      </c>
      <c r="E28" s="21">
        <f>IF(ISNUMBER('Input AMAT'!E32),'Input AMAT'!E32,0)</f>
        <v/>
      </c>
      <c r="F28" s="21">
        <f>IF(ISNUMBER('Input AMAT'!F32),'Input AMAT'!F32,0)</f>
        <v/>
      </c>
      <c r="G28" s="21">
        <f>IF(ISNUMBER('Input AMAT'!G32),'Input AMAT'!G32,0)</f>
        <v/>
      </c>
    </row>
    <row r="29">
      <c r="A29" s="11" t="inlineStr">
        <is>
          <t xml:space="preserve">  Interest Expense</t>
        </is>
      </c>
      <c r="B29" s="21">
        <f>IF(ISNUMBER('Input AMAT'!B31),'Input AMAT'!B31,0)</f>
        <v/>
      </c>
      <c r="C29" s="21">
        <f>IF(ISNUMBER('Input AMAT'!C31),'Input AMAT'!C31,0)</f>
        <v/>
      </c>
      <c r="D29" s="21">
        <f>IF(ISNUMBER('Input AMAT'!D31),'Input AMAT'!D31,0)</f>
        <v/>
      </c>
      <c r="E29" s="21">
        <f>IF(ISNUMBER('Input AMAT'!E31),'Input AMAT'!E31,0)</f>
        <v/>
      </c>
      <c r="F29" s="21">
        <f>IF(ISNUMBER('Input AMAT'!F31),'Input AMAT'!F31,0)</f>
        <v/>
      </c>
      <c r="G29" s="21">
        <f>IF(ISNUMBER('Input AMAT'!G31),'Input AMAT'!G31,0)</f>
        <v/>
      </c>
    </row>
    <row r="30">
      <c r="A30" s="11" t="inlineStr">
        <is>
          <t xml:space="preserve">  FX Gains/(Losses)</t>
        </is>
      </c>
      <c r="B30" s="21">
        <f>IF(ISNUMBER('Input AMAT'!B34),'Input AMAT'!B34,0)</f>
        <v/>
      </c>
      <c r="C30" s="21">
        <f>IF(ISNUMBER('Input AMAT'!C34),'Input AMAT'!C34,0)</f>
        <v/>
      </c>
      <c r="D30" s="21">
        <f>IF(ISNUMBER('Input AMAT'!D34),'Input AMAT'!D34,0)</f>
        <v/>
      </c>
      <c r="E30" s="21">
        <f>IF(ISNUMBER('Input AMAT'!E34),'Input AMAT'!E34,0)</f>
        <v/>
      </c>
      <c r="F30" s="21">
        <f>IF(ISNUMBER('Input AMAT'!F34),'Input AMAT'!F34,0)</f>
        <v/>
      </c>
      <c r="G30" s="21">
        <f>IF(ISNUMBER('Input AMAT'!G34),'Input AMAT'!G34,0)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AMAT'!B43),'Input AMAT'!B43,0)</f>
        <v/>
      </c>
      <c r="C32" s="21">
        <f>IF(ISNUMBER('Input AMAT'!C43),'Input AMAT'!C43,0)</f>
        <v/>
      </c>
      <c r="D32" s="21">
        <f>IF(ISNUMBER('Input AMAT'!D43),'Input AMAT'!D43,0)</f>
        <v/>
      </c>
      <c r="E32" s="21">
        <f>IF(ISNUMBER('Input AMAT'!E43),'Input AMAT'!E43,0)</f>
        <v/>
      </c>
      <c r="F32" s="21">
        <f>IF(ISNUMBER('Input AMAT'!F43),'Input AMAT'!F43,0)</f>
        <v/>
      </c>
      <c r="G32" s="21">
        <f>IF(ISNUMBER('Input AMAT'!G43),'Input AMAT'!G43,0)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AMAT'!B55),'Input AMAT'!B55,0)</f>
        <v/>
      </c>
      <c r="C38" s="21">
        <f>IF(ISNUMBER('Input AMAT'!C55),'Input AMAT'!C55,0)</f>
        <v/>
      </c>
      <c r="D38" s="21">
        <f>IF(ISNUMBER('Input AMAT'!D55),'Input AMAT'!D55,0)</f>
        <v/>
      </c>
      <c r="E38" s="21">
        <f>IF(ISNUMBER('Input AMAT'!E55),'Input AMAT'!E55,0)</f>
        <v/>
      </c>
      <c r="F38" s="21">
        <f>IF(ISNUMBER('Input AMAT'!F55),'Input AMAT'!F55,0)</f>
        <v/>
      </c>
      <c r="G38" s="21">
        <f>IF(ISNUMBER('Input AMAT'!G55),'Input AMAT'!G55,0)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AMAT'!B58),'Input AMAT'!B58,0)</f>
        <v/>
      </c>
      <c r="C40" s="30">
        <f>IF(ISNUMBER('Input AMAT'!C58),'Input AMAT'!C58,0)</f>
        <v/>
      </c>
      <c r="D40" s="30">
        <f>IF(ISNUMBER('Input AMAT'!D58),'Input AMAT'!D58,0)</f>
        <v/>
      </c>
      <c r="E40" s="30">
        <f>IF(ISNUMBER('Input AMAT'!E58),'Input AMAT'!E58,0)</f>
        <v/>
      </c>
      <c r="F40" s="30">
        <f>IF(ISNUMBER('Input AMAT'!F58),'Input AMAT'!F58,0)</f>
        <v/>
      </c>
      <c r="G40" s="30">
        <f>IF(ISNUMBER('Input AMAT'!G58),'Input AMAT'!G58,0)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AMAT'!B161),'Input AMAT'!B161,0)</f>
        <v/>
      </c>
      <c r="C45" s="21">
        <f>IF(ISNUMBER('Input AMAT'!C161),'Input AMAT'!C161,0)</f>
        <v/>
      </c>
      <c r="D45" s="21">
        <f>IF(ISNUMBER('Input AMAT'!D161),'Input AMAT'!D161,0)</f>
        <v/>
      </c>
      <c r="E45" s="21">
        <f>IF(ISNUMBER('Input AMAT'!E161),'Input AMAT'!E161,0)</f>
        <v/>
      </c>
      <c r="F45" s="21">
        <f>IF(ISNUMBER('Input AMAT'!F161),'Input AMAT'!F161,0)</f>
        <v/>
      </c>
      <c r="G45" s="21">
        <f>IF(ISNUMBER('Input AMAT'!G161),'Input AMAT'!G161,0)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AMAT'!B163),'Input AMAT'!B163,0)</f>
        <v/>
      </c>
      <c r="C47" s="21">
        <f>IF(ISNUMBER('Input AMAT'!C163),'Input AMAT'!C163,0)</f>
        <v/>
      </c>
      <c r="D47" s="21">
        <f>IF(ISNUMBER('Input AMAT'!D163),'Input AMAT'!D163,0)</f>
        <v/>
      </c>
      <c r="E47" s="21">
        <f>IF(ISNUMBER('Input AMAT'!E163),'Input AMAT'!E163,0)</f>
        <v/>
      </c>
      <c r="F47" s="21">
        <f>IF(ISNUMBER('Input AMAT'!F163),'Input AMAT'!F163,0)</f>
        <v/>
      </c>
      <c r="G47" s="21">
        <f>IF(ISNUMBER('Input AMAT'!G163),'Input AMAT'!G163,0)</f>
        <v/>
      </c>
    </row>
    <row r="48">
      <c r="A48" s="11" t="inlineStr">
        <is>
          <t xml:space="preserve">  + Prepaid &amp; Other CA</t>
        </is>
      </c>
      <c r="B48" s="21">
        <f>IF(ISNUMBER('Input AMAT'!B164),'Input AMAT'!B164,0)+IF(ISNUMBER('Input AMAT'!B165),'Input AMAT'!B165,0)</f>
        <v/>
      </c>
      <c r="C48" s="21">
        <f>IF(ISNUMBER('Input AMAT'!C164),'Input AMAT'!C164,0)+IF(ISNUMBER('Input AMAT'!C165),'Input AMAT'!C165,0)</f>
        <v/>
      </c>
      <c r="D48" s="21">
        <f>IF(ISNUMBER('Input AMAT'!D164),'Input AMAT'!D164,0)+IF(ISNUMBER('Input AMAT'!D165),'Input AMAT'!D165,0)</f>
        <v/>
      </c>
      <c r="E48" s="21">
        <f>IF(ISNUMBER('Input AMAT'!E164),'Input AMAT'!E164,0)+IF(ISNUMBER('Input AMAT'!E165),'Input AMAT'!E165,0)</f>
        <v/>
      </c>
      <c r="F48" s="21">
        <f>IF(ISNUMBER('Input AMAT'!F164),'Input AMAT'!F164,0)+IF(ISNUMBER('Input AMAT'!F165),'Input AMAT'!F165,0)</f>
        <v/>
      </c>
      <c r="G48" s="21">
        <f>IF(ISNUMBER('Input AMAT'!G164),'Input AMAT'!G164,0)+IF(ISNUMBER('Input AMAT'!G165),'Input AMAT'!G165,0)</f>
        <v/>
      </c>
    </row>
    <row r="49">
      <c r="A49" s="11" t="inlineStr">
        <is>
          <t xml:space="preserve">  - Accounts Payable</t>
        </is>
      </c>
      <c r="B49" s="21">
        <f>IF(ISNUMBER('Input AMAT'!B177),'Input AMAT'!B177,0)</f>
        <v/>
      </c>
      <c r="C49" s="21">
        <f>IF(ISNUMBER('Input AMAT'!C177),'Input AMAT'!C177,0)</f>
        <v/>
      </c>
      <c r="D49" s="21">
        <f>IF(ISNUMBER('Input AMAT'!D177),'Input AMAT'!D177,0)</f>
        <v/>
      </c>
      <c r="E49" s="21">
        <f>IF(ISNUMBER('Input AMAT'!E177),'Input AMAT'!E177,0)</f>
        <v/>
      </c>
      <c r="F49" s="21">
        <f>IF(ISNUMBER('Input AMAT'!F177),'Input AMAT'!F177,0)</f>
        <v/>
      </c>
      <c r="G49" s="21">
        <f>IF(ISNUMBER('Input AMAT'!G177),'Input AMAT'!G177,0)</f>
        <v/>
      </c>
    </row>
    <row r="50">
      <c r="A50" s="11" t="inlineStr">
        <is>
          <t xml:space="preserve">  - Accrued Expenses</t>
        </is>
      </c>
      <c r="B50" s="21">
        <f>IF(ISNUMBER('Input AMAT'!B178),'Input AMAT'!B178,0)</f>
        <v/>
      </c>
      <c r="C50" s="21">
        <f>IF(ISNUMBER('Input AMAT'!C178),'Input AMAT'!C178,0)</f>
        <v/>
      </c>
      <c r="D50" s="21">
        <f>IF(ISNUMBER('Input AMAT'!D178),'Input AMAT'!D178,0)</f>
        <v/>
      </c>
      <c r="E50" s="21">
        <f>IF(ISNUMBER('Input AMAT'!E178),'Input AMAT'!E178,0)</f>
        <v/>
      </c>
      <c r="F50" s="21">
        <f>IF(ISNUMBER('Input AMAT'!F178),'Input AMAT'!F178,0)</f>
        <v/>
      </c>
      <c r="G50" s="21">
        <f>IF(ISNUMBER('Input AMAT'!G178),'Input AMAT'!G178,0)</f>
        <v/>
      </c>
    </row>
    <row r="51">
      <c r="A51" s="11" t="inlineStr">
        <is>
          <t xml:space="preserve">  - Unearned Revenue / Contract Liabilities</t>
        </is>
      </c>
      <c r="B51" s="21">
        <f>IF(ISNUMBER('Input AMAT'!B183),'Input AMAT'!B183,0)</f>
        <v/>
      </c>
      <c r="C51" s="21">
        <f>IF(ISNUMBER('Input AMAT'!C183),'Input AMAT'!C183,0)</f>
        <v/>
      </c>
      <c r="D51" s="21">
        <f>IF(ISNUMBER('Input AMAT'!D183),'Input AMAT'!D183,0)</f>
        <v/>
      </c>
      <c r="E51" s="21">
        <f>IF(ISNUMBER('Input AMAT'!E183),'Input AMAT'!E183,0)</f>
        <v/>
      </c>
      <c r="F51" s="21">
        <f>IF(ISNUMBER('Input AMAT'!F183),'Input AMAT'!F183,0)</f>
        <v/>
      </c>
      <c r="G51" s="21">
        <f>IF(ISNUMBER('Input AMAT'!G183),'Input AMAT'!G183,0)</f>
        <v/>
      </c>
    </row>
    <row r="52">
      <c r="A52" s="11" t="inlineStr">
        <is>
          <t xml:space="preserve">  - Income Taxes Payable</t>
        </is>
      </c>
      <c r="B52" s="21">
        <f>IF(ISNUMBER('Input AMAT'!B182),'Input AMAT'!B182,0)</f>
        <v/>
      </c>
      <c r="C52" s="21">
        <f>IF(ISNUMBER('Input AMAT'!C182),'Input AMAT'!C182,0)</f>
        <v/>
      </c>
      <c r="D52" s="21">
        <f>IF(ISNUMBER('Input AMAT'!D182),'Input AMAT'!D182,0)</f>
        <v/>
      </c>
      <c r="E52" s="21">
        <f>IF(ISNUMBER('Input AMAT'!E182),'Input AMAT'!E182,0)</f>
        <v/>
      </c>
      <c r="F52" s="21">
        <f>IF(ISNUMBER('Input AMAT'!F182),'Input AMAT'!F182,0)</f>
        <v/>
      </c>
      <c r="G52" s="21">
        <f>IF(ISNUMBER('Input AMAT'!G182),'Input AMAT'!G182,0)</f>
        <v/>
      </c>
    </row>
    <row r="53">
      <c r="A53" s="11" t="inlineStr">
        <is>
          <t xml:space="preserve">  - Other Current Liabilities</t>
        </is>
      </c>
      <c r="B53" s="21">
        <f>IF(ISNUMBER('Input AMAT'!B184),'Input AMAT'!B184,0)</f>
        <v/>
      </c>
      <c r="C53" s="21">
        <f>IF(ISNUMBER('Input AMAT'!C184),'Input AMAT'!C184,0)</f>
        <v/>
      </c>
      <c r="D53" s="21">
        <f>IF(ISNUMBER('Input AMAT'!D184),'Input AMAT'!D184,0)</f>
        <v/>
      </c>
      <c r="E53" s="21">
        <f>IF(ISNUMBER('Input AMAT'!E184),'Input AMAT'!E184,0)</f>
        <v/>
      </c>
      <c r="F53" s="21">
        <f>IF(ISNUMBER('Input AMAT'!F184),'Input AMAT'!F184,0)</f>
        <v/>
      </c>
      <c r="G53" s="21">
        <f>IF(ISNUMBER('Input AMAT'!G184),'Input AMAT'!G184,0)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AMAT'!B169),'Input AMAT'!B169,0)</f>
        <v/>
      </c>
      <c r="C57" s="21">
        <f>IF(ISNUMBER('Input AMAT'!C169),'Input AMAT'!C169,0)</f>
        <v/>
      </c>
      <c r="D57" s="21">
        <f>IF(ISNUMBER('Input AMAT'!D169),'Input AMAT'!D169,0)</f>
        <v/>
      </c>
      <c r="E57" s="21">
        <f>IF(ISNUMBER('Input AMAT'!E169),'Input AMAT'!E169,0)</f>
        <v/>
      </c>
      <c r="F57" s="21">
        <f>IF(ISNUMBER('Input AMAT'!F169),'Input AMAT'!F169,0)</f>
        <v/>
      </c>
      <c r="G57" s="21">
        <f>IF(ISNUMBER('Input AMAT'!G169),'Input AMAT'!G169,0)</f>
        <v/>
      </c>
    </row>
    <row r="58">
      <c r="A58" s="11" t="inlineStr">
        <is>
          <t xml:space="preserve">  + Goodwill</t>
        </is>
      </c>
      <c r="B58" s="21">
        <f>IF(ISNUMBER('Input AMAT'!B171),'Input AMAT'!B171,0)</f>
        <v/>
      </c>
      <c r="C58" s="21">
        <f>IF(ISNUMBER('Input AMAT'!C171),'Input AMAT'!C171,0)</f>
        <v/>
      </c>
      <c r="D58" s="21">
        <f>IF(ISNUMBER('Input AMAT'!D171),'Input AMAT'!D171,0)</f>
        <v/>
      </c>
      <c r="E58" s="21">
        <f>IF(ISNUMBER('Input AMAT'!E171),'Input AMAT'!E171,0)</f>
        <v/>
      </c>
      <c r="F58" s="21">
        <f>IF(ISNUMBER('Input AMAT'!F171),'Input AMAT'!F171,0)</f>
        <v/>
      </c>
      <c r="G58" s="21">
        <f>IF(ISNUMBER('Input AMAT'!G171),'Input AMAT'!G171,0)</f>
        <v/>
      </c>
    </row>
    <row r="59">
      <c r="A59" s="11" t="inlineStr">
        <is>
          <t xml:space="preserve">  + Other Intangible Assets</t>
        </is>
      </c>
      <c r="B59" s="21">
        <f>IF(ISNUMBER('Input AMAT'!B172),'Input AMAT'!B172,0)</f>
        <v/>
      </c>
      <c r="C59" s="21">
        <f>IF(ISNUMBER('Input AMAT'!C172),'Input AMAT'!C172,0)</f>
        <v/>
      </c>
      <c r="D59" s="21">
        <f>IF(ISNUMBER('Input AMAT'!D172),'Input AMAT'!D172,0)</f>
        <v/>
      </c>
      <c r="E59" s="21">
        <f>IF(ISNUMBER('Input AMAT'!E172),'Input AMAT'!E172,0)</f>
        <v/>
      </c>
      <c r="F59" s="21">
        <f>IF(ISNUMBER('Input AMAT'!F172),'Input AMAT'!F172,0)</f>
        <v/>
      </c>
      <c r="G59" s="21">
        <f>IF(ISNUMBER('Input AMAT'!G172),'Input AMAT'!G172,0)</f>
        <v/>
      </c>
    </row>
    <row r="60">
      <c r="A60" s="11" t="inlineStr">
        <is>
          <t xml:space="preserve">  + Deferred Tax Assets</t>
        </is>
      </c>
      <c r="B60" s="21">
        <f>IF(ISNUMBER('Input AMAT'!B173),'Input AMAT'!B173,0)</f>
        <v/>
      </c>
      <c r="C60" s="21">
        <f>IF(ISNUMBER('Input AMAT'!C173),'Input AMAT'!C173,0)</f>
        <v/>
      </c>
      <c r="D60" s="21">
        <f>IF(ISNUMBER('Input AMAT'!D173),'Input AMAT'!D173,0)</f>
        <v/>
      </c>
      <c r="E60" s="21">
        <f>IF(ISNUMBER('Input AMAT'!E173),'Input AMAT'!E173,0)</f>
        <v/>
      </c>
      <c r="F60" s="21">
        <f>IF(ISNUMBER('Input AMAT'!F173),'Input AMAT'!F173,0)</f>
        <v/>
      </c>
      <c r="G60" s="21">
        <f>IF(ISNUMBER('Input AMAT'!G173),'Input AMAT'!G173,0)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AMAT'!B174),'Input AMAT'!B174,0)</f>
        <v/>
      </c>
      <c r="C62" s="21">
        <f>IF(ISNUMBER('Input AMAT'!C174),'Input AMAT'!C174,0)</f>
        <v/>
      </c>
      <c r="D62" s="21">
        <f>IF(ISNUMBER('Input AMAT'!D174),'Input AMAT'!D174,0)</f>
        <v/>
      </c>
      <c r="E62" s="21">
        <f>IF(ISNUMBER('Input AMAT'!E174),'Input AMAT'!E174,0)</f>
        <v/>
      </c>
      <c r="F62" s="21">
        <f>IF(ISNUMBER('Input AMAT'!F174),'Input AMAT'!F174,0)</f>
        <v/>
      </c>
      <c r="G62" s="21">
        <f>IF(ISNUMBER('Input AMAT'!G174),'Input AMAT'!G174,0)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AMAT'!B189),'Input AMAT'!B189,0)+IF(ISNUMBER('Input AMAT'!B188),'Input AMAT'!B188,0)</f>
        <v/>
      </c>
      <c r="C64" s="21">
        <f>IF(ISNUMBER('Input AMAT'!C189),'Input AMAT'!C189,0)+IF(ISNUMBER('Input AMAT'!C188),'Input AMAT'!C188,0)</f>
        <v/>
      </c>
      <c r="D64" s="21">
        <f>IF(ISNUMBER('Input AMAT'!D189),'Input AMAT'!D189,0)+IF(ISNUMBER('Input AMAT'!D188),'Input AMAT'!D188,0)</f>
        <v/>
      </c>
      <c r="E64" s="21">
        <f>IF(ISNUMBER('Input AMAT'!E189),'Input AMAT'!E189,0)+IF(ISNUMBER('Input AMAT'!E188),'Input AMAT'!E188,0)</f>
        <v/>
      </c>
      <c r="F64" s="21">
        <f>IF(ISNUMBER('Input AMAT'!F189),'Input AMAT'!F189,0)+IF(ISNUMBER('Input AMAT'!F188),'Input AMAT'!F188,0)</f>
        <v/>
      </c>
      <c r="G64" s="21">
        <f>IF(ISNUMBER('Input AMAT'!G189),'Input AMAT'!G189,0)+IF(ISNUMBER('Input AMAT'!G188),'Input AMAT'!G188,0)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AMAT'!B170),'Input AMAT'!B170,0)</f>
        <v/>
      </c>
      <c r="C70" s="21">
        <f>IF(ISNUMBER('Input AMAT'!C170),'Input AMAT'!C170,0)</f>
        <v/>
      </c>
      <c r="D70" s="21">
        <f>IF(ISNUMBER('Input AMAT'!D170),'Input AMAT'!D170,0)</f>
        <v/>
      </c>
      <c r="E70" s="21">
        <f>IF(ISNUMBER('Input AMAT'!E170),'Input AMAT'!E170,0)</f>
        <v/>
      </c>
      <c r="F70" s="21">
        <f>IF(ISNUMBER('Input AMAT'!F170),'Input AMAT'!F170,0)</f>
        <v/>
      </c>
      <c r="G70" s="21">
        <f>IF(ISNUMBER('Input AMAT'!G170),'Input AMAT'!G170,0)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AMAT'!B181),'Input AMAT'!B181,0)</f>
        <v/>
      </c>
      <c r="C76" s="21">
        <f>IF(ISNUMBER('Input AMAT'!C181),'Input AMAT'!C181,0)</f>
        <v/>
      </c>
      <c r="D76" s="21">
        <f>IF(ISNUMBER('Input AMAT'!D181),'Input AMAT'!D181,0)</f>
        <v/>
      </c>
      <c r="E76" s="21">
        <f>IF(ISNUMBER('Input AMAT'!E181),'Input AMAT'!E181,0)</f>
        <v/>
      </c>
      <c r="F76" s="21">
        <f>IF(ISNUMBER('Input AMAT'!F181),'Input AMAT'!F181,0)</f>
        <v/>
      </c>
      <c r="G76" s="21">
        <f>IF(ISNUMBER('Input AMAT'!G181),'Input AMAT'!G181,0)</f>
        <v/>
      </c>
    </row>
    <row r="77">
      <c r="A77" s="11" t="inlineStr">
        <is>
          <t xml:space="preserve">  + Lease Liabilities (non-current)</t>
        </is>
      </c>
      <c r="B77" s="21">
        <f>IF(ISNUMBER('Input AMAT'!B187),'Input AMAT'!B187,0)</f>
        <v/>
      </c>
      <c r="C77" s="21">
        <f>IF(ISNUMBER('Input AMAT'!C187),'Input AMAT'!C187,0)</f>
        <v/>
      </c>
      <c r="D77" s="21">
        <f>IF(ISNUMBER('Input AMAT'!D187),'Input AMAT'!D187,0)</f>
        <v/>
      </c>
      <c r="E77" s="21">
        <f>IF(ISNUMBER('Input AMAT'!E187),'Input AMAT'!E187,0)</f>
        <v/>
      </c>
      <c r="F77" s="21">
        <f>IF(ISNUMBER('Input AMAT'!F187),'Input AMAT'!F187,0)</f>
        <v/>
      </c>
      <c r="G77" s="21">
        <f>IF(ISNUMBER('Input AMAT'!G187),'Input AMAT'!G187,0)</f>
        <v/>
      </c>
    </row>
    <row r="78">
      <c r="A78" s="24">
        <f> Total Debt</f>
        <v/>
      </c>
      <c r="B78" s="25">
        <f>IF(ISNUMBER('Input AMAT'!B206),'Input AMAT'!B206,0)</f>
        <v/>
      </c>
      <c r="C78" s="25">
        <f>IF(ISNUMBER('Input AMAT'!C206),'Input AMAT'!C206,0)</f>
        <v/>
      </c>
      <c r="D78" s="25">
        <f>IF(ISNUMBER('Input AMAT'!D206),'Input AMAT'!D206,0)</f>
        <v/>
      </c>
      <c r="E78" s="25">
        <f>IF(ISNUMBER('Input AMAT'!E206),'Input AMAT'!E206,0)</f>
        <v/>
      </c>
      <c r="F78" s="25">
        <f>IF(ISNUMBER('Input AMAT'!F206),'Input AMAT'!F206,0)</f>
        <v/>
      </c>
      <c r="G78" s="25">
        <f>IF(ISNUMBER('Input AMAT'!G206),'Input AMAT'!G206,0)</f>
        <v/>
      </c>
    </row>
    <row r="79">
      <c r="A79" s="11" t="inlineStr">
        <is>
          <t xml:space="preserve">  Cash &amp; Equivalents</t>
        </is>
      </c>
      <c r="B79" s="21">
        <f>IF(ISNUMBER('Input AMAT'!B160),'Input AMAT'!B160,0)</f>
        <v/>
      </c>
      <c r="C79" s="21">
        <f>IF(ISNUMBER('Input AMAT'!C160),'Input AMAT'!C160,0)</f>
        <v/>
      </c>
      <c r="D79" s="21">
        <f>IF(ISNUMBER('Input AMAT'!D160),'Input AMAT'!D160,0)</f>
        <v/>
      </c>
      <c r="E79" s="21">
        <f>IF(ISNUMBER('Input AMAT'!E160),'Input AMAT'!E160,0)</f>
        <v/>
      </c>
      <c r="F79" s="21">
        <f>IF(ISNUMBER('Input AMAT'!F160),'Input AMAT'!F160,0)</f>
        <v/>
      </c>
      <c r="G79" s="21">
        <f>IF(ISNUMBER('Input AMAT'!G160),'Input AMAT'!G160,0)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AMAT'!B198),'Input AMAT'!B198,0)</f>
        <v/>
      </c>
      <c r="C81" s="21">
        <f>IF(ISNUMBER('Input AMAT'!C198),'Input AMAT'!C198,0)</f>
        <v/>
      </c>
      <c r="D81" s="21">
        <f>IF(ISNUMBER('Input AMAT'!D198),'Input AMAT'!D198,0)</f>
        <v/>
      </c>
      <c r="E81" s="21">
        <f>IF(ISNUMBER('Input AMAT'!E198),'Input AMAT'!E198,0)</f>
        <v/>
      </c>
      <c r="F81" s="21">
        <f>IF(ISNUMBER('Input AMAT'!F198),'Input AMAT'!F198,0)</f>
        <v/>
      </c>
      <c r="G81" s="21">
        <f>IF(ISNUMBER('Input AMAT'!G198),'Input AMAT'!G198,0)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AMAT'!B108),'Input AMAT'!B108,0)</f>
        <v/>
      </c>
      <c r="C88" s="21">
        <f>IF(ISNUMBER('Input AMAT'!C108),'Input AMAT'!C108,0)</f>
        <v/>
      </c>
      <c r="D88" s="21">
        <f>IF(ISNUMBER('Input AMAT'!D108),'Input AMAT'!D108,0)</f>
        <v/>
      </c>
      <c r="E88" s="21">
        <f>IF(ISNUMBER('Input AMAT'!E108),'Input AMAT'!E108,0)</f>
        <v/>
      </c>
      <c r="F88" s="21">
        <f>IF(ISNUMBER('Input AMAT'!F108),'Input AMAT'!F108,0)</f>
        <v/>
      </c>
      <c r="G88" s="21">
        <f>IF(ISNUMBER('Input AMAT'!G108),'Input AMAT'!G108,0)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AMAT'!B120),'Input AMAT'!B120,0))</f>
        <v/>
      </c>
      <c r="C90" s="21">
        <f>ABS(IF(ISNUMBER('Input AMAT'!C120),'Input AMAT'!C120,0))</f>
        <v/>
      </c>
      <c r="D90" s="21">
        <f>ABS(IF(ISNUMBER('Input AMAT'!D120),'Input AMAT'!D120,0))</f>
        <v/>
      </c>
      <c r="E90" s="21">
        <f>ABS(IF(ISNUMBER('Input AMAT'!E120),'Input AMAT'!E120,0))</f>
        <v/>
      </c>
      <c r="F90" s="21">
        <f>ABS(IF(ISNUMBER('Input AMAT'!F120),'Input AMAT'!F120,0))</f>
        <v/>
      </c>
      <c r="G90" s="21">
        <f>ABS(IF(ISNUMBER('Input AMAT'!G120),'Input AMAT'!G120,0))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LRCX'!B63),'Input LRCX'!B63,0)</f>
        <v/>
      </c>
      <c r="C6" s="18">
        <f>IF(ISNUMBER('Input LRCX'!C63),'Input LRCX'!C63,0)</f>
        <v/>
      </c>
      <c r="D6" s="18">
        <f>IF(ISNUMBER('Input LRCX'!D63),'Input LRCX'!D63,0)</f>
        <v/>
      </c>
      <c r="E6" s="18">
        <f>IF(ISNUMBER('Input LRCX'!E63),'Input LRCX'!E63,0)</f>
        <v/>
      </c>
      <c r="F6" s="18">
        <f>IF(ISNUMBER('Input LRCX'!F63),'Input LRCX'!F63,0)</f>
        <v/>
      </c>
      <c r="G6" s="18">
        <f>IF(ISNUMBER('Input LRCX'!G63),'Input LRCX'!G63,0)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LRCX'!B21),'Input LRCX'!B21,0)</f>
        <v/>
      </c>
      <c r="C9" s="21">
        <f>IF(ISNUMBER('Input LRCX'!C21),'Input LRCX'!C21,0)</f>
        <v/>
      </c>
      <c r="D9" s="21">
        <f>IF(ISNUMBER('Input LRCX'!D21),'Input LRCX'!D21,0)</f>
        <v/>
      </c>
      <c r="E9" s="21">
        <f>IF(ISNUMBER('Input LRCX'!E21),'Input LRCX'!E21,0)</f>
        <v/>
      </c>
      <c r="F9" s="21">
        <f>IF(ISNUMBER('Input LRCX'!F21),'Input LRCX'!F21,0)</f>
        <v/>
      </c>
      <c r="G9" s="21">
        <f>IF(ISNUMBER('Input LRCX'!G21),'Input LRCX'!G21,0)</f>
        <v/>
      </c>
    </row>
    <row r="10">
      <c r="A10" s="11" t="inlineStr">
        <is>
          <t>Cost of Sales</t>
        </is>
      </c>
      <c r="B10" s="21">
        <f>IF(ISNUMBER('Input LRCX'!B23),'Input LRCX'!B23,0)</f>
        <v/>
      </c>
      <c r="C10" s="21">
        <f>IF(ISNUMBER('Input LRCX'!C23),'Input LRCX'!C23,0)</f>
        <v/>
      </c>
      <c r="D10" s="21">
        <f>IF(ISNUMBER('Input LRCX'!D23),'Input LRCX'!D23,0)</f>
        <v/>
      </c>
      <c r="E10" s="21">
        <f>IF(ISNUMBER('Input LRCX'!E23),'Input LRCX'!E23,0)</f>
        <v/>
      </c>
      <c r="F10" s="21">
        <f>IF(ISNUMBER('Input LRCX'!F23),'Input LRCX'!F23,0)</f>
        <v/>
      </c>
      <c r="G10" s="21">
        <f>IF(ISNUMBER('Input LRCX'!G23),'Input LRCX'!G23,0)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LRCX'!B26),'Input LRCX'!B26,0)</f>
        <v/>
      </c>
      <c r="C12" s="21">
        <f>IF(ISNUMBER('Input LRCX'!C26),'Input LRCX'!C26,0)</f>
        <v/>
      </c>
      <c r="D12" s="21">
        <f>IF(ISNUMBER('Input LRCX'!D26),'Input LRCX'!D26,0)</f>
        <v/>
      </c>
      <c r="E12" s="21">
        <f>IF(ISNUMBER('Input LRCX'!E26),'Input LRCX'!E26,0)</f>
        <v/>
      </c>
      <c r="F12" s="21">
        <f>IF(ISNUMBER('Input LRCX'!F26),'Input LRCX'!F26,0)</f>
        <v/>
      </c>
      <c r="G12" s="21">
        <f>IF(ISNUMBER('Input LRCX'!G26),'Input LRCX'!G26,0)</f>
        <v/>
      </c>
    </row>
    <row r="13">
      <c r="A13" s="11" t="inlineStr">
        <is>
          <t xml:space="preserve">  R&amp;D</t>
        </is>
      </c>
      <c r="B13" s="21">
        <f>IF(ISNUMBER('Input LRCX'!B27),'Input LRCX'!B27,0)</f>
        <v/>
      </c>
      <c r="C13" s="21">
        <f>IF(ISNUMBER('Input LRCX'!C27),'Input LRCX'!C27,0)</f>
        <v/>
      </c>
      <c r="D13" s="21">
        <f>IF(ISNUMBER('Input LRCX'!D27),'Input LRCX'!D27,0)</f>
        <v/>
      </c>
      <c r="E13" s="21">
        <f>IF(ISNUMBER('Input LRCX'!E27),'Input LRCX'!E27,0)</f>
        <v/>
      </c>
      <c r="F13" s="21">
        <f>IF(ISNUMBER('Input LRCX'!F27),'Input LRCX'!F27,0)</f>
        <v/>
      </c>
      <c r="G13" s="21">
        <f>IF(ISNUMBER('Input LRCX'!G27),'Input LRCX'!G27,0)</f>
        <v/>
      </c>
    </row>
    <row r="14">
      <c r="A14" s="11" t="inlineStr">
        <is>
          <t xml:space="preserve">  Depreciation &amp; Amortization</t>
        </is>
      </c>
      <c r="B14" s="21">
        <f>IF(ISNUMBER('Input LRCX'!B98),'Input LRCX'!B98,0)</f>
        <v/>
      </c>
      <c r="C14" s="21">
        <f>IF(ISNUMBER('Input LRCX'!C98),'Input LRCX'!C98,0)</f>
        <v/>
      </c>
      <c r="D14" s="21">
        <f>IF(ISNUMBER('Input LRCX'!D98),'Input LRCX'!D98,0)</f>
        <v/>
      </c>
      <c r="E14" s="21">
        <f>IF(ISNUMBER('Input LRCX'!E98),'Input LRCX'!E98,0)</f>
        <v/>
      </c>
      <c r="F14" s="21">
        <f>IF(ISNUMBER('Input LRCX'!F98),'Input LRCX'!F98,0)</f>
        <v/>
      </c>
      <c r="G14" s="21">
        <f>IF(ISNUMBER('Input LRCX'!G98),'Input LRCX'!G98,0)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31" t="n">
        <v>0</v>
      </c>
      <c r="C20" s="31" t="n">
        <v>0</v>
      </c>
      <c r="D20" s="31" t="n">
        <v>0</v>
      </c>
      <c r="E20" s="31" t="n">
        <v>0</v>
      </c>
      <c r="F20" s="31" t="n">
        <v>0</v>
      </c>
      <c r="G20" s="31" t="n">
        <v>0</v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LRCX'!B37),'Input LRCX'!B37,0)</f>
        <v/>
      </c>
      <c r="C23" s="21">
        <f>IF(ISNUMBER('Input LRCX'!C37),'Input LRCX'!C37,0)</f>
        <v/>
      </c>
      <c r="D23" s="21">
        <f>IF(ISNUMBER('Input LRCX'!D37),'Input LRCX'!D37,0)</f>
        <v/>
      </c>
      <c r="E23" s="21">
        <f>IF(ISNUMBER('Input LRCX'!E37),'Input LRCX'!E37,0)</f>
        <v/>
      </c>
      <c r="F23" s="21">
        <f>IF(ISNUMBER('Input LRCX'!F37),'Input LRCX'!F37,0)</f>
        <v/>
      </c>
      <c r="G23" s="21">
        <f>IF(ISNUMBER('Input LRCX'!G37),'Input LRCX'!G37,0)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LRCX'!B32),'Input LRCX'!B32,0)</f>
        <v/>
      </c>
      <c r="C28" s="21">
        <f>IF(ISNUMBER('Input LRCX'!C32),'Input LRCX'!C32,0)</f>
        <v/>
      </c>
      <c r="D28" s="21">
        <f>IF(ISNUMBER('Input LRCX'!D32),'Input LRCX'!D32,0)</f>
        <v/>
      </c>
      <c r="E28" s="21">
        <f>IF(ISNUMBER('Input LRCX'!E32),'Input LRCX'!E32,0)</f>
        <v/>
      </c>
      <c r="F28" s="21">
        <f>IF(ISNUMBER('Input LRCX'!F32),'Input LRCX'!F32,0)</f>
        <v/>
      </c>
      <c r="G28" s="21">
        <f>IF(ISNUMBER('Input LRCX'!G32),'Input LRCX'!G32,0)</f>
        <v/>
      </c>
    </row>
    <row r="29">
      <c r="A29" s="11" t="inlineStr">
        <is>
          <t xml:space="preserve">  Interest Expense</t>
        </is>
      </c>
      <c r="B29" s="21">
        <f>IF(ISNUMBER('Input LRCX'!B31),'Input LRCX'!B31,0)</f>
        <v/>
      </c>
      <c r="C29" s="21">
        <f>IF(ISNUMBER('Input LRCX'!C31),'Input LRCX'!C31,0)</f>
        <v/>
      </c>
      <c r="D29" s="21">
        <f>IF(ISNUMBER('Input LRCX'!D31),'Input LRCX'!D31,0)</f>
        <v/>
      </c>
      <c r="E29" s="21">
        <f>IF(ISNUMBER('Input LRCX'!E31),'Input LRCX'!E31,0)</f>
        <v/>
      </c>
      <c r="F29" s="21">
        <f>IF(ISNUMBER('Input LRCX'!F31),'Input LRCX'!F31,0)</f>
        <v/>
      </c>
      <c r="G29" s="21">
        <f>IF(ISNUMBER('Input LRCX'!G31),'Input LRCX'!G31,0)</f>
        <v/>
      </c>
    </row>
    <row r="30">
      <c r="A30" s="11" t="inlineStr">
        <is>
          <t xml:space="preserve">  FX Gains/(Losses)</t>
        </is>
      </c>
      <c r="B30" s="21">
        <f>IF(ISNUMBER('Input LRCX'!B34),'Input LRCX'!B34,0)</f>
        <v/>
      </c>
      <c r="C30" s="21">
        <f>IF(ISNUMBER('Input LRCX'!C34),'Input LRCX'!C34,0)</f>
        <v/>
      </c>
      <c r="D30" s="21">
        <f>IF(ISNUMBER('Input LRCX'!D34),'Input LRCX'!D34,0)</f>
        <v/>
      </c>
      <c r="E30" s="21">
        <f>IF(ISNUMBER('Input LRCX'!E34),'Input LRCX'!E34,0)</f>
        <v/>
      </c>
      <c r="F30" s="21">
        <f>IF(ISNUMBER('Input LRCX'!F34),'Input LRCX'!F34,0)</f>
        <v/>
      </c>
      <c r="G30" s="21">
        <f>IF(ISNUMBER('Input LRCX'!G34),'Input LRCX'!G34,0)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LRCX'!B40),'Input LRCX'!B40,0)</f>
        <v/>
      </c>
      <c r="C32" s="21">
        <f>IF(ISNUMBER('Input LRCX'!C40),'Input LRCX'!C40,0)</f>
        <v/>
      </c>
      <c r="D32" s="21">
        <f>IF(ISNUMBER('Input LRCX'!D40),'Input LRCX'!D40,0)</f>
        <v/>
      </c>
      <c r="E32" s="21">
        <f>IF(ISNUMBER('Input LRCX'!E40),'Input LRCX'!E40,0)</f>
        <v/>
      </c>
      <c r="F32" s="21">
        <f>IF(ISNUMBER('Input LRCX'!F40),'Input LRCX'!F40,0)</f>
        <v/>
      </c>
      <c r="G32" s="21">
        <f>IF(ISNUMBER('Input LRCX'!G40),'Input LRCX'!G40,0)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LRCX'!B52),'Input LRCX'!B52,0)</f>
        <v/>
      </c>
      <c r="C38" s="21">
        <f>IF(ISNUMBER('Input LRCX'!C52),'Input LRCX'!C52,0)</f>
        <v/>
      </c>
      <c r="D38" s="21">
        <f>IF(ISNUMBER('Input LRCX'!D52),'Input LRCX'!D52,0)</f>
        <v/>
      </c>
      <c r="E38" s="21">
        <f>IF(ISNUMBER('Input LRCX'!E52),'Input LRCX'!E52,0)</f>
        <v/>
      </c>
      <c r="F38" s="21">
        <f>IF(ISNUMBER('Input LRCX'!F52),'Input LRCX'!F52,0)</f>
        <v/>
      </c>
      <c r="G38" s="21">
        <f>IF(ISNUMBER('Input LRCX'!G52),'Input LRCX'!G52,0)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LRCX'!B55),'Input LRCX'!B55,0)</f>
        <v/>
      </c>
      <c r="C40" s="30">
        <f>IF(ISNUMBER('Input LRCX'!C55),'Input LRCX'!C55,0)</f>
        <v/>
      </c>
      <c r="D40" s="30">
        <f>IF(ISNUMBER('Input LRCX'!D55),'Input LRCX'!D55,0)</f>
        <v/>
      </c>
      <c r="E40" s="30">
        <f>IF(ISNUMBER('Input LRCX'!E55),'Input LRCX'!E55,0)</f>
        <v/>
      </c>
      <c r="F40" s="30">
        <f>IF(ISNUMBER('Input LRCX'!F55),'Input LRCX'!F55,0)</f>
        <v/>
      </c>
      <c r="G40" s="30">
        <f>IF(ISNUMBER('Input LRCX'!G55),'Input LRCX'!G55,0)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LRCX'!B152),'Input LRCX'!B152,0)</f>
        <v/>
      </c>
      <c r="C45" s="21">
        <f>IF(ISNUMBER('Input LRCX'!C152),'Input LRCX'!C152,0)</f>
        <v/>
      </c>
      <c r="D45" s="21">
        <f>IF(ISNUMBER('Input LRCX'!D152),'Input LRCX'!D152,0)</f>
        <v/>
      </c>
      <c r="E45" s="21">
        <f>IF(ISNUMBER('Input LRCX'!E152),'Input LRCX'!E152,0)</f>
        <v/>
      </c>
      <c r="F45" s="21">
        <f>IF(ISNUMBER('Input LRCX'!F152),'Input LRCX'!F152,0)</f>
        <v/>
      </c>
      <c r="G45" s="21">
        <f>IF(ISNUMBER('Input LRCX'!G152),'Input LRCX'!G152,0)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LRCX'!B154),'Input LRCX'!B154,0)</f>
        <v/>
      </c>
      <c r="C47" s="21">
        <f>IF(ISNUMBER('Input LRCX'!C154),'Input LRCX'!C154,0)</f>
        <v/>
      </c>
      <c r="D47" s="21">
        <f>IF(ISNUMBER('Input LRCX'!D154),'Input LRCX'!D154,0)</f>
        <v/>
      </c>
      <c r="E47" s="21">
        <f>IF(ISNUMBER('Input LRCX'!E154),'Input LRCX'!E154,0)</f>
        <v/>
      </c>
      <c r="F47" s="21">
        <f>IF(ISNUMBER('Input LRCX'!F154),'Input LRCX'!F154,0)</f>
        <v/>
      </c>
      <c r="G47" s="21">
        <f>IF(ISNUMBER('Input LRCX'!G154),'Input LRCX'!G154,0)</f>
        <v/>
      </c>
    </row>
    <row r="48">
      <c r="A48" s="11" t="inlineStr">
        <is>
          <t xml:space="preserve">  + Prepaid &amp; Other CA</t>
        </is>
      </c>
      <c r="B48" s="21">
        <f>IF(ISNUMBER('Input LRCX'!B155),'Input LRCX'!B155,0)+IF(ISNUMBER('Input LRCX'!B156),'Input LRCX'!B156,0)</f>
        <v/>
      </c>
      <c r="C48" s="21">
        <f>IF(ISNUMBER('Input LRCX'!C155),'Input LRCX'!C155,0)+IF(ISNUMBER('Input LRCX'!C156),'Input LRCX'!C156,0)</f>
        <v/>
      </c>
      <c r="D48" s="21">
        <f>IF(ISNUMBER('Input LRCX'!D155),'Input LRCX'!D155,0)+IF(ISNUMBER('Input LRCX'!D156),'Input LRCX'!D156,0)</f>
        <v/>
      </c>
      <c r="E48" s="21">
        <f>IF(ISNUMBER('Input LRCX'!E155),'Input LRCX'!E155,0)+IF(ISNUMBER('Input LRCX'!E156),'Input LRCX'!E156,0)</f>
        <v/>
      </c>
      <c r="F48" s="21">
        <f>IF(ISNUMBER('Input LRCX'!F155),'Input LRCX'!F155,0)+IF(ISNUMBER('Input LRCX'!F156),'Input LRCX'!F156,0)</f>
        <v/>
      </c>
      <c r="G48" s="21">
        <f>IF(ISNUMBER('Input LRCX'!G155),'Input LRCX'!G155,0)+IF(ISNUMBER('Input LRCX'!G156),'Input LRCX'!G156,0)</f>
        <v/>
      </c>
    </row>
    <row r="49">
      <c r="A49" s="11" t="inlineStr">
        <is>
          <t xml:space="preserve">  - Accounts Payable</t>
        </is>
      </c>
      <c r="B49" s="21">
        <f>IF(ISNUMBER('Input LRCX'!B168),'Input LRCX'!B168,0)</f>
        <v/>
      </c>
      <c r="C49" s="21">
        <f>IF(ISNUMBER('Input LRCX'!C168),'Input LRCX'!C168,0)</f>
        <v/>
      </c>
      <c r="D49" s="21">
        <f>IF(ISNUMBER('Input LRCX'!D168),'Input LRCX'!D168,0)</f>
        <v/>
      </c>
      <c r="E49" s="21">
        <f>IF(ISNUMBER('Input LRCX'!E168),'Input LRCX'!E168,0)</f>
        <v/>
      </c>
      <c r="F49" s="21">
        <f>IF(ISNUMBER('Input LRCX'!F168),'Input LRCX'!F168,0)</f>
        <v/>
      </c>
      <c r="G49" s="21">
        <f>IF(ISNUMBER('Input LRCX'!G168),'Input LRCX'!G168,0)</f>
        <v/>
      </c>
    </row>
    <row r="50">
      <c r="A50" s="11" t="inlineStr">
        <is>
          <t xml:space="preserve">  - Accrued Expenses</t>
        </is>
      </c>
      <c r="B50" s="21">
        <f>IF(ISNUMBER('Input LRCX'!B169),'Input LRCX'!B169,0)</f>
        <v/>
      </c>
      <c r="C50" s="21">
        <f>IF(ISNUMBER('Input LRCX'!C169),'Input LRCX'!C169,0)</f>
        <v/>
      </c>
      <c r="D50" s="21">
        <f>IF(ISNUMBER('Input LRCX'!D169),'Input LRCX'!D169,0)</f>
        <v/>
      </c>
      <c r="E50" s="21">
        <f>IF(ISNUMBER('Input LRCX'!E169),'Input LRCX'!E169,0)</f>
        <v/>
      </c>
      <c r="F50" s="21">
        <f>IF(ISNUMBER('Input LRCX'!F169),'Input LRCX'!F169,0)</f>
        <v/>
      </c>
      <c r="G50" s="21">
        <f>IF(ISNUMBER('Input LRCX'!G169),'Input LRCX'!G169,0)</f>
        <v/>
      </c>
    </row>
    <row r="51">
      <c r="A51" s="11" t="inlineStr">
        <is>
          <t xml:space="preserve">  - Unearned Revenue / Contract Liabilities</t>
        </is>
      </c>
      <c r="B51" s="21">
        <f>IF(ISNUMBER('Input LRCX'!B173),'Input LRCX'!B173,0)</f>
        <v/>
      </c>
      <c r="C51" s="21">
        <f>IF(ISNUMBER('Input LRCX'!C173),'Input LRCX'!C173,0)</f>
        <v/>
      </c>
      <c r="D51" s="21">
        <f>IF(ISNUMBER('Input LRCX'!D173),'Input LRCX'!D173,0)</f>
        <v/>
      </c>
      <c r="E51" s="21">
        <f>IF(ISNUMBER('Input LRCX'!E173),'Input LRCX'!E173,0)</f>
        <v/>
      </c>
      <c r="F51" s="21">
        <f>IF(ISNUMBER('Input LRCX'!F173),'Input LRCX'!F173,0)</f>
        <v/>
      </c>
      <c r="G51" s="21">
        <f>IF(ISNUMBER('Input LRCX'!G173),'Input LRCX'!G173,0)</f>
        <v/>
      </c>
    </row>
    <row r="52">
      <c r="A52" s="11" t="inlineStr">
        <is>
          <t xml:space="preserve">  - Income Taxes Payable</t>
        </is>
      </c>
      <c r="B52" s="21">
        <f>IF(ISNUMBER('Input LRCX'!B172),'Input LRCX'!B172,0)</f>
        <v/>
      </c>
      <c r="C52" s="21">
        <f>IF(ISNUMBER('Input LRCX'!C172),'Input LRCX'!C172,0)</f>
        <v/>
      </c>
      <c r="D52" s="21">
        <f>IF(ISNUMBER('Input LRCX'!D172),'Input LRCX'!D172,0)</f>
        <v/>
      </c>
      <c r="E52" s="21">
        <f>IF(ISNUMBER('Input LRCX'!E172),'Input LRCX'!E172,0)</f>
        <v/>
      </c>
      <c r="F52" s="21">
        <f>IF(ISNUMBER('Input LRCX'!F172),'Input LRCX'!F172,0)</f>
        <v/>
      </c>
      <c r="G52" s="21">
        <f>IF(ISNUMBER('Input LRCX'!G172),'Input LRCX'!G172,0)</f>
        <v/>
      </c>
    </row>
    <row r="53">
      <c r="A53" s="11" t="inlineStr">
        <is>
          <t xml:space="preserve">  - Other Current Liabilities</t>
        </is>
      </c>
      <c r="B53" s="21">
        <f>IF(ISNUMBER('Input LRCX'!B174),'Input LRCX'!B174,0)</f>
        <v/>
      </c>
      <c r="C53" s="21">
        <f>IF(ISNUMBER('Input LRCX'!C174),'Input LRCX'!C174,0)</f>
        <v/>
      </c>
      <c r="D53" s="21">
        <f>IF(ISNUMBER('Input LRCX'!D174),'Input LRCX'!D174,0)</f>
        <v/>
      </c>
      <c r="E53" s="21">
        <f>IF(ISNUMBER('Input LRCX'!E174),'Input LRCX'!E174,0)</f>
        <v/>
      </c>
      <c r="F53" s="21">
        <f>IF(ISNUMBER('Input LRCX'!F174),'Input LRCX'!F174,0)</f>
        <v/>
      </c>
      <c r="G53" s="21">
        <f>IF(ISNUMBER('Input LRCX'!G174),'Input LRCX'!G174,0)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LRCX'!B160),'Input LRCX'!B160,0)</f>
        <v/>
      </c>
      <c r="C57" s="21">
        <f>IF(ISNUMBER('Input LRCX'!C160),'Input LRCX'!C160,0)</f>
        <v/>
      </c>
      <c r="D57" s="21">
        <f>IF(ISNUMBER('Input LRCX'!D160),'Input LRCX'!D160,0)</f>
        <v/>
      </c>
      <c r="E57" s="21">
        <f>IF(ISNUMBER('Input LRCX'!E160),'Input LRCX'!E160,0)</f>
        <v/>
      </c>
      <c r="F57" s="21">
        <f>IF(ISNUMBER('Input LRCX'!F160),'Input LRCX'!F160,0)</f>
        <v/>
      </c>
      <c r="G57" s="21">
        <f>IF(ISNUMBER('Input LRCX'!G160),'Input LRCX'!G160,0)</f>
        <v/>
      </c>
    </row>
    <row r="58">
      <c r="A58" s="11" t="inlineStr">
        <is>
          <t xml:space="preserve">  + Goodwill</t>
        </is>
      </c>
      <c r="B58" s="21">
        <f>IF(ISNUMBER('Input LRCX'!B162),'Input LRCX'!B162,0)</f>
        <v/>
      </c>
      <c r="C58" s="21">
        <f>IF(ISNUMBER('Input LRCX'!C162),'Input LRCX'!C162,0)</f>
        <v/>
      </c>
      <c r="D58" s="21">
        <f>IF(ISNUMBER('Input LRCX'!D162),'Input LRCX'!D162,0)</f>
        <v/>
      </c>
      <c r="E58" s="21">
        <f>IF(ISNUMBER('Input LRCX'!E162),'Input LRCX'!E162,0)</f>
        <v/>
      </c>
      <c r="F58" s="21">
        <f>IF(ISNUMBER('Input LRCX'!F162),'Input LRCX'!F162,0)</f>
        <v/>
      </c>
      <c r="G58" s="21">
        <f>IF(ISNUMBER('Input LRCX'!G162),'Input LRCX'!G162,0)</f>
        <v/>
      </c>
    </row>
    <row r="59">
      <c r="A59" s="11" t="inlineStr">
        <is>
          <t xml:space="preserve">  + Other Intangible Assets</t>
        </is>
      </c>
      <c r="B59" s="21">
        <f>IF(ISNUMBER('Input LRCX'!B163),'Input LRCX'!B163,0)</f>
        <v/>
      </c>
      <c r="C59" s="21">
        <f>IF(ISNUMBER('Input LRCX'!C163),'Input LRCX'!C163,0)</f>
        <v/>
      </c>
      <c r="D59" s="21">
        <f>IF(ISNUMBER('Input LRCX'!D163),'Input LRCX'!D163,0)</f>
        <v/>
      </c>
      <c r="E59" s="21">
        <f>IF(ISNUMBER('Input LRCX'!E163),'Input LRCX'!E163,0)</f>
        <v/>
      </c>
      <c r="F59" s="21">
        <f>IF(ISNUMBER('Input LRCX'!F163),'Input LRCX'!F163,0)</f>
        <v/>
      </c>
      <c r="G59" s="21">
        <f>IF(ISNUMBER('Input LRCX'!G163),'Input LRCX'!G163,0)</f>
        <v/>
      </c>
    </row>
    <row r="60">
      <c r="A60" s="11" t="inlineStr">
        <is>
          <t xml:space="preserve">  + Deferred Tax Assets</t>
        </is>
      </c>
      <c r="B60" s="31" t="n">
        <v>0</v>
      </c>
      <c r="C60" s="31" t="n">
        <v>0</v>
      </c>
      <c r="D60" s="31" t="n">
        <v>0</v>
      </c>
      <c r="E60" s="31" t="n">
        <v>0</v>
      </c>
      <c r="F60" s="31" t="n">
        <v>0</v>
      </c>
      <c r="G60" s="31" t="n">
        <v>0</v>
      </c>
    </row>
    <row r="61">
      <c r="A61" s="11" t="inlineStr">
        <is>
          <t xml:space="preserve">  + Deferred Charges &amp; LT Intangibles</t>
        </is>
      </c>
      <c r="B61" s="21">
        <f>IF(ISNUMBER('Input LRCX'!B164),'Input LRCX'!B164,0)</f>
        <v/>
      </c>
      <c r="C61" s="21">
        <f>IF(ISNUMBER('Input LRCX'!C164),'Input LRCX'!C164,0)</f>
        <v/>
      </c>
      <c r="D61" s="21">
        <f>IF(ISNUMBER('Input LRCX'!D164),'Input LRCX'!D164,0)</f>
        <v/>
      </c>
      <c r="E61" s="21">
        <f>IF(ISNUMBER('Input LRCX'!E164),'Input LRCX'!E164,0)</f>
        <v/>
      </c>
      <c r="F61" s="21">
        <f>IF(ISNUMBER('Input LRCX'!F164),'Input LRCX'!F164,0)</f>
        <v/>
      </c>
      <c r="G61" s="21">
        <f>IF(ISNUMBER('Input LRCX'!G164),'Input LRCX'!G164,0)</f>
        <v/>
      </c>
    </row>
    <row r="62">
      <c r="A62" s="11" t="inlineStr">
        <is>
          <t xml:space="preserve">  + Other Non-Current Assets</t>
        </is>
      </c>
      <c r="B62" s="21">
        <f>IF(ISNUMBER('Input LRCX'!B165),'Input LRCX'!B165,0)</f>
        <v/>
      </c>
      <c r="C62" s="21">
        <f>IF(ISNUMBER('Input LRCX'!C165),'Input LRCX'!C165,0)</f>
        <v/>
      </c>
      <c r="D62" s="21">
        <f>IF(ISNUMBER('Input LRCX'!D165),'Input LRCX'!D165,0)</f>
        <v/>
      </c>
      <c r="E62" s="21">
        <f>IF(ISNUMBER('Input LRCX'!E165),'Input LRCX'!E165,0)</f>
        <v/>
      </c>
      <c r="F62" s="21">
        <f>IF(ISNUMBER('Input LRCX'!F165),'Input LRCX'!F165,0)</f>
        <v/>
      </c>
      <c r="G62" s="21">
        <f>IF(ISNUMBER('Input LRCX'!G165),'Input LRCX'!G165,0)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LRCX'!B178),'Input LRCX'!B178,0)</f>
        <v/>
      </c>
      <c r="C64" s="21">
        <f>IF(ISNUMBER('Input LRCX'!C178),'Input LRCX'!C178,0)</f>
        <v/>
      </c>
      <c r="D64" s="21">
        <f>IF(ISNUMBER('Input LRCX'!D178),'Input LRCX'!D178,0)</f>
        <v/>
      </c>
      <c r="E64" s="21">
        <f>IF(ISNUMBER('Input LRCX'!E178),'Input LRCX'!E178,0)</f>
        <v/>
      </c>
      <c r="F64" s="21">
        <f>IF(ISNUMBER('Input LRCX'!F178),'Input LRCX'!F178,0)</f>
        <v/>
      </c>
      <c r="G64" s="21">
        <f>IF(ISNUMBER('Input LRCX'!G178),'Input LRCX'!G178,0)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LRCX'!B161),'Input LRCX'!B161,0)</f>
        <v/>
      </c>
      <c r="C70" s="21">
        <f>IF(ISNUMBER('Input LRCX'!C161),'Input LRCX'!C161,0)</f>
        <v/>
      </c>
      <c r="D70" s="21">
        <f>IF(ISNUMBER('Input LRCX'!D161),'Input LRCX'!D161,0)</f>
        <v/>
      </c>
      <c r="E70" s="21">
        <f>IF(ISNUMBER('Input LRCX'!E161),'Input LRCX'!E161,0)</f>
        <v/>
      </c>
      <c r="F70" s="21">
        <f>IF(ISNUMBER('Input LRCX'!F161),'Input LRCX'!F161,0)</f>
        <v/>
      </c>
      <c r="G70" s="21">
        <f>IF(ISNUMBER('Input LRCX'!G161),'Input LRCX'!G161,0)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LRCX'!B171),'Input LRCX'!B171,0)</f>
        <v/>
      </c>
      <c r="C76" s="21">
        <f>IF(ISNUMBER('Input LRCX'!C171),'Input LRCX'!C171,0)</f>
        <v/>
      </c>
      <c r="D76" s="21">
        <f>IF(ISNUMBER('Input LRCX'!D171),'Input LRCX'!D171,0)</f>
        <v/>
      </c>
      <c r="E76" s="21">
        <f>IF(ISNUMBER('Input LRCX'!E171),'Input LRCX'!E171,0)</f>
        <v/>
      </c>
      <c r="F76" s="21">
        <f>IF(ISNUMBER('Input LRCX'!F171),'Input LRCX'!F171,0)</f>
        <v/>
      </c>
      <c r="G76" s="21">
        <f>IF(ISNUMBER('Input LRCX'!G171),'Input LRCX'!G171,0)</f>
        <v/>
      </c>
    </row>
    <row r="77">
      <c r="A77" s="11" t="inlineStr">
        <is>
          <t xml:space="preserve">  + Lease Liabilities (non-current)</t>
        </is>
      </c>
      <c r="B77" s="21">
        <f>IF(ISNUMBER('Input LRCX'!B177),'Input LRCX'!B177,0)</f>
        <v/>
      </c>
      <c r="C77" s="21">
        <f>IF(ISNUMBER('Input LRCX'!C177),'Input LRCX'!C177,0)</f>
        <v/>
      </c>
      <c r="D77" s="21">
        <f>IF(ISNUMBER('Input LRCX'!D177),'Input LRCX'!D177,0)</f>
        <v/>
      </c>
      <c r="E77" s="21">
        <f>IF(ISNUMBER('Input LRCX'!E177),'Input LRCX'!E177,0)</f>
        <v/>
      </c>
      <c r="F77" s="21">
        <f>IF(ISNUMBER('Input LRCX'!F177),'Input LRCX'!F177,0)</f>
        <v/>
      </c>
      <c r="G77" s="21">
        <f>IF(ISNUMBER('Input LRCX'!G177),'Input LRCX'!G177,0)</f>
        <v/>
      </c>
    </row>
    <row r="78">
      <c r="A78" s="24">
        <f> Total Debt</f>
        <v/>
      </c>
      <c r="B78" s="25">
        <f>IF(ISNUMBER('Input LRCX'!B195),'Input LRCX'!B195,0)</f>
        <v/>
      </c>
      <c r="C78" s="25">
        <f>IF(ISNUMBER('Input LRCX'!C195),'Input LRCX'!C195,0)</f>
        <v/>
      </c>
      <c r="D78" s="25">
        <f>IF(ISNUMBER('Input LRCX'!D195),'Input LRCX'!D195,0)</f>
        <v/>
      </c>
      <c r="E78" s="25">
        <f>IF(ISNUMBER('Input LRCX'!E195),'Input LRCX'!E195,0)</f>
        <v/>
      </c>
      <c r="F78" s="25">
        <f>IF(ISNUMBER('Input LRCX'!F195),'Input LRCX'!F195,0)</f>
        <v/>
      </c>
      <c r="G78" s="25">
        <f>IF(ISNUMBER('Input LRCX'!G195),'Input LRCX'!G195,0)</f>
        <v/>
      </c>
    </row>
    <row r="79">
      <c r="A79" s="11" t="inlineStr">
        <is>
          <t xml:space="preserve">  Cash &amp; Equivalents</t>
        </is>
      </c>
      <c r="B79" s="21">
        <f>IF(ISNUMBER('Input LRCX'!B151),'Input LRCX'!B151,0)</f>
        <v/>
      </c>
      <c r="C79" s="21">
        <f>IF(ISNUMBER('Input LRCX'!C151),'Input LRCX'!C151,0)</f>
        <v/>
      </c>
      <c r="D79" s="21">
        <f>IF(ISNUMBER('Input LRCX'!D151),'Input LRCX'!D151,0)</f>
        <v/>
      </c>
      <c r="E79" s="21">
        <f>IF(ISNUMBER('Input LRCX'!E151),'Input LRCX'!E151,0)</f>
        <v/>
      </c>
      <c r="F79" s="21">
        <f>IF(ISNUMBER('Input LRCX'!F151),'Input LRCX'!F151,0)</f>
        <v/>
      </c>
      <c r="G79" s="21">
        <f>IF(ISNUMBER('Input LRCX'!G151),'Input LRCX'!G151,0)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LRCX'!B187),'Input LRCX'!B187,0)</f>
        <v/>
      </c>
      <c r="C81" s="21">
        <f>IF(ISNUMBER('Input LRCX'!C187),'Input LRCX'!C187,0)</f>
        <v/>
      </c>
      <c r="D81" s="21">
        <f>IF(ISNUMBER('Input LRCX'!D187),'Input LRCX'!D187,0)</f>
        <v/>
      </c>
      <c r="E81" s="21">
        <f>IF(ISNUMBER('Input LRCX'!E187),'Input LRCX'!E187,0)</f>
        <v/>
      </c>
      <c r="F81" s="21">
        <f>IF(ISNUMBER('Input LRCX'!F187),'Input LRCX'!F187,0)</f>
        <v/>
      </c>
      <c r="G81" s="21">
        <f>IF(ISNUMBER('Input LRCX'!G187),'Input LRCX'!G187,0)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LRCX'!B98),'Input LRCX'!B98,0)</f>
        <v/>
      </c>
      <c r="C88" s="21">
        <f>IF(ISNUMBER('Input LRCX'!C98),'Input LRCX'!C98,0)</f>
        <v/>
      </c>
      <c r="D88" s="21">
        <f>IF(ISNUMBER('Input LRCX'!D98),'Input LRCX'!D98,0)</f>
        <v/>
      </c>
      <c r="E88" s="21">
        <f>IF(ISNUMBER('Input LRCX'!E98),'Input LRCX'!E98,0)</f>
        <v/>
      </c>
      <c r="F88" s="21">
        <f>IF(ISNUMBER('Input LRCX'!F98),'Input LRCX'!F98,0)</f>
        <v/>
      </c>
      <c r="G88" s="21">
        <f>IF(ISNUMBER('Input LRCX'!G98),'Input LRCX'!G98,0)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LRCX'!B108),'Input LRCX'!B108,0))</f>
        <v/>
      </c>
      <c r="C90" s="21">
        <f>ABS(IF(ISNUMBER('Input LRCX'!C108),'Input LRCX'!C108,0))</f>
        <v/>
      </c>
      <c r="D90" s="21">
        <f>ABS(IF(ISNUMBER('Input LRCX'!D108),'Input LRCX'!D108,0))</f>
        <v/>
      </c>
      <c r="E90" s="21">
        <f>ABS(IF(ISNUMBER('Input LRCX'!E108),'Input LRCX'!E108,0))</f>
        <v/>
      </c>
      <c r="F90" s="21">
        <f>ABS(IF(ISNUMBER('Input LRCX'!F108),'Input LRCX'!F108,0))</f>
        <v/>
      </c>
      <c r="G90" s="21">
        <f>ABS(IF(ISNUMBER('Input LRCX'!G108),'Input LRCX'!G108,0))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80" customWidth="1" min="3" max="3"/>
  </cols>
  <sheetData>
    <row r="1">
      <c r="A1" s="14" t="inlineStr">
        <is>
          <t>Accounting Analysis &amp; Adjustments - ASM International NV</t>
        </is>
      </c>
    </row>
    <row r="2"/>
    <row r="3">
      <c r="A3" s="32" t="inlineStr">
        <is>
          <t>Areas Examined</t>
        </is>
      </c>
    </row>
    <row r="5">
      <c r="A5" s="22" t="inlineStr">
        <is>
          <t>1. R&amp;D Capitalization Policy</t>
        </is>
      </c>
    </row>
    <row r="6">
      <c r="B6" s="22" t="inlineStr">
        <is>
          <t>Description:</t>
        </is>
      </c>
      <c r="C6" s="11" t="inlineStr">
        <is>
          <t>ASM capitalizes development expenditure (significant amounts).</t>
        </is>
      </c>
    </row>
    <row r="7">
      <c r="B7" s="22" t="inlineStr">
        <is>
          <t>Finding:</t>
        </is>
      </c>
      <c r="C7" s="11" t="inlineStr">
        <is>
          <t>Compare with peers: all semi equipment companies capitalize similarly.</t>
        </is>
      </c>
    </row>
    <row r="8">
      <c r="B8" s="22" t="inlineStr">
        <is>
          <t>Decision:</t>
        </is>
      </c>
      <c r="C8" s="11" t="inlineStr">
        <is>
          <t>No Adjustment</t>
        </is>
      </c>
    </row>
    <row r="9">
      <c r="B9" s="22" t="inlineStr">
        <is>
          <t>Justification:</t>
        </is>
      </c>
      <c r="C9" s="11" t="inlineStr">
        <is>
          <t>Consistent with industry practice and peers.</t>
        </is>
      </c>
    </row>
    <row r="11">
      <c r="A11" s="22" t="inlineStr">
        <is>
          <t>2. Equity Method Investment (ASMPT)</t>
        </is>
      </c>
    </row>
    <row r="12">
      <c r="B12" s="22" t="inlineStr">
        <is>
          <t>Description:</t>
        </is>
      </c>
      <c r="C12" s="11" t="inlineStr">
        <is>
          <t>~25% stake in ASM Pacific Technology.</t>
        </is>
      </c>
    </row>
    <row r="13">
      <c r="B13" s="22" t="inlineStr">
        <is>
          <t>Finding:</t>
        </is>
      </c>
      <c r="C13" s="11" t="inlineStr">
        <is>
          <t>Already separated as Investment Income in standardized IS.</t>
        </is>
      </c>
    </row>
    <row r="14">
      <c r="B14" s="22" t="inlineStr">
        <is>
          <t>Decision:</t>
        </is>
      </c>
      <c r="C14" s="11" t="inlineStr">
        <is>
          <t>No Adjustment</t>
        </is>
      </c>
    </row>
    <row r="15">
      <c r="B15" s="22" t="inlineStr">
        <is>
          <t>Justification:</t>
        </is>
      </c>
      <c r="C15" s="11" t="inlineStr">
        <is>
          <t>No further adjustment needed.</t>
        </is>
      </c>
    </row>
    <row r="17">
      <c r="A17" s="22" t="inlineStr">
        <is>
          <t>3. FX Gains/Losses</t>
        </is>
      </c>
    </row>
    <row r="18">
      <c r="B18" s="22" t="inlineStr">
        <is>
          <t>Description:</t>
        </is>
      </c>
      <c r="C18" s="11" t="inlineStr">
        <is>
          <t>Highly volatile: ranged from -23M (2020) to +45M (2024).</t>
        </is>
      </c>
    </row>
    <row r="19">
      <c r="B19" s="22" t="inlineStr">
        <is>
          <t>Finding:</t>
        </is>
      </c>
      <c r="C19" s="11" t="inlineStr">
        <is>
          <t>Already classified below EBIT in standardized IS (non-operating).</t>
        </is>
      </c>
    </row>
    <row r="20">
      <c r="B20" s="22" t="inlineStr">
        <is>
          <t>Decision:</t>
        </is>
      </c>
      <c r="C20" s="11" t="inlineStr">
        <is>
          <t>No Adjustment</t>
        </is>
      </c>
    </row>
    <row r="21">
      <c r="B21" s="22" t="inlineStr">
        <is>
          <t>Justification:</t>
        </is>
      </c>
      <c r="C21" s="11" t="inlineStr">
        <is>
          <t>Already handled in standardization.</t>
        </is>
      </c>
    </row>
    <row r="23">
      <c r="A23" s="22" t="inlineStr">
        <is>
          <t>4. Stock-Based Compensation</t>
        </is>
      </c>
    </row>
    <row r="24">
      <c r="B24" s="22" t="inlineStr">
        <is>
          <t>Description:</t>
        </is>
      </c>
      <c r="C24" s="11" t="inlineStr">
        <is>
          <t>EUR 42M in 2024, growing over time.</t>
        </is>
      </c>
    </row>
    <row r="25">
      <c r="B25" s="22" t="inlineStr">
        <is>
          <t>Finding:</t>
        </is>
      </c>
      <c r="C25" s="11" t="inlineStr">
        <is>
          <t>Already included in operating expenses in CapIQ data.</t>
        </is>
      </c>
    </row>
    <row r="26">
      <c r="B26" s="22" t="inlineStr">
        <is>
          <t>Decision:</t>
        </is>
      </c>
      <c r="C26" s="11" t="inlineStr">
        <is>
          <t>No Adjustment</t>
        </is>
      </c>
    </row>
    <row r="27">
      <c r="B27" s="22" t="inlineStr">
        <is>
          <t>Justification:</t>
        </is>
      </c>
      <c r="C27" s="11" t="inlineStr">
        <is>
          <t>No adjustment needed.</t>
        </is>
      </c>
    </row>
    <row r="29">
      <c r="A29" s="22" t="inlineStr">
        <is>
          <t>5. Goodwill (LPE Acquisition 2022)</t>
        </is>
      </c>
    </row>
    <row r="30">
      <c r="B30" s="22" t="inlineStr">
        <is>
          <t>Description:</t>
        </is>
      </c>
      <c r="C30" s="11" t="inlineStr">
        <is>
          <t>EUR 321M from LPE acquisition.</t>
        </is>
      </c>
    </row>
    <row r="31">
      <c r="B31" s="22" t="inlineStr">
        <is>
          <t>Finding:</t>
        </is>
      </c>
      <c r="C31" s="11" t="inlineStr">
        <is>
          <t>No impairment charges taken.</t>
        </is>
      </c>
    </row>
    <row r="32">
      <c r="B32" s="22" t="inlineStr">
        <is>
          <t>Decision:</t>
        </is>
      </c>
      <c r="C32" s="11" t="inlineStr">
        <is>
          <t>No Adjustment</t>
        </is>
      </c>
    </row>
    <row r="33">
      <c r="B33" s="22" t="inlineStr">
        <is>
          <t>Justification:</t>
        </is>
      </c>
      <c r="C33" s="11" t="inlineStr">
        <is>
          <t>Monitor for future impairment risk.</t>
        </is>
      </c>
    </row>
    <row r="35">
      <c r="A35" s="22" t="inlineStr">
        <is>
          <t>6. Asset Writedowns &amp; Unusual Items</t>
        </is>
      </c>
    </row>
    <row r="36">
      <c r="B36" s="22" t="inlineStr">
        <is>
          <t>Description:</t>
        </is>
      </c>
      <c r="C36" s="11" t="inlineStr">
        <is>
          <t>Small and sporadic.</t>
        </is>
      </c>
    </row>
    <row r="37">
      <c r="B37" s="22" t="inlineStr">
        <is>
          <t>Finding:</t>
        </is>
      </c>
      <c r="C37" s="11" t="inlineStr">
        <is>
          <t>Already classified as non-recurring in standardized IS.</t>
        </is>
      </c>
    </row>
    <row r="38">
      <c r="B38" s="22" t="inlineStr">
        <is>
          <t>Decision:</t>
        </is>
      </c>
      <c r="C38" s="11" t="inlineStr">
        <is>
          <t>No Adjustment</t>
        </is>
      </c>
    </row>
    <row r="39">
      <c r="B39" s="22" t="inlineStr">
        <is>
          <t>Justification:</t>
        </is>
      </c>
      <c r="C39" s="11" t="inlineStr">
        <is>
          <t>No adjustment needed.</t>
        </is>
      </c>
    </row>
    <row r="42">
      <c r="A42" s="32" t="inlineStr">
        <is>
          <t>Summary</t>
        </is>
      </c>
    </row>
    <row r="43">
      <c r="A43" s="11" t="inlineStr">
        <is>
          <t>No material adjustments required. The standardization process already handles all analytical reclassifications. Adjusted tabs pass through from Standardized tabs.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33">
        <f>'Std ASM'!B3</f>
        <v/>
      </c>
      <c r="C3" s="33">
        <f>'Std ASM'!C3</f>
        <v/>
      </c>
      <c r="D3" s="33">
        <f>'Std ASM'!D3</f>
        <v/>
      </c>
      <c r="E3" s="33">
        <f>'Std ASM'!E3</f>
        <v/>
      </c>
      <c r="F3" s="33">
        <f>'Std ASM'!F3</f>
        <v/>
      </c>
      <c r="G3" s="33">
        <f>'Std ASM'!G3</f>
        <v/>
      </c>
    </row>
    <row r="4"/>
    <row r="5">
      <c r="A5" s="11" t="inlineStr">
        <is>
          <t>Operating cash %</t>
        </is>
      </c>
      <c r="B5" s="34">
        <f>'Std ASM'!B5</f>
        <v/>
      </c>
      <c r="C5" s="34">
        <f>'Std ASM'!C5</f>
        <v/>
      </c>
      <c r="D5" s="34">
        <f>'Std ASM'!D5</f>
        <v/>
      </c>
      <c r="E5" s="34">
        <f>'Std ASM'!E5</f>
        <v/>
      </c>
      <c r="F5" s="34">
        <f>'Std ASM'!F5</f>
        <v/>
      </c>
      <c r="G5" s="34">
        <f>'Std ASM'!G5</f>
        <v/>
      </c>
    </row>
    <row r="6">
      <c r="A6" s="11" t="inlineStr">
        <is>
          <t>Tax rate (effective)</t>
        </is>
      </c>
      <c r="B6" s="18">
        <f>'Std ASM'!B6</f>
        <v/>
      </c>
      <c r="C6" s="18">
        <f>'Std ASM'!C6</f>
        <v/>
      </c>
      <c r="D6" s="18">
        <f>'Std ASM'!D6</f>
        <v/>
      </c>
      <c r="E6" s="18">
        <f>'Std ASM'!E6</f>
        <v/>
      </c>
      <c r="F6" s="18">
        <f>'Std ASM'!F6</f>
        <v/>
      </c>
      <c r="G6" s="18">
        <f>'Std ASM'!G6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ASM'!B9</f>
        <v/>
      </c>
      <c r="C9" s="21">
        <f>'Std ASM'!C9</f>
        <v/>
      </c>
      <c r="D9" s="21">
        <f>'Std ASM'!D9</f>
        <v/>
      </c>
      <c r="E9" s="21">
        <f>'Std ASM'!E9</f>
        <v/>
      </c>
      <c r="F9" s="21">
        <f>'Std ASM'!F9</f>
        <v/>
      </c>
      <c r="G9" s="21">
        <f>'Std ASM'!G9</f>
        <v/>
      </c>
    </row>
    <row r="10">
      <c r="A10" s="11" t="inlineStr">
        <is>
          <t>Cost of Sales</t>
        </is>
      </c>
      <c r="B10" s="21">
        <f>'Std ASM'!B10</f>
        <v/>
      </c>
      <c r="C10" s="21">
        <f>'Std ASM'!C10</f>
        <v/>
      </c>
      <c r="D10" s="21">
        <f>'Std ASM'!D10</f>
        <v/>
      </c>
      <c r="E10" s="21">
        <f>'Std ASM'!E10</f>
        <v/>
      </c>
      <c r="F10" s="21">
        <f>'Std ASM'!F10</f>
        <v/>
      </c>
      <c r="G10" s="21">
        <f>'Std ASM'!G10</f>
        <v/>
      </c>
    </row>
    <row r="11">
      <c r="A11" s="22" t="inlineStr">
        <is>
          <t>Gross Profit</t>
        </is>
      </c>
      <c r="B11" s="35">
        <f>'Std ASM'!B11</f>
        <v/>
      </c>
      <c r="C11" s="35">
        <f>'Std ASM'!C11</f>
        <v/>
      </c>
      <c r="D11" s="35">
        <f>'Std ASM'!D11</f>
        <v/>
      </c>
      <c r="E11" s="35">
        <f>'Std ASM'!E11</f>
        <v/>
      </c>
      <c r="F11" s="35">
        <f>'Std ASM'!F11</f>
        <v/>
      </c>
      <c r="G11" s="35">
        <f>'Std ASM'!G11</f>
        <v/>
      </c>
    </row>
    <row r="12">
      <c r="A12" s="11" t="inlineStr">
        <is>
          <t xml:space="preserve">  SG&amp;A</t>
        </is>
      </c>
      <c r="B12" s="21">
        <f>'Std ASM'!B12</f>
        <v/>
      </c>
      <c r="C12" s="21">
        <f>'Std ASM'!C12</f>
        <v/>
      </c>
      <c r="D12" s="21">
        <f>'Std ASM'!D12</f>
        <v/>
      </c>
      <c r="E12" s="21">
        <f>'Std ASM'!E12</f>
        <v/>
      </c>
      <c r="F12" s="21">
        <f>'Std ASM'!F12</f>
        <v/>
      </c>
      <c r="G12" s="21">
        <f>'Std ASM'!G12</f>
        <v/>
      </c>
    </row>
    <row r="13">
      <c r="A13" s="11" t="inlineStr">
        <is>
          <t xml:space="preserve">  R&amp;D</t>
        </is>
      </c>
      <c r="B13" s="21">
        <f>'Std ASM'!B13</f>
        <v/>
      </c>
      <c r="C13" s="21">
        <f>'Std ASM'!C13</f>
        <v/>
      </c>
      <c r="D13" s="21">
        <f>'Std ASM'!D13</f>
        <v/>
      </c>
      <c r="E13" s="21">
        <f>'Std ASM'!E13</f>
        <v/>
      </c>
      <c r="F13" s="21">
        <f>'Std ASM'!F13</f>
        <v/>
      </c>
      <c r="G13" s="21">
        <f>'Std ASM'!G13</f>
        <v/>
      </c>
    </row>
    <row r="14">
      <c r="A14" s="11" t="inlineStr">
        <is>
          <t xml:space="preserve">  Depreciation &amp; Amortization</t>
        </is>
      </c>
      <c r="B14" s="21">
        <f>'Std ASM'!B14</f>
        <v/>
      </c>
      <c r="C14" s="21">
        <f>'Std ASM'!C14</f>
        <v/>
      </c>
      <c r="D14" s="21">
        <f>'Std ASM'!D14</f>
        <v/>
      </c>
      <c r="E14" s="21">
        <f>'Std ASM'!E14</f>
        <v/>
      </c>
      <c r="F14" s="21">
        <f>'Std ASM'!F14</f>
        <v/>
      </c>
      <c r="G14" s="21">
        <f>'Std ASM'!G14</f>
        <v/>
      </c>
    </row>
    <row r="15">
      <c r="A15" s="11" t="inlineStr">
        <is>
          <t xml:space="preserve">  Other Operating Expense</t>
        </is>
      </c>
      <c r="B15" s="21">
        <f>'Std ASM'!B15</f>
        <v/>
      </c>
      <c r="C15" s="21">
        <f>'Std ASM'!C15</f>
        <v/>
      </c>
      <c r="D15" s="21">
        <f>'Std ASM'!D15</f>
        <v/>
      </c>
      <c r="E15" s="21">
        <f>'Std ASM'!E15</f>
        <v/>
      </c>
      <c r="F15" s="21">
        <f>'Std ASM'!F15</f>
        <v/>
      </c>
      <c r="G15" s="21">
        <f>'Std ASM'!G15</f>
        <v/>
      </c>
    </row>
    <row r="16">
      <c r="A16" s="24" t="inlineStr">
        <is>
          <t>Total Operating Expense</t>
        </is>
      </c>
      <c r="B16" s="36">
        <f>'Std ASM'!B16</f>
        <v/>
      </c>
      <c r="C16" s="36">
        <f>'Std ASM'!C16</f>
        <v/>
      </c>
      <c r="D16" s="36">
        <f>'Std ASM'!D16</f>
        <v/>
      </c>
      <c r="E16" s="36">
        <f>'Std ASM'!E16</f>
        <v/>
      </c>
      <c r="F16" s="36">
        <f>'Std ASM'!F16</f>
        <v/>
      </c>
      <c r="G16" s="36">
        <f>'Std ASM'!G16</f>
        <v/>
      </c>
    </row>
    <row r="17">
      <c r="A17" s="24" t="inlineStr">
        <is>
          <t>Recurring Operating Profit</t>
        </is>
      </c>
      <c r="B17" s="36">
        <f>'Std ASM'!B17</f>
        <v/>
      </c>
      <c r="C17" s="36">
        <f>'Std ASM'!C17</f>
        <v/>
      </c>
      <c r="D17" s="36">
        <f>'Std ASM'!D17</f>
        <v/>
      </c>
      <c r="E17" s="36">
        <f>'Std ASM'!E17</f>
        <v/>
      </c>
      <c r="F17" s="36">
        <f>'Std ASM'!F17</f>
        <v/>
      </c>
      <c r="G17" s="36">
        <f>'Std ASM'!G17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ASM'!B20</f>
        <v/>
      </c>
      <c r="C20" s="21">
        <f>'Std ASM'!C20</f>
        <v/>
      </c>
      <c r="D20" s="21">
        <f>'Std ASM'!D20</f>
        <v/>
      </c>
      <c r="E20" s="21">
        <f>'Std ASM'!E20</f>
        <v/>
      </c>
      <c r="F20" s="21">
        <f>'Std ASM'!F20</f>
        <v/>
      </c>
      <c r="G20" s="21">
        <f>'Std ASM'!G20</f>
        <v/>
      </c>
    </row>
    <row r="21">
      <c r="A21" s="11" t="inlineStr">
        <is>
          <t xml:space="preserve">  Gain/Loss on Sale of Assets</t>
        </is>
      </c>
      <c r="B21" s="21">
        <f>'Std ASM'!B21</f>
        <v/>
      </c>
      <c r="C21" s="21">
        <f>'Std ASM'!C21</f>
        <v/>
      </c>
      <c r="D21" s="21">
        <f>'Std ASM'!D21</f>
        <v/>
      </c>
      <c r="E21" s="21">
        <f>'Std ASM'!E21</f>
        <v/>
      </c>
      <c r="F21" s="21">
        <f>'Std ASM'!F21</f>
        <v/>
      </c>
      <c r="G21" s="21">
        <f>'Std ASM'!G21</f>
        <v/>
      </c>
    </row>
    <row r="22">
      <c r="A22" s="11" t="inlineStr">
        <is>
          <t xml:space="preserve">  Asset Writedown</t>
        </is>
      </c>
      <c r="B22" s="21">
        <f>'Std ASM'!B22</f>
        <v/>
      </c>
      <c r="C22" s="21">
        <f>'Std ASM'!C22</f>
        <v/>
      </c>
      <c r="D22" s="21">
        <f>'Std ASM'!D22</f>
        <v/>
      </c>
      <c r="E22" s="21">
        <f>'Std ASM'!E22</f>
        <v/>
      </c>
      <c r="F22" s="21">
        <f>'Std ASM'!F22</f>
        <v/>
      </c>
      <c r="G22" s="21">
        <f>'Std ASM'!G22</f>
        <v/>
      </c>
    </row>
    <row r="23">
      <c r="A23" s="11" t="inlineStr">
        <is>
          <t xml:space="preserve">  Other Unusual Items</t>
        </is>
      </c>
      <c r="B23" s="21">
        <f>'Std ASM'!B23</f>
        <v/>
      </c>
      <c r="C23" s="21">
        <f>'Std ASM'!C23</f>
        <v/>
      </c>
      <c r="D23" s="21">
        <f>'Std ASM'!D23</f>
        <v/>
      </c>
      <c r="E23" s="21">
        <f>'Std ASM'!E23</f>
        <v/>
      </c>
      <c r="F23" s="21">
        <f>'Std ASM'!F23</f>
        <v/>
      </c>
      <c r="G23" s="21">
        <f>'Std ASM'!G23</f>
        <v/>
      </c>
    </row>
    <row r="24">
      <c r="A24" s="22" t="inlineStr">
        <is>
          <t>Total Non-recurring</t>
        </is>
      </c>
      <c r="B24" s="35">
        <f>'Std ASM'!B24</f>
        <v/>
      </c>
      <c r="C24" s="35">
        <f>'Std ASM'!C24</f>
        <v/>
      </c>
      <c r="D24" s="35">
        <f>'Std ASM'!D24</f>
        <v/>
      </c>
      <c r="E24" s="35">
        <f>'Std ASM'!E24</f>
        <v/>
      </c>
      <c r="F24" s="35">
        <f>'Std ASM'!F24</f>
        <v/>
      </c>
      <c r="G24" s="35">
        <f>'Std ASM'!G24</f>
        <v/>
      </c>
    </row>
    <row r="25">
      <c r="A25" s="24" t="inlineStr">
        <is>
          <t>EBIT</t>
        </is>
      </c>
      <c r="B25" s="36">
        <f>'Std ASM'!B25</f>
        <v/>
      </c>
      <c r="C25" s="36">
        <f>'Std ASM'!C25</f>
        <v/>
      </c>
      <c r="D25" s="36">
        <f>'Std ASM'!D25</f>
        <v/>
      </c>
      <c r="E25" s="36">
        <f>'Std ASM'!E25</f>
        <v/>
      </c>
      <c r="F25" s="36">
        <f>'Std ASM'!F25</f>
        <v/>
      </c>
      <c r="G25" s="36">
        <f>'Std ASM'!G25</f>
        <v/>
      </c>
    </row>
    <row r="26"/>
    <row r="27">
      <c r="A27" s="11" t="inlineStr">
        <is>
          <t xml:space="preserve">  Investment Income (Equity Method)</t>
        </is>
      </c>
      <c r="B27" s="21">
        <f>'Std ASM'!B27</f>
        <v/>
      </c>
      <c r="C27" s="21">
        <f>'Std ASM'!C27</f>
        <v/>
      </c>
      <c r="D27" s="21">
        <f>'Std ASM'!D27</f>
        <v/>
      </c>
      <c r="E27" s="21">
        <f>'Std ASM'!E27</f>
        <v/>
      </c>
      <c r="F27" s="21">
        <f>'Std ASM'!F27</f>
        <v/>
      </c>
      <c r="G27" s="21">
        <f>'Std ASM'!G27</f>
        <v/>
      </c>
    </row>
    <row r="28">
      <c r="A28" s="11" t="inlineStr">
        <is>
          <t xml:space="preserve">  Interest Income</t>
        </is>
      </c>
      <c r="B28" s="21">
        <f>'Std ASM'!B28</f>
        <v/>
      </c>
      <c r="C28" s="21">
        <f>'Std ASM'!C28</f>
        <v/>
      </c>
      <c r="D28" s="21">
        <f>'Std ASM'!D28</f>
        <v/>
      </c>
      <c r="E28" s="21">
        <f>'Std ASM'!E28</f>
        <v/>
      </c>
      <c r="F28" s="21">
        <f>'Std ASM'!F28</f>
        <v/>
      </c>
      <c r="G28" s="21">
        <f>'Std ASM'!G28</f>
        <v/>
      </c>
    </row>
    <row r="29">
      <c r="A29" s="11" t="inlineStr">
        <is>
          <t xml:space="preserve">  Interest Expense</t>
        </is>
      </c>
      <c r="B29" s="21">
        <f>'Std ASM'!B29</f>
        <v/>
      </c>
      <c r="C29" s="21">
        <f>'Std ASM'!C29</f>
        <v/>
      </c>
      <c r="D29" s="21">
        <f>'Std ASM'!D29</f>
        <v/>
      </c>
      <c r="E29" s="21">
        <f>'Std ASM'!E29</f>
        <v/>
      </c>
      <c r="F29" s="21">
        <f>'Std ASM'!F29</f>
        <v/>
      </c>
      <c r="G29" s="21">
        <f>'Std ASM'!G29</f>
        <v/>
      </c>
    </row>
    <row r="30">
      <c r="A30" s="11" t="inlineStr">
        <is>
          <t xml:space="preserve">  FX Gains/(Losses)</t>
        </is>
      </c>
      <c r="B30" s="21">
        <f>'Std ASM'!B30</f>
        <v/>
      </c>
      <c r="C30" s="21">
        <f>'Std ASM'!C30</f>
        <v/>
      </c>
      <c r="D30" s="21">
        <f>'Std ASM'!D30</f>
        <v/>
      </c>
      <c r="E30" s="21">
        <f>'Std ASM'!E30</f>
        <v/>
      </c>
      <c r="F30" s="21">
        <f>'Std ASM'!F30</f>
        <v/>
      </c>
      <c r="G30" s="21">
        <f>'Std ASM'!G30</f>
        <v/>
      </c>
    </row>
    <row r="31">
      <c r="A31" s="22" t="inlineStr">
        <is>
          <t>Profit Before Tax</t>
        </is>
      </c>
      <c r="B31" s="35">
        <f>'Std ASM'!B31</f>
        <v/>
      </c>
      <c r="C31" s="35">
        <f>'Std ASM'!C31</f>
        <v/>
      </c>
      <c r="D31" s="35">
        <f>'Std ASM'!D31</f>
        <v/>
      </c>
      <c r="E31" s="35">
        <f>'Std ASM'!E31</f>
        <v/>
      </c>
      <c r="F31" s="35">
        <f>'Std ASM'!F31</f>
        <v/>
      </c>
      <c r="G31" s="35">
        <f>'Std ASM'!G31</f>
        <v/>
      </c>
    </row>
    <row r="32">
      <c r="A32" s="11" t="inlineStr">
        <is>
          <t xml:space="preserve">  Tax Expense</t>
        </is>
      </c>
      <c r="B32" s="21">
        <f>'Std ASM'!B32</f>
        <v/>
      </c>
      <c r="C32" s="21">
        <f>'Std ASM'!C32</f>
        <v/>
      </c>
      <c r="D32" s="21">
        <f>'Std ASM'!D32</f>
        <v/>
      </c>
      <c r="E32" s="21">
        <f>'Std ASM'!E32</f>
        <v/>
      </c>
      <c r="F32" s="21">
        <f>'Std ASM'!F32</f>
        <v/>
      </c>
      <c r="G32" s="21">
        <f>'Std ASM'!G32</f>
        <v/>
      </c>
    </row>
    <row r="33">
      <c r="A33" s="26" t="inlineStr">
        <is>
          <t>Net Income</t>
        </is>
      </c>
      <c r="B33" s="37">
        <f>'Std ASM'!B33</f>
        <v/>
      </c>
      <c r="C33" s="37">
        <f>'Std ASM'!C33</f>
        <v/>
      </c>
      <c r="D33" s="37">
        <f>'Std ASM'!D33</f>
        <v/>
      </c>
      <c r="E33" s="37">
        <f>'Std ASM'!E33</f>
        <v/>
      </c>
      <c r="F33" s="37">
        <f>'Std ASM'!F33</f>
        <v/>
      </c>
      <c r="G33" s="37">
        <f>'Std ASM'!G33</f>
        <v/>
      </c>
    </row>
    <row r="34"/>
    <row r="35">
      <c r="A35" s="11" t="inlineStr">
        <is>
          <t>Effective Tax Rate</t>
        </is>
      </c>
      <c r="B35" s="18">
        <f>'Std ASM'!B35</f>
        <v/>
      </c>
      <c r="C35" s="18">
        <f>'Std ASM'!C35</f>
        <v/>
      </c>
      <c r="D35" s="18">
        <f>'Std ASM'!D35</f>
        <v/>
      </c>
      <c r="E35" s="18">
        <f>'Std ASM'!E35</f>
        <v/>
      </c>
      <c r="F35" s="18">
        <f>'Std ASM'!F35</f>
        <v/>
      </c>
      <c r="G35" s="18">
        <f>'Std ASM'!G35</f>
        <v/>
      </c>
    </row>
    <row r="36">
      <c r="A36" s="22" t="inlineStr">
        <is>
          <t>NOPAT</t>
        </is>
      </c>
      <c r="B36" s="35">
        <f>'Std ASM'!B36</f>
        <v/>
      </c>
      <c r="C36" s="35">
        <f>'Std ASM'!C36</f>
        <v/>
      </c>
      <c r="D36" s="35">
        <f>'Std ASM'!D36</f>
        <v/>
      </c>
      <c r="E36" s="35">
        <f>'Std ASM'!E36</f>
        <v/>
      </c>
      <c r="F36" s="35">
        <f>'Std ASM'!F36</f>
        <v/>
      </c>
      <c r="G36" s="35">
        <f>'Std ASM'!G36</f>
        <v/>
      </c>
    </row>
    <row r="37"/>
    <row r="38">
      <c r="A38" s="11" t="inlineStr">
        <is>
          <t>Shares Outstanding (diluted)</t>
        </is>
      </c>
      <c r="B38" s="21">
        <f>'Std ASM'!B38</f>
        <v/>
      </c>
      <c r="C38" s="21">
        <f>'Std ASM'!C38</f>
        <v/>
      </c>
      <c r="D38" s="21">
        <f>'Std ASM'!D38</f>
        <v/>
      </c>
      <c r="E38" s="21">
        <f>'Std ASM'!E38</f>
        <v/>
      </c>
      <c r="F38" s="21">
        <f>'Std ASM'!F38</f>
        <v/>
      </c>
      <c r="G38" s="21">
        <f>'Std ASM'!G38</f>
        <v/>
      </c>
    </row>
    <row r="39">
      <c r="A39" s="11" t="inlineStr">
        <is>
          <t>EPS (diluted)</t>
        </is>
      </c>
      <c r="B39" s="30">
        <f>'Std ASM'!B39</f>
        <v/>
      </c>
      <c r="C39" s="30">
        <f>'Std ASM'!C39</f>
        <v/>
      </c>
      <c r="D39" s="30">
        <f>'Std ASM'!D39</f>
        <v/>
      </c>
      <c r="E39" s="30">
        <f>'Std ASM'!E39</f>
        <v/>
      </c>
      <c r="F39" s="30">
        <f>'Std ASM'!F39</f>
        <v/>
      </c>
      <c r="G39" s="30">
        <f>'Std ASM'!G39</f>
        <v/>
      </c>
    </row>
    <row r="40">
      <c r="A40" s="11" t="inlineStr">
        <is>
          <t>Dividends per Share</t>
        </is>
      </c>
      <c r="B40" s="30">
        <f>'Std ASM'!B40</f>
        <v/>
      </c>
      <c r="C40" s="30">
        <f>'Std ASM'!C40</f>
        <v/>
      </c>
      <c r="D40" s="30">
        <f>'Std ASM'!D40</f>
        <v/>
      </c>
      <c r="E40" s="30">
        <f>'Std ASM'!E40</f>
        <v/>
      </c>
      <c r="F40" s="30">
        <f>'Std ASM'!F40</f>
        <v/>
      </c>
      <c r="G40" s="30">
        <f>'Std ASM'!G40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ASM'!B45</f>
        <v/>
      </c>
      <c r="C45" s="21">
        <f>'Std ASM'!C45</f>
        <v/>
      </c>
      <c r="D45" s="21">
        <f>'Std ASM'!D45</f>
        <v/>
      </c>
      <c r="E45" s="21">
        <f>'Std ASM'!E45</f>
        <v/>
      </c>
      <c r="F45" s="21">
        <f>'Std ASM'!F45</f>
        <v/>
      </c>
      <c r="G45" s="21">
        <f>'Std ASM'!G45</f>
        <v/>
      </c>
    </row>
    <row r="46">
      <c r="A46" s="11" t="inlineStr">
        <is>
          <t xml:space="preserve">  + Other Receivables</t>
        </is>
      </c>
      <c r="B46" s="21">
        <f>'Std ASM'!B46</f>
        <v/>
      </c>
      <c r="C46" s="21">
        <f>'Std ASM'!C46</f>
        <v/>
      </c>
      <c r="D46" s="21">
        <f>'Std ASM'!D46</f>
        <v/>
      </c>
      <c r="E46" s="21">
        <f>'Std ASM'!E46</f>
        <v/>
      </c>
      <c r="F46" s="21">
        <f>'Std ASM'!F46</f>
        <v/>
      </c>
      <c r="G46" s="21">
        <f>'Std ASM'!G46</f>
        <v/>
      </c>
    </row>
    <row r="47">
      <c r="A47" s="11" t="inlineStr">
        <is>
          <t xml:space="preserve">  + Inventories</t>
        </is>
      </c>
      <c r="B47" s="21">
        <f>'Std ASM'!B47</f>
        <v/>
      </c>
      <c r="C47" s="21">
        <f>'Std ASM'!C47</f>
        <v/>
      </c>
      <c r="D47" s="21">
        <f>'Std ASM'!D47</f>
        <v/>
      </c>
      <c r="E47" s="21">
        <f>'Std ASM'!E47</f>
        <v/>
      </c>
      <c r="F47" s="21">
        <f>'Std ASM'!F47</f>
        <v/>
      </c>
      <c r="G47" s="21">
        <f>'Std ASM'!G47</f>
        <v/>
      </c>
    </row>
    <row r="48">
      <c r="A48" s="11" t="inlineStr">
        <is>
          <t xml:space="preserve">  + Prepaid &amp; Other CA</t>
        </is>
      </c>
      <c r="B48" s="21">
        <f>'Std ASM'!B48</f>
        <v/>
      </c>
      <c r="C48" s="21">
        <f>'Std ASM'!C48</f>
        <v/>
      </c>
      <c r="D48" s="21">
        <f>'Std ASM'!D48</f>
        <v/>
      </c>
      <c r="E48" s="21">
        <f>'Std ASM'!E48</f>
        <v/>
      </c>
      <c r="F48" s="21">
        <f>'Std ASM'!F48</f>
        <v/>
      </c>
      <c r="G48" s="21">
        <f>'Std ASM'!G48</f>
        <v/>
      </c>
    </row>
    <row r="49">
      <c r="A49" s="11" t="inlineStr">
        <is>
          <t xml:space="preserve">  - Accounts Payable</t>
        </is>
      </c>
      <c r="B49" s="21">
        <f>'Std ASM'!B49</f>
        <v/>
      </c>
      <c r="C49" s="21">
        <f>'Std ASM'!C49</f>
        <v/>
      </c>
      <c r="D49" s="21">
        <f>'Std ASM'!D49</f>
        <v/>
      </c>
      <c r="E49" s="21">
        <f>'Std ASM'!E49</f>
        <v/>
      </c>
      <c r="F49" s="21">
        <f>'Std ASM'!F49</f>
        <v/>
      </c>
      <c r="G49" s="21">
        <f>'Std ASM'!G49</f>
        <v/>
      </c>
    </row>
    <row r="50">
      <c r="A50" s="11" t="inlineStr">
        <is>
          <t xml:space="preserve">  - Accrued Expenses</t>
        </is>
      </c>
      <c r="B50" s="21">
        <f>'Std ASM'!B50</f>
        <v/>
      </c>
      <c r="C50" s="21">
        <f>'Std ASM'!C50</f>
        <v/>
      </c>
      <c r="D50" s="21">
        <f>'Std ASM'!D50</f>
        <v/>
      </c>
      <c r="E50" s="21">
        <f>'Std ASM'!E50</f>
        <v/>
      </c>
      <c r="F50" s="21">
        <f>'Std ASM'!F50</f>
        <v/>
      </c>
      <c r="G50" s="21">
        <f>'Std ASM'!G50</f>
        <v/>
      </c>
    </row>
    <row r="51">
      <c r="A51" s="11" t="inlineStr">
        <is>
          <t xml:space="preserve">  - Unearned Revenue / Contract Liabilities</t>
        </is>
      </c>
      <c r="B51" s="21">
        <f>'Std ASM'!B51</f>
        <v/>
      </c>
      <c r="C51" s="21">
        <f>'Std ASM'!C51</f>
        <v/>
      </c>
      <c r="D51" s="21">
        <f>'Std ASM'!D51</f>
        <v/>
      </c>
      <c r="E51" s="21">
        <f>'Std ASM'!E51</f>
        <v/>
      </c>
      <c r="F51" s="21">
        <f>'Std ASM'!F51</f>
        <v/>
      </c>
      <c r="G51" s="21">
        <f>'Std ASM'!G51</f>
        <v/>
      </c>
    </row>
    <row r="52">
      <c r="A52" s="11" t="inlineStr">
        <is>
          <t xml:space="preserve">  - Income Taxes Payable</t>
        </is>
      </c>
      <c r="B52" s="21">
        <f>'Std ASM'!B52</f>
        <v/>
      </c>
      <c r="C52" s="21">
        <f>'Std ASM'!C52</f>
        <v/>
      </c>
      <c r="D52" s="21">
        <f>'Std ASM'!D52</f>
        <v/>
      </c>
      <c r="E52" s="21">
        <f>'Std ASM'!E52</f>
        <v/>
      </c>
      <c r="F52" s="21">
        <f>'Std ASM'!F52</f>
        <v/>
      </c>
      <c r="G52" s="21">
        <f>'Std ASM'!G52</f>
        <v/>
      </c>
    </row>
    <row r="53">
      <c r="A53" s="11" t="inlineStr">
        <is>
          <t xml:space="preserve">  - Other Current Liabilities</t>
        </is>
      </c>
      <c r="B53" s="21">
        <f>'Std ASM'!B53</f>
        <v/>
      </c>
      <c r="C53" s="21">
        <f>'Std ASM'!C53</f>
        <v/>
      </c>
      <c r="D53" s="21">
        <f>'Std ASM'!D53</f>
        <v/>
      </c>
      <c r="E53" s="21">
        <f>'Std ASM'!E53</f>
        <v/>
      </c>
      <c r="F53" s="21">
        <f>'Std ASM'!F53</f>
        <v/>
      </c>
      <c r="G53" s="21">
        <f>'Std ASM'!G53</f>
        <v/>
      </c>
    </row>
    <row r="54">
      <c r="A54" s="24">
        <f> Operating Working Capital</f>
        <v/>
      </c>
      <c r="B54" s="36">
        <f>'Std ASM'!B54</f>
        <v/>
      </c>
      <c r="C54" s="36">
        <f>'Std ASM'!C54</f>
        <v/>
      </c>
      <c r="D54" s="36">
        <f>'Std ASM'!D54</f>
        <v/>
      </c>
      <c r="E54" s="36">
        <f>'Std ASM'!E54</f>
        <v/>
      </c>
      <c r="F54" s="36">
        <f>'Std ASM'!F54</f>
        <v/>
      </c>
      <c r="G54" s="36">
        <f>'Std ASM'!G54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ASM'!B57</f>
        <v/>
      </c>
      <c r="C57" s="21">
        <f>'Std ASM'!C57</f>
        <v/>
      </c>
      <c r="D57" s="21">
        <f>'Std ASM'!D57</f>
        <v/>
      </c>
      <c r="E57" s="21">
        <f>'Std ASM'!E57</f>
        <v/>
      </c>
      <c r="F57" s="21">
        <f>'Std ASM'!F57</f>
        <v/>
      </c>
      <c r="G57" s="21">
        <f>'Std ASM'!G57</f>
        <v/>
      </c>
    </row>
    <row r="58">
      <c r="A58" s="11" t="inlineStr">
        <is>
          <t xml:space="preserve">  + Goodwill</t>
        </is>
      </c>
      <c r="B58" s="21">
        <f>'Std ASM'!B58</f>
        <v/>
      </c>
      <c r="C58" s="21">
        <f>'Std ASM'!C58</f>
        <v/>
      </c>
      <c r="D58" s="21">
        <f>'Std ASM'!D58</f>
        <v/>
      </c>
      <c r="E58" s="21">
        <f>'Std ASM'!E58</f>
        <v/>
      </c>
      <c r="F58" s="21">
        <f>'Std ASM'!F58</f>
        <v/>
      </c>
      <c r="G58" s="21">
        <f>'Std ASM'!G58</f>
        <v/>
      </c>
    </row>
    <row r="59">
      <c r="A59" s="11" t="inlineStr">
        <is>
          <t xml:space="preserve">  + Other Intangible Assets</t>
        </is>
      </c>
      <c r="B59" s="21">
        <f>'Std ASM'!B59</f>
        <v/>
      </c>
      <c r="C59" s="21">
        <f>'Std ASM'!C59</f>
        <v/>
      </c>
      <c r="D59" s="21">
        <f>'Std ASM'!D59</f>
        <v/>
      </c>
      <c r="E59" s="21">
        <f>'Std ASM'!E59</f>
        <v/>
      </c>
      <c r="F59" s="21">
        <f>'Std ASM'!F59</f>
        <v/>
      </c>
      <c r="G59" s="21">
        <f>'Std ASM'!G59</f>
        <v/>
      </c>
    </row>
    <row r="60">
      <c r="A60" s="11" t="inlineStr">
        <is>
          <t xml:space="preserve">  + Deferred Tax Assets</t>
        </is>
      </c>
      <c r="B60" s="21">
        <f>'Std ASM'!B60</f>
        <v/>
      </c>
      <c r="C60" s="21">
        <f>'Std ASM'!C60</f>
        <v/>
      </c>
      <c r="D60" s="21">
        <f>'Std ASM'!D60</f>
        <v/>
      </c>
      <c r="E60" s="21">
        <f>'Std ASM'!E60</f>
        <v/>
      </c>
      <c r="F60" s="21">
        <f>'Std ASM'!F60</f>
        <v/>
      </c>
      <c r="G60" s="21">
        <f>'Std ASM'!G60</f>
        <v/>
      </c>
    </row>
    <row r="61">
      <c r="A61" s="11" t="inlineStr">
        <is>
          <t xml:space="preserve">  + Deferred Charges &amp; LT Intangibles</t>
        </is>
      </c>
      <c r="B61" s="21">
        <f>'Std ASM'!B61</f>
        <v/>
      </c>
      <c r="C61" s="21">
        <f>'Std ASM'!C61</f>
        <v/>
      </c>
      <c r="D61" s="21">
        <f>'Std ASM'!D61</f>
        <v/>
      </c>
      <c r="E61" s="21">
        <f>'Std ASM'!E61</f>
        <v/>
      </c>
      <c r="F61" s="21">
        <f>'Std ASM'!F61</f>
        <v/>
      </c>
      <c r="G61" s="21">
        <f>'Std ASM'!G61</f>
        <v/>
      </c>
    </row>
    <row r="62">
      <c r="A62" s="11" t="inlineStr">
        <is>
          <t xml:space="preserve">  + Other Non-Current Assets</t>
        </is>
      </c>
      <c r="B62" s="21">
        <f>'Std ASM'!B62</f>
        <v/>
      </c>
      <c r="C62" s="21">
        <f>'Std ASM'!C62</f>
        <v/>
      </c>
      <c r="D62" s="21">
        <f>'Std ASM'!D62</f>
        <v/>
      </c>
      <c r="E62" s="21">
        <f>'Std ASM'!E62</f>
        <v/>
      </c>
      <c r="F62" s="21">
        <f>'Std ASM'!F62</f>
        <v/>
      </c>
      <c r="G62" s="21">
        <f>'Std ASM'!G62</f>
        <v/>
      </c>
    </row>
    <row r="63">
      <c r="A63" s="11" t="inlineStr">
        <is>
          <t xml:space="preserve">  - Deferred Tax Liabilities</t>
        </is>
      </c>
      <c r="B63" s="21">
        <f>'Std ASM'!B63</f>
        <v/>
      </c>
      <c r="C63" s="21">
        <f>'Std ASM'!C63</f>
        <v/>
      </c>
      <c r="D63" s="21">
        <f>'Std ASM'!D63</f>
        <v/>
      </c>
      <c r="E63" s="21">
        <f>'Std ASM'!E63</f>
        <v/>
      </c>
      <c r="F63" s="21">
        <f>'Std ASM'!F63</f>
        <v/>
      </c>
      <c r="G63" s="21">
        <f>'Std ASM'!G63</f>
        <v/>
      </c>
    </row>
    <row r="64">
      <c r="A64" s="11" t="inlineStr">
        <is>
          <t xml:space="preserve">  - Other Non-Current Liabilities</t>
        </is>
      </c>
      <c r="B64" s="21">
        <f>'Std ASM'!B64</f>
        <v/>
      </c>
      <c r="C64" s="21">
        <f>'Std ASM'!C64</f>
        <v/>
      </c>
      <c r="D64" s="21">
        <f>'Std ASM'!D64</f>
        <v/>
      </c>
      <c r="E64" s="21">
        <f>'Std ASM'!E64</f>
        <v/>
      </c>
      <c r="F64" s="21">
        <f>'Std ASM'!F64</f>
        <v/>
      </c>
      <c r="G64" s="21">
        <f>'Std ASM'!G64</f>
        <v/>
      </c>
    </row>
    <row r="65">
      <c r="A65" s="24">
        <f> Net Non-Current Operating Assets</f>
        <v/>
      </c>
      <c r="B65" s="36">
        <f>'Std ASM'!B65</f>
        <v/>
      </c>
      <c r="C65" s="36">
        <f>'Std ASM'!C65</f>
        <v/>
      </c>
      <c r="D65" s="36">
        <f>'Std ASM'!D65</f>
        <v/>
      </c>
      <c r="E65" s="36">
        <f>'Std ASM'!E65</f>
        <v/>
      </c>
      <c r="F65" s="36">
        <f>'Std ASM'!F65</f>
        <v/>
      </c>
      <c r="G65" s="36">
        <f>'Std ASM'!G65</f>
        <v/>
      </c>
    </row>
    <row r="66"/>
    <row r="67">
      <c r="A67" s="24">
        <f> Net Operating Assets</f>
        <v/>
      </c>
      <c r="B67" s="36">
        <f>'Std ASM'!B67</f>
        <v/>
      </c>
      <c r="C67" s="36">
        <f>'Std ASM'!C67</f>
        <v/>
      </c>
      <c r="D67" s="36">
        <f>'Std ASM'!D67</f>
        <v/>
      </c>
      <c r="E67" s="36">
        <f>'Std ASM'!E67</f>
        <v/>
      </c>
      <c r="F67" s="36">
        <f>'Std ASM'!F67</f>
        <v/>
      </c>
      <c r="G67" s="36">
        <f>'Std ASM'!G67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ASM'!B70</f>
        <v/>
      </c>
      <c r="C70" s="21">
        <f>'Std ASM'!C70</f>
        <v/>
      </c>
      <c r="D70" s="21">
        <f>'Std ASM'!D70</f>
        <v/>
      </c>
      <c r="E70" s="21">
        <f>'Std ASM'!E70</f>
        <v/>
      </c>
      <c r="F70" s="21">
        <f>'Std ASM'!F70</f>
        <v/>
      </c>
      <c r="G70" s="21">
        <f>'Std ASM'!G70</f>
        <v/>
      </c>
    </row>
    <row r="71">
      <c r="A71" s="24">
        <f> Total Investment Assets</f>
        <v/>
      </c>
      <c r="B71" s="36">
        <f>'Std ASM'!B71</f>
        <v/>
      </c>
      <c r="C71" s="36">
        <f>'Std ASM'!C71</f>
        <v/>
      </c>
      <c r="D71" s="36">
        <f>'Std ASM'!D71</f>
        <v/>
      </c>
      <c r="E71" s="36">
        <f>'Std ASM'!E71</f>
        <v/>
      </c>
      <c r="F71" s="36">
        <f>'Std ASM'!F71</f>
        <v/>
      </c>
      <c r="G71" s="36">
        <f>'Std ASM'!G71</f>
        <v/>
      </c>
    </row>
    <row r="72"/>
    <row r="73">
      <c r="A73" s="26">
        <f> Business Assets</f>
        <v/>
      </c>
      <c r="B73" s="37">
        <f>'Std ASM'!B73</f>
        <v/>
      </c>
      <c r="C73" s="37">
        <f>'Std ASM'!C73</f>
        <v/>
      </c>
      <c r="D73" s="37">
        <f>'Std ASM'!D73</f>
        <v/>
      </c>
      <c r="E73" s="37">
        <f>'Std ASM'!E73</f>
        <v/>
      </c>
      <c r="F73" s="37">
        <f>'Std ASM'!F73</f>
        <v/>
      </c>
      <c r="G73" s="37">
        <f>'Std ASM'!G73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ASM'!B76</f>
        <v/>
      </c>
      <c r="C76" s="21">
        <f>'Std ASM'!C76</f>
        <v/>
      </c>
      <c r="D76" s="21">
        <f>'Std ASM'!D76</f>
        <v/>
      </c>
      <c r="E76" s="21">
        <f>'Std ASM'!E76</f>
        <v/>
      </c>
      <c r="F76" s="21">
        <f>'Std ASM'!F76</f>
        <v/>
      </c>
      <c r="G76" s="21">
        <f>'Std ASM'!G76</f>
        <v/>
      </c>
    </row>
    <row r="77">
      <c r="A77" s="11" t="inlineStr">
        <is>
          <t xml:space="preserve">  + Lease Liabilities (non-current)</t>
        </is>
      </c>
      <c r="B77" s="21">
        <f>'Std ASM'!B77</f>
        <v/>
      </c>
      <c r="C77" s="21">
        <f>'Std ASM'!C77</f>
        <v/>
      </c>
      <c r="D77" s="21">
        <f>'Std ASM'!D77</f>
        <v/>
      </c>
      <c r="E77" s="21">
        <f>'Std ASM'!E77</f>
        <v/>
      </c>
      <c r="F77" s="21">
        <f>'Std ASM'!F77</f>
        <v/>
      </c>
      <c r="G77" s="21">
        <f>'Std ASM'!G77</f>
        <v/>
      </c>
    </row>
    <row r="78">
      <c r="A78" s="24">
        <f> Total Debt</f>
        <v/>
      </c>
      <c r="B78" s="36">
        <f>'Std ASM'!B78</f>
        <v/>
      </c>
      <c r="C78" s="36">
        <f>'Std ASM'!C78</f>
        <v/>
      </c>
      <c r="D78" s="36">
        <f>'Std ASM'!D78</f>
        <v/>
      </c>
      <c r="E78" s="36">
        <f>'Std ASM'!E78</f>
        <v/>
      </c>
      <c r="F78" s="36">
        <f>'Std ASM'!F78</f>
        <v/>
      </c>
      <c r="G78" s="36">
        <f>'Std ASM'!G78</f>
        <v/>
      </c>
    </row>
    <row r="79">
      <c r="A79" s="11" t="inlineStr">
        <is>
          <t xml:space="preserve">  Cash &amp; Equivalents</t>
        </is>
      </c>
      <c r="B79" s="21">
        <f>'Std ASM'!B79</f>
        <v/>
      </c>
      <c r="C79" s="21">
        <f>'Std ASM'!C79</f>
        <v/>
      </c>
      <c r="D79" s="21">
        <f>'Std ASM'!D79</f>
        <v/>
      </c>
      <c r="E79" s="21">
        <f>'Std ASM'!E79</f>
        <v/>
      </c>
      <c r="F79" s="21">
        <f>'Std ASM'!F79</f>
        <v/>
      </c>
      <c r="G79" s="21">
        <f>'Std ASM'!G79</f>
        <v/>
      </c>
    </row>
    <row r="80">
      <c r="A80" s="22">
        <f> Net Debt</f>
        <v/>
      </c>
      <c r="B80" s="35">
        <f>'Std ASM'!B80</f>
        <v/>
      </c>
      <c r="C80" s="35">
        <f>'Std ASM'!C80</f>
        <v/>
      </c>
      <c r="D80" s="35">
        <f>'Std ASM'!D80</f>
        <v/>
      </c>
      <c r="E80" s="35">
        <f>'Std ASM'!E80</f>
        <v/>
      </c>
      <c r="F80" s="35">
        <f>'Std ASM'!F80</f>
        <v/>
      </c>
      <c r="G80" s="35">
        <f>'Std ASM'!G80</f>
        <v/>
      </c>
    </row>
    <row r="81">
      <c r="A81" s="11" t="inlineStr">
        <is>
          <t>Group Equity</t>
        </is>
      </c>
      <c r="B81" s="21">
        <f>'Std ASM'!B81</f>
        <v/>
      </c>
      <c r="C81" s="21">
        <f>'Std ASM'!C81</f>
        <v/>
      </c>
      <c r="D81" s="21">
        <f>'Std ASM'!D81</f>
        <v/>
      </c>
      <c r="E81" s="21">
        <f>'Std ASM'!E81</f>
        <v/>
      </c>
      <c r="F81" s="21">
        <f>'Std ASM'!F81</f>
        <v/>
      </c>
      <c r="G81" s="21">
        <f>'Std ASM'!G81</f>
        <v/>
      </c>
    </row>
    <row r="82">
      <c r="A82" s="26">
        <f> Invested Capital</f>
        <v/>
      </c>
      <c r="B82" s="37">
        <f>'Std ASM'!B82</f>
        <v/>
      </c>
      <c r="C82" s="37">
        <f>'Std ASM'!C82</f>
        <v/>
      </c>
      <c r="D82" s="37">
        <f>'Std ASM'!D82</f>
        <v/>
      </c>
      <c r="E82" s="37">
        <f>'Std ASM'!E82</f>
        <v/>
      </c>
      <c r="F82" s="37">
        <f>'Std ASM'!F82</f>
        <v/>
      </c>
      <c r="G82" s="37">
        <f>'Std ASM'!G82</f>
        <v/>
      </c>
    </row>
    <row r="83">
      <c r="A83" s="22" t="inlineStr">
        <is>
          <t>BS Check (should = 0)</t>
        </is>
      </c>
      <c r="B83" s="35">
        <f>'Std ASM'!B83</f>
        <v/>
      </c>
      <c r="C83" s="35">
        <f>'Std ASM'!C83</f>
        <v/>
      </c>
      <c r="D83" s="35">
        <f>'Std ASM'!D83</f>
        <v/>
      </c>
      <c r="E83" s="35">
        <f>'Std ASM'!E83</f>
        <v/>
      </c>
      <c r="F83" s="35">
        <f>'Std ASM'!F83</f>
        <v/>
      </c>
      <c r="G83" s="35">
        <f>'Std ASM'!G83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ASM'!B87</f>
        <v/>
      </c>
      <c r="C87" s="21">
        <f>'Std ASM'!C87</f>
        <v/>
      </c>
      <c r="D87" s="21">
        <f>'Std ASM'!D87</f>
        <v/>
      </c>
      <c r="E87" s="21">
        <f>'Std ASM'!E87</f>
        <v/>
      </c>
      <c r="F87" s="21">
        <f>'Std ASM'!F87</f>
        <v/>
      </c>
      <c r="G87" s="21">
        <f>'Std ASM'!G87</f>
        <v/>
      </c>
    </row>
    <row r="88">
      <c r="A88" s="11" t="inlineStr">
        <is>
          <t>+ D&amp;A</t>
        </is>
      </c>
      <c r="B88" s="21">
        <f>'Std ASM'!B88</f>
        <v/>
      </c>
      <c r="C88" s="21">
        <f>'Std ASM'!C88</f>
        <v/>
      </c>
      <c r="D88" s="21">
        <f>'Std ASM'!D88</f>
        <v/>
      </c>
      <c r="E88" s="21">
        <f>'Std ASM'!E88</f>
        <v/>
      </c>
      <c r="F88" s="21">
        <f>'Std ASM'!F88</f>
        <v/>
      </c>
      <c r="G88" s="21">
        <f>'Std ASM'!G88</f>
        <v/>
      </c>
    </row>
    <row r="89">
      <c r="A89" s="11" t="inlineStr">
        <is>
          <t>- Change in OWC</t>
        </is>
      </c>
      <c r="B89" s="21">
        <f>'Std ASM'!B89</f>
        <v/>
      </c>
      <c r="C89" s="21">
        <f>'Std ASM'!C89</f>
        <v/>
      </c>
      <c r="D89" s="21">
        <f>'Std ASM'!D89</f>
        <v/>
      </c>
      <c r="E89" s="21">
        <f>'Std ASM'!E89</f>
        <v/>
      </c>
      <c r="F89" s="21">
        <f>'Std ASM'!F89</f>
        <v/>
      </c>
      <c r="G89" s="21">
        <f>'Std ASM'!G89</f>
        <v/>
      </c>
    </row>
    <row r="90">
      <c r="A90" s="11" t="inlineStr">
        <is>
          <t>- CapEx</t>
        </is>
      </c>
      <c r="B90" s="21">
        <f>'Std ASM'!B90</f>
        <v/>
      </c>
      <c r="C90" s="21">
        <f>'Std ASM'!C90</f>
        <v/>
      </c>
      <c r="D90" s="21">
        <f>'Std ASM'!D90</f>
        <v/>
      </c>
      <c r="E90" s="21">
        <f>'Std ASM'!E90</f>
        <v/>
      </c>
      <c r="F90" s="21">
        <f>'Std ASM'!F90</f>
        <v/>
      </c>
      <c r="G90" s="21">
        <f>'Std ASM'!G90</f>
        <v/>
      </c>
    </row>
    <row r="91">
      <c r="A91" s="11" t="inlineStr">
        <is>
          <t>- Purchase of Intangibles</t>
        </is>
      </c>
      <c r="B91" s="21">
        <f>'Std ASM'!B91</f>
        <v/>
      </c>
      <c r="C91" s="21">
        <f>'Std ASM'!C91</f>
        <v/>
      </c>
      <c r="D91" s="21">
        <f>'Std ASM'!D91</f>
        <v/>
      </c>
      <c r="E91" s="21">
        <f>'Std ASM'!E91</f>
        <v/>
      </c>
      <c r="F91" s="21">
        <f>'Std ASM'!F91</f>
        <v/>
      </c>
      <c r="G91" s="21">
        <f>'Std ASM'!G91</f>
        <v/>
      </c>
    </row>
    <row r="92">
      <c r="A92" s="24">
        <f> Operating CF after investment</f>
        <v/>
      </c>
      <c r="B92" s="36">
        <f>'Std ASM'!B92</f>
        <v/>
      </c>
      <c r="C92" s="36">
        <f>'Std ASM'!C92</f>
        <v/>
      </c>
      <c r="D92" s="36">
        <f>'Std ASM'!D92</f>
        <v/>
      </c>
      <c r="E92" s="36">
        <f>'Std ASM'!E92</f>
        <v/>
      </c>
      <c r="F92" s="36">
        <f>'Std ASM'!F92</f>
        <v/>
      </c>
      <c r="G92" s="36">
        <f>'Std ASM'!G92</f>
        <v/>
      </c>
    </row>
    <row r="93"/>
    <row r="94">
      <c r="A94" s="11" t="inlineStr">
        <is>
          <t>+ Net Investment Profit after tax</t>
        </is>
      </c>
      <c r="B94" s="21">
        <f>'Std ASM'!B94</f>
        <v/>
      </c>
      <c r="C94" s="21">
        <f>'Std ASM'!C94</f>
        <v/>
      </c>
      <c r="D94" s="21">
        <f>'Std ASM'!D94</f>
        <v/>
      </c>
      <c r="E94" s="21">
        <f>'Std ASM'!E94</f>
        <v/>
      </c>
      <c r="F94" s="21">
        <f>'Std ASM'!F94</f>
        <v/>
      </c>
      <c r="G94" s="21">
        <f>'Std ASM'!G94</f>
        <v/>
      </c>
    </row>
    <row r="95">
      <c r="A95" s="11" t="inlineStr">
        <is>
          <t>- Change in Investment Assets</t>
        </is>
      </c>
      <c r="B95" s="21">
        <f>'Std ASM'!B95</f>
        <v/>
      </c>
      <c r="C95" s="21">
        <f>'Std ASM'!C95</f>
        <v/>
      </c>
      <c r="D95" s="21">
        <f>'Std ASM'!D95</f>
        <v/>
      </c>
      <c r="E95" s="21">
        <f>'Std ASM'!E95</f>
        <v/>
      </c>
      <c r="F95" s="21">
        <f>'Std ASM'!F95</f>
        <v/>
      </c>
      <c r="G95" s="21">
        <f>'Std ASM'!G95</f>
        <v/>
      </c>
    </row>
    <row r="96">
      <c r="A96" s="24">
        <f> FCF to Debt &amp; Equity</f>
        <v/>
      </c>
      <c r="B96" s="36">
        <f>'Std ASM'!B96</f>
        <v/>
      </c>
      <c r="C96" s="36">
        <f>'Std ASM'!C96</f>
        <v/>
      </c>
      <c r="D96" s="36">
        <f>'Std ASM'!D96</f>
        <v/>
      </c>
      <c r="E96" s="36">
        <f>'Std ASM'!E96</f>
        <v/>
      </c>
      <c r="F96" s="36">
        <f>'Std ASM'!F96</f>
        <v/>
      </c>
      <c r="G96" s="36">
        <f>'Std ASM'!G96</f>
        <v/>
      </c>
    </row>
    <row r="97">
      <c r="A97" s="11" t="inlineStr">
        <is>
          <t>- Interest Expense after tax</t>
        </is>
      </c>
      <c r="B97" s="21">
        <f>'Std ASM'!B97</f>
        <v/>
      </c>
      <c r="C97" s="21">
        <f>'Std ASM'!C97</f>
        <v/>
      </c>
      <c r="D97" s="21">
        <f>'Std ASM'!D97</f>
        <v/>
      </c>
      <c r="E97" s="21">
        <f>'Std ASM'!E97</f>
        <v/>
      </c>
      <c r="F97" s="21">
        <f>'Std ASM'!F97</f>
        <v/>
      </c>
      <c r="G97" s="21">
        <f>'Std ASM'!G97</f>
        <v/>
      </c>
    </row>
    <row r="98">
      <c r="A98" s="11" t="inlineStr">
        <is>
          <t>+ Change in Debt</t>
        </is>
      </c>
      <c r="B98" s="21">
        <f>'Std ASM'!B98</f>
        <v/>
      </c>
      <c r="C98" s="21">
        <f>'Std ASM'!C98</f>
        <v/>
      </c>
      <c r="D98" s="21">
        <f>'Std ASM'!D98</f>
        <v/>
      </c>
      <c r="E98" s="21">
        <f>'Std ASM'!E98</f>
        <v/>
      </c>
      <c r="F98" s="21">
        <f>'Std ASM'!F98</f>
        <v/>
      </c>
      <c r="G98" s="21">
        <f>'Std ASM'!G98</f>
        <v/>
      </c>
    </row>
    <row r="99">
      <c r="A99" s="26">
        <f> FCF to Equity</f>
        <v/>
      </c>
      <c r="B99" s="37">
        <f>'Std ASM'!B99</f>
        <v/>
      </c>
      <c r="C99" s="37">
        <f>'Std ASM'!C99</f>
        <v/>
      </c>
      <c r="D99" s="37">
        <f>'Std ASM'!D99</f>
        <v/>
      </c>
      <c r="E99" s="37">
        <f>'Std ASM'!E99</f>
        <v/>
      </c>
      <c r="F99" s="37">
        <f>'Std ASM'!F99</f>
        <v/>
      </c>
      <c r="G99" s="37">
        <f>'Std ASM'!G99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33">
        <f>'Std AIXTRON'!B3</f>
        <v/>
      </c>
      <c r="C3" s="33">
        <f>'Std AIXTRON'!C3</f>
        <v/>
      </c>
      <c r="D3" s="33">
        <f>'Std AIXTRON'!D3</f>
        <v/>
      </c>
      <c r="E3" s="33">
        <f>'Std AIXTRON'!E3</f>
        <v/>
      </c>
      <c r="F3" s="33">
        <f>'Std AIXTRON'!F3</f>
        <v/>
      </c>
      <c r="G3" s="33">
        <f>'Std AIXTRON'!G3</f>
        <v/>
      </c>
    </row>
    <row r="4"/>
    <row r="5">
      <c r="A5" s="11" t="inlineStr">
        <is>
          <t>Operating cash %</t>
        </is>
      </c>
      <c r="B5" s="34">
        <f>'Std AIXTRON'!B5</f>
        <v/>
      </c>
      <c r="C5" s="34">
        <f>'Std AIXTRON'!C5</f>
        <v/>
      </c>
      <c r="D5" s="34">
        <f>'Std AIXTRON'!D5</f>
        <v/>
      </c>
      <c r="E5" s="34">
        <f>'Std AIXTRON'!E5</f>
        <v/>
      </c>
      <c r="F5" s="34">
        <f>'Std AIXTRON'!F5</f>
        <v/>
      </c>
      <c r="G5" s="34">
        <f>'Std AIXTRON'!G5</f>
        <v/>
      </c>
    </row>
    <row r="6">
      <c r="A6" s="11" t="inlineStr">
        <is>
          <t>Tax rate (effective)</t>
        </is>
      </c>
      <c r="B6" s="18">
        <f>'Std AIXTRON'!B6</f>
        <v/>
      </c>
      <c r="C6" s="18">
        <f>'Std AIXTRON'!C6</f>
        <v/>
      </c>
      <c r="D6" s="18">
        <f>'Std AIXTRON'!D6</f>
        <v/>
      </c>
      <c r="E6" s="18">
        <f>'Std AIXTRON'!E6</f>
        <v/>
      </c>
      <c r="F6" s="18">
        <f>'Std AIXTRON'!F6</f>
        <v/>
      </c>
      <c r="G6" s="18">
        <f>'Std AIXTRON'!G6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AIXTRON'!B9</f>
        <v/>
      </c>
      <c r="C9" s="21">
        <f>'Std AIXTRON'!C9</f>
        <v/>
      </c>
      <c r="D9" s="21">
        <f>'Std AIXTRON'!D9</f>
        <v/>
      </c>
      <c r="E9" s="21">
        <f>'Std AIXTRON'!E9</f>
        <v/>
      </c>
      <c r="F9" s="21">
        <f>'Std AIXTRON'!F9</f>
        <v/>
      </c>
      <c r="G9" s="21">
        <f>'Std AIXTRON'!G9</f>
        <v/>
      </c>
    </row>
    <row r="10">
      <c r="A10" s="11" t="inlineStr">
        <is>
          <t>Cost of Sales</t>
        </is>
      </c>
      <c r="B10" s="21">
        <f>'Std AIXTRON'!B10</f>
        <v/>
      </c>
      <c r="C10" s="21">
        <f>'Std AIXTRON'!C10</f>
        <v/>
      </c>
      <c r="D10" s="21">
        <f>'Std AIXTRON'!D10</f>
        <v/>
      </c>
      <c r="E10" s="21">
        <f>'Std AIXTRON'!E10</f>
        <v/>
      </c>
      <c r="F10" s="21">
        <f>'Std AIXTRON'!F10</f>
        <v/>
      </c>
      <c r="G10" s="21">
        <f>'Std AIXTRON'!G10</f>
        <v/>
      </c>
    </row>
    <row r="11">
      <c r="A11" s="22" t="inlineStr">
        <is>
          <t>Gross Profit</t>
        </is>
      </c>
      <c r="B11" s="35">
        <f>'Std AIXTRON'!B11</f>
        <v/>
      </c>
      <c r="C11" s="35">
        <f>'Std AIXTRON'!C11</f>
        <v/>
      </c>
      <c r="D11" s="35">
        <f>'Std AIXTRON'!D11</f>
        <v/>
      </c>
      <c r="E11" s="35">
        <f>'Std AIXTRON'!E11</f>
        <v/>
      </c>
      <c r="F11" s="35">
        <f>'Std AIXTRON'!F11</f>
        <v/>
      </c>
      <c r="G11" s="35">
        <f>'Std AIXTRON'!G11</f>
        <v/>
      </c>
    </row>
    <row r="12">
      <c r="A12" s="11" t="inlineStr">
        <is>
          <t xml:space="preserve">  SG&amp;A</t>
        </is>
      </c>
      <c r="B12" s="21">
        <f>'Std AIXTRON'!B12</f>
        <v/>
      </c>
      <c r="C12" s="21">
        <f>'Std AIXTRON'!C12</f>
        <v/>
      </c>
      <c r="D12" s="21">
        <f>'Std AIXTRON'!D12</f>
        <v/>
      </c>
      <c r="E12" s="21">
        <f>'Std AIXTRON'!E12</f>
        <v/>
      </c>
      <c r="F12" s="21">
        <f>'Std AIXTRON'!F12</f>
        <v/>
      </c>
      <c r="G12" s="21">
        <f>'Std AIXTRON'!G12</f>
        <v/>
      </c>
    </row>
    <row r="13">
      <c r="A13" s="11" t="inlineStr">
        <is>
          <t xml:space="preserve">  R&amp;D</t>
        </is>
      </c>
      <c r="B13" s="21">
        <f>'Std AIXTRON'!B13</f>
        <v/>
      </c>
      <c r="C13" s="21">
        <f>'Std AIXTRON'!C13</f>
        <v/>
      </c>
      <c r="D13" s="21">
        <f>'Std AIXTRON'!D13</f>
        <v/>
      </c>
      <c r="E13" s="21">
        <f>'Std AIXTRON'!E13</f>
        <v/>
      </c>
      <c r="F13" s="21">
        <f>'Std AIXTRON'!F13</f>
        <v/>
      </c>
      <c r="G13" s="21">
        <f>'Std AIXTRON'!G13</f>
        <v/>
      </c>
    </row>
    <row r="14">
      <c r="A14" s="11" t="inlineStr">
        <is>
          <t xml:space="preserve">  Depreciation &amp; Amortization</t>
        </is>
      </c>
      <c r="B14" s="21">
        <f>'Std AIXTRON'!B14</f>
        <v/>
      </c>
      <c r="C14" s="21">
        <f>'Std AIXTRON'!C14</f>
        <v/>
      </c>
      <c r="D14" s="21">
        <f>'Std AIXTRON'!D14</f>
        <v/>
      </c>
      <c r="E14" s="21">
        <f>'Std AIXTRON'!E14</f>
        <v/>
      </c>
      <c r="F14" s="21">
        <f>'Std AIXTRON'!F14</f>
        <v/>
      </c>
      <c r="G14" s="21">
        <f>'Std AIXTRON'!G14</f>
        <v/>
      </c>
    </row>
    <row r="15">
      <c r="A15" s="11" t="inlineStr">
        <is>
          <t xml:space="preserve">  Other Operating Expense</t>
        </is>
      </c>
      <c r="B15" s="21">
        <f>'Std AIXTRON'!B15</f>
        <v/>
      </c>
      <c r="C15" s="21">
        <f>'Std AIXTRON'!C15</f>
        <v/>
      </c>
      <c r="D15" s="21">
        <f>'Std AIXTRON'!D15</f>
        <v/>
      </c>
      <c r="E15" s="21">
        <f>'Std AIXTRON'!E15</f>
        <v/>
      </c>
      <c r="F15" s="21">
        <f>'Std AIXTRON'!F15</f>
        <v/>
      </c>
      <c r="G15" s="21">
        <f>'Std AIXTRON'!G15</f>
        <v/>
      </c>
    </row>
    <row r="16">
      <c r="A16" s="24" t="inlineStr">
        <is>
          <t>Total Operating Expense</t>
        </is>
      </c>
      <c r="B16" s="36">
        <f>'Std AIXTRON'!B16</f>
        <v/>
      </c>
      <c r="C16" s="36">
        <f>'Std AIXTRON'!C16</f>
        <v/>
      </c>
      <c r="D16" s="36">
        <f>'Std AIXTRON'!D16</f>
        <v/>
      </c>
      <c r="E16" s="36">
        <f>'Std AIXTRON'!E16</f>
        <v/>
      </c>
      <c r="F16" s="36">
        <f>'Std AIXTRON'!F16</f>
        <v/>
      </c>
      <c r="G16" s="36">
        <f>'Std AIXTRON'!G16</f>
        <v/>
      </c>
    </row>
    <row r="17">
      <c r="A17" s="24" t="inlineStr">
        <is>
          <t>Recurring Operating Profit</t>
        </is>
      </c>
      <c r="B17" s="36">
        <f>'Std AIXTRON'!B17</f>
        <v/>
      </c>
      <c r="C17" s="36">
        <f>'Std AIXTRON'!C17</f>
        <v/>
      </c>
      <c r="D17" s="36">
        <f>'Std AIXTRON'!D17</f>
        <v/>
      </c>
      <c r="E17" s="36">
        <f>'Std AIXTRON'!E17</f>
        <v/>
      </c>
      <c r="F17" s="36">
        <f>'Std AIXTRON'!F17</f>
        <v/>
      </c>
      <c r="G17" s="36">
        <f>'Std AIXTRON'!G17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AIXTRON'!B20</f>
        <v/>
      </c>
      <c r="C20" s="21">
        <f>'Std AIXTRON'!C20</f>
        <v/>
      </c>
      <c r="D20" s="21">
        <f>'Std AIXTRON'!D20</f>
        <v/>
      </c>
      <c r="E20" s="21">
        <f>'Std AIXTRON'!E20</f>
        <v/>
      </c>
      <c r="F20" s="21">
        <f>'Std AIXTRON'!F20</f>
        <v/>
      </c>
      <c r="G20" s="21">
        <f>'Std AIXTRON'!G20</f>
        <v/>
      </c>
    </row>
    <row r="21">
      <c r="A21" s="11" t="inlineStr">
        <is>
          <t xml:space="preserve">  Gain/Loss on Sale of Assets</t>
        </is>
      </c>
      <c r="B21" s="21">
        <f>'Std AIXTRON'!B21</f>
        <v/>
      </c>
      <c r="C21" s="21">
        <f>'Std AIXTRON'!C21</f>
        <v/>
      </c>
      <c r="D21" s="21">
        <f>'Std AIXTRON'!D21</f>
        <v/>
      </c>
      <c r="E21" s="21">
        <f>'Std AIXTRON'!E21</f>
        <v/>
      </c>
      <c r="F21" s="21">
        <f>'Std AIXTRON'!F21</f>
        <v/>
      </c>
      <c r="G21" s="21">
        <f>'Std AIXTRON'!G21</f>
        <v/>
      </c>
    </row>
    <row r="22">
      <c r="A22" s="11" t="inlineStr">
        <is>
          <t xml:space="preserve">  Asset Writedown</t>
        </is>
      </c>
      <c r="B22" s="21">
        <f>'Std AIXTRON'!B22</f>
        <v/>
      </c>
      <c r="C22" s="21">
        <f>'Std AIXTRON'!C22</f>
        <v/>
      </c>
      <c r="D22" s="21">
        <f>'Std AIXTRON'!D22</f>
        <v/>
      </c>
      <c r="E22" s="21">
        <f>'Std AIXTRON'!E22</f>
        <v/>
      </c>
      <c r="F22" s="21">
        <f>'Std AIXTRON'!F22</f>
        <v/>
      </c>
      <c r="G22" s="21">
        <f>'Std AIXTRON'!G22</f>
        <v/>
      </c>
    </row>
    <row r="23">
      <c r="A23" s="11" t="inlineStr">
        <is>
          <t xml:space="preserve">  Other Unusual Items</t>
        </is>
      </c>
      <c r="B23" s="21">
        <f>'Std AIXTRON'!B23</f>
        <v/>
      </c>
      <c r="C23" s="21">
        <f>'Std AIXTRON'!C23</f>
        <v/>
      </c>
      <c r="D23" s="21">
        <f>'Std AIXTRON'!D23</f>
        <v/>
      </c>
      <c r="E23" s="21">
        <f>'Std AIXTRON'!E23</f>
        <v/>
      </c>
      <c r="F23" s="21">
        <f>'Std AIXTRON'!F23</f>
        <v/>
      </c>
      <c r="G23" s="21">
        <f>'Std AIXTRON'!G23</f>
        <v/>
      </c>
    </row>
    <row r="24">
      <c r="A24" s="22" t="inlineStr">
        <is>
          <t>Total Non-recurring</t>
        </is>
      </c>
      <c r="B24" s="35">
        <f>'Std AIXTRON'!B24</f>
        <v/>
      </c>
      <c r="C24" s="35">
        <f>'Std AIXTRON'!C24</f>
        <v/>
      </c>
      <c r="D24" s="35">
        <f>'Std AIXTRON'!D24</f>
        <v/>
      </c>
      <c r="E24" s="35">
        <f>'Std AIXTRON'!E24</f>
        <v/>
      </c>
      <c r="F24" s="35">
        <f>'Std AIXTRON'!F24</f>
        <v/>
      </c>
      <c r="G24" s="35">
        <f>'Std AIXTRON'!G24</f>
        <v/>
      </c>
    </row>
    <row r="25">
      <c r="A25" s="24" t="inlineStr">
        <is>
          <t>EBIT</t>
        </is>
      </c>
      <c r="B25" s="36">
        <f>'Std AIXTRON'!B25</f>
        <v/>
      </c>
      <c r="C25" s="36">
        <f>'Std AIXTRON'!C25</f>
        <v/>
      </c>
      <c r="D25" s="36">
        <f>'Std AIXTRON'!D25</f>
        <v/>
      </c>
      <c r="E25" s="36">
        <f>'Std AIXTRON'!E25</f>
        <v/>
      </c>
      <c r="F25" s="36">
        <f>'Std AIXTRON'!F25</f>
        <v/>
      </c>
      <c r="G25" s="36">
        <f>'Std AIXTRON'!G25</f>
        <v/>
      </c>
    </row>
    <row r="26"/>
    <row r="27">
      <c r="A27" s="11" t="inlineStr">
        <is>
          <t xml:space="preserve">  Investment Income (Equity Method)</t>
        </is>
      </c>
      <c r="B27" s="21">
        <f>'Std AIXTRON'!B27</f>
        <v/>
      </c>
      <c r="C27" s="21">
        <f>'Std AIXTRON'!C27</f>
        <v/>
      </c>
      <c r="D27" s="21">
        <f>'Std AIXTRON'!D27</f>
        <v/>
      </c>
      <c r="E27" s="21">
        <f>'Std AIXTRON'!E27</f>
        <v/>
      </c>
      <c r="F27" s="21">
        <f>'Std AIXTRON'!F27</f>
        <v/>
      </c>
      <c r="G27" s="21">
        <f>'Std AIXTRON'!G27</f>
        <v/>
      </c>
    </row>
    <row r="28">
      <c r="A28" s="11" t="inlineStr">
        <is>
          <t xml:space="preserve">  Interest Income</t>
        </is>
      </c>
      <c r="B28" s="21">
        <f>'Std AIXTRON'!B28</f>
        <v/>
      </c>
      <c r="C28" s="21">
        <f>'Std AIXTRON'!C28</f>
        <v/>
      </c>
      <c r="D28" s="21">
        <f>'Std AIXTRON'!D28</f>
        <v/>
      </c>
      <c r="E28" s="21">
        <f>'Std AIXTRON'!E28</f>
        <v/>
      </c>
      <c r="F28" s="21">
        <f>'Std AIXTRON'!F28</f>
        <v/>
      </c>
      <c r="G28" s="21">
        <f>'Std AIXTRON'!G28</f>
        <v/>
      </c>
    </row>
    <row r="29">
      <c r="A29" s="11" t="inlineStr">
        <is>
          <t xml:space="preserve">  Interest Expense</t>
        </is>
      </c>
      <c r="B29" s="21">
        <f>'Std AIXTRON'!B29</f>
        <v/>
      </c>
      <c r="C29" s="21">
        <f>'Std AIXTRON'!C29</f>
        <v/>
      </c>
      <c r="D29" s="21">
        <f>'Std AIXTRON'!D29</f>
        <v/>
      </c>
      <c r="E29" s="21">
        <f>'Std AIXTRON'!E29</f>
        <v/>
      </c>
      <c r="F29" s="21">
        <f>'Std AIXTRON'!F29</f>
        <v/>
      </c>
      <c r="G29" s="21">
        <f>'Std AIXTRON'!G29</f>
        <v/>
      </c>
    </row>
    <row r="30">
      <c r="A30" s="11" t="inlineStr">
        <is>
          <t xml:space="preserve">  FX Gains/(Losses)</t>
        </is>
      </c>
      <c r="B30" s="21">
        <f>'Std AIXTRON'!B30</f>
        <v/>
      </c>
      <c r="C30" s="21">
        <f>'Std AIXTRON'!C30</f>
        <v/>
      </c>
      <c r="D30" s="21">
        <f>'Std AIXTRON'!D30</f>
        <v/>
      </c>
      <c r="E30" s="21">
        <f>'Std AIXTRON'!E30</f>
        <v/>
      </c>
      <c r="F30" s="21">
        <f>'Std AIXTRON'!F30</f>
        <v/>
      </c>
      <c r="G30" s="21">
        <f>'Std AIXTRON'!G30</f>
        <v/>
      </c>
    </row>
    <row r="31">
      <c r="A31" s="22" t="inlineStr">
        <is>
          <t>Profit Before Tax</t>
        </is>
      </c>
      <c r="B31" s="35">
        <f>'Std AIXTRON'!B31</f>
        <v/>
      </c>
      <c r="C31" s="35">
        <f>'Std AIXTRON'!C31</f>
        <v/>
      </c>
      <c r="D31" s="35">
        <f>'Std AIXTRON'!D31</f>
        <v/>
      </c>
      <c r="E31" s="35">
        <f>'Std AIXTRON'!E31</f>
        <v/>
      </c>
      <c r="F31" s="35">
        <f>'Std AIXTRON'!F31</f>
        <v/>
      </c>
      <c r="G31" s="35">
        <f>'Std AIXTRON'!G31</f>
        <v/>
      </c>
    </row>
    <row r="32">
      <c r="A32" s="11" t="inlineStr">
        <is>
          <t xml:space="preserve">  Tax Expense</t>
        </is>
      </c>
      <c r="B32" s="21">
        <f>'Std AIXTRON'!B32</f>
        <v/>
      </c>
      <c r="C32" s="21">
        <f>'Std AIXTRON'!C32</f>
        <v/>
      </c>
      <c r="D32" s="21">
        <f>'Std AIXTRON'!D32</f>
        <v/>
      </c>
      <c r="E32" s="21">
        <f>'Std AIXTRON'!E32</f>
        <v/>
      </c>
      <c r="F32" s="21">
        <f>'Std AIXTRON'!F32</f>
        <v/>
      </c>
      <c r="G32" s="21">
        <f>'Std AIXTRON'!G32</f>
        <v/>
      </c>
    </row>
    <row r="33">
      <c r="A33" s="26" t="inlineStr">
        <is>
          <t>Net Income</t>
        </is>
      </c>
      <c r="B33" s="37">
        <f>'Std AIXTRON'!B33</f>
        <v/>
      </c>
      <c r="C33" s="37">
        <f>'Std AIXTRON'!C33</f>
        <v/>
      </c>
      <c r="D33" s="37">
        <f>'Std AIXTRON'!D33</f>
        <v/>
      </c>
      <c r="E33" s="37">
        <f>'Std AIXTRON'!E33</f>
        <v/>
      </c>
      <c r="F33" s="37">
        <f>'Std AIXTRON'!F33</f>
        <v/>
      </c>
      <c r="G33" s="37">
        <f>'Std AIXTRON'!G33</f>
        <v/>
      </c>
    </row>
    <row r="34"/>
    <row r="35">
      <c r="A35" s="11" t="inlineStr">
        <is>
          <t>Effective Tax Rate</t>
        </is>
      </c>
      <c r="B35" s="18">
        <f>'Std AIXTRON'!B35</f>
        <v/>
      </c>
      <c r="C35" s="18">
        <f>'Std AIXTRON'!C35</f>
        <v/>
      </c>
      <c r="D35" s="18">
        <f>'Std AIXTRON'!D35</f>
        <v/>
      </c>
      <c r="E35" s="18">
        <f>'Std AIXTRON'!E35</f>
        <v/>
      </c>
      <c r="F35" s="18">
        <f>'Std AIXTRON'!F35</f>
        <v/>
      </c>
      <c r="G35" s="18">
        <f>'Std AIXTRON'!G35</f>
        <v/>
      </c>
    </row>
    <row r="36">
      <c r="A36" s="22" t="inlineStr">
        <is>
          <t>NOPAT</t>
        </is>
      </c>
      <c r="B36" s="35">
        <f>'Std AIXTRON'!B36</f>
        <v/>
      </c>
      <c r="C36" s="35">
        <f>'Std AIXTRON'!C36</f>
        <v/>
      </c>
      <c r="D36" s="35">
        <f>'Std AIXTRON'!D36</f>
        <v/>
      </c>
      <c r="E36" s="35">
        <f>'Std AIXTRON'!E36</f>
        <v/>
      </c>
      <c r="F36" s="35">
        <f>'Std AIXTRON'!F36</f>
        <v/>
      </c>
      <c r="G36" s="35">
        <f>'Std AIXTRON'!G36</f>
        <v/>
      </c>
    </row>
    <row r="37"/>
    <row r="38">
      <c r="A38" s="11" t="inlineStr">
        <is>
          <t>Shares Outstanding (diluted)</t>
        </is>
      </c>
      <c r="B38" s="21">
        <f>'Std AIXTRON'!B38</f>
        <v/>
      </c>
      <c r="C38" s="21">
        <f>'Std AIXTRON'!C38</f>
        <v/>
      </c>
      <c r="D38" s="21">
        <f>'Std AIXTRON'!D38</f>
        <v/>
      </c>
      <c r="E38" s="21">
        <f>'Std AIXTRON'!E38</f>
        <v/>
      </c>
      <c r="F38" s="21">
        <f>'Std AIXTRON'!F38</f>
        <v/>
      </c>
      <c r="G38" s="21">
        <f>'Std AIXTRON'!G38</f>
        <v/>
      </c>
    </row>
    <row r="39">
      <c r="A39" s="11" t="inlineStr">
        <is>
          <t>EPS (diluted)</t>
        </is>
      </c>
      <c r="B39" s="30">
        <f>'Std AIXTRON'!B39</f>
        <v/>
      </c>
      <c r="C39" s="30">
        <f>'Std AIXTRON'!C39</f>
        <v/>
      </c>
      <c r="D39" s="30">
        <f>'Std AIXTRON'!D39</f>
        <v/>
      </c>
      <c r="E39" s="30">
        <f>'Std AIXTRON'!E39</f>
        <v/>
      </c>
      <c r="F39" s="30">
        <f>'Std AIXTRON'!F39</f>
        <v/>
      </c>
      <c r="G39" s="30">
        <f>'Std AIXTRON'!G39</f>
        <v/>
      </c>
    </row>
    <row r="40">
      <c r="A40" s="11" t="inlineStr">
        <is>
          <t>Dividends per Share</t>
        </is>
      </c>
      <c r="B40" s="30">
        <f>'Std AIXTRON'!B40</f>
        <v/>
      </c>
      <c r="C40" s="30">
        <f>'Std AIXTRON'!C40</f>
        <v/>
      </c>
      <c r="D40" s="30">
        <f>'Std AIXTRON'!D40</f>
        <v/>
      </c>
      <c r="E40" s="30">
        <f>'Std AIXTRON'!E40</f>
        <v/>
      </c>
      <c r="F40" s="30">
        <f>'Std AIXTRON'!F40</f>
        <v/>
      </c>
      <c r="G40" s="30">
        <f>'Std AIXTRON'!G40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AIXTRON'!B45</f>
        <v/>
      </c>
      <c r="C45" s="21">
        <f>'Std AIXTRON'!C45</f>
        <v/>
      </c>
      <c r="D45" s="21">
        <f>'Std AIXTRON'!D45</f>
        <v/>
      </c>
      <c r="E45" s="21">
        <f>'Std AIXTRON'!E45</f>
        <v/>
      </c>
      <c r="F45" s="21">
        <f>'Std AIXTRON'!F45</f>
        <v/>
      </c>
      <c r="G45" s="21">
        <f>'Std AIXTRON'!G45</f>
        <v/>
      </c>
    </row>
    <row r="46">
      <c r="A46" s="11" t="inlineStr">
        <is>
          <t xml:space="preserve">  + Other Receivables</t>
        </is>
      </c>
      <c r="B46" s="21">
        <f>'Std AIXTRON'!B46</f>
        <v/>
      </c>
      <c r="C46" s="21">
        <f>'Std AIXTRON'!C46</f>
        <v/>
      </c>
      <c r="D46" s="21">
        <f>'Std AIXTRON'!D46</f>
        <v/>
      </c>
      <c r="E46" s="21">
        <f>'Std AIXTRON'!E46</f>
        <v/>
      </c>
      <c r="F46" s="21">
        <f>'Std AIXTRON'!F46</f>
        <v/>
      </c>
      <c r="G46" s="21">
        <f>'Std AIXTRON'!G46</f>
        <v/>
      </c>
    </row>
    <row r="47">
      <c r="A47" s="11" t="inlineStr">
        <is>
          <t xml:space="preserve">  + Inventories</t>
        </is>
      </c>
      <c r="B47" s="21">
        <f>'Std AIXTRON'!B47</f>
        <v/>
      </c>
      <c r="C47" s="21">
        <f>'Std AIXTRON'!C47</f>
        <v/>
      </c>
      <c r="D47" s="21">
        <f>'Std AIXTRON'!D47</f>
        <v/>
      </c>
      <c r="E47" s="21">
        <f>'Std AIXTRON'!E47</f>
        <v/>
      </c>
      <c r="F47" s="21">
        <f>'Std AIXTRON'!F47</f>
        <v/>
      </c>
      <c r="G47" s="21">
        <f>'Std AIXTRON'!G47</f>
        <v/>
      </c>
    </row>
    <row r="48">
      <c r="A48" s="11" t="inlineStr">
        <is>
          <t xml:space="preserve">  + Prepaid &amp; Other CA</t>
        </is>
      </c>
      <c r="B48" s="21">
        <f>'Std AIXTRON'!B48</f>
        <v/>
      </c>
      <c r="C48" s="21">
        <f>'Std AIXTRON'!C48</f>
        <v/>
      </c>
      <c r="D48" s="21">
        <f>'Std AIXTRON'!D48</f>
        <v/>
      </c>
      <c r="E48" s="21">
        <f>'Std AIXTRON'!E48</f>
        <v/>
      </c>
      <c r="F48" s="21">
        <f>'Std AIXTRON'!F48</f>
        <v/>
      </c>
      <c r="G48" s="21">
        <f>'Std AIXTRON'!G48</f>
        <v/>
      </c>
    </row>
    <row r="49">
      <c r="A49" s="11" t="inlineStr">
        <is>
          <t xml:space="preserve">  - Accounts Payable</t>
        </is>
      </c>
      <c r="B49" s="21">
        <f>'Std AIXTRON'!B49</f>
        <v/>
      </c>
      <c r="C49" s="21">
        <f>'Std AIXTRON'!C49</f>
        <v/>
      </c>
      <c r="D49" s="21">
        <f>'Std AIXTRON'!D49</f>
        <v/>
      </c>
      <c r="E49" s="21">
        <f>'Std AIXTRON'!E49</f>
        <v/>
      </c>
      <c r="F49" s="21">
        <f>'Std AIXTRON'!F49</f>
        <v/>
      </c>
      <c r="G49" s="21">
        <f>'Std AIXTRON'!G49</f>
        <v/>
      </c>
    </row>
    <row r="50">
      <c r="A50" s="11" t="inlineStr">
        <is>
          <t xml:space="preserve">  - Accrued Expenses</t>
        </is>
      </c>
      <c r="B50" s="21">
        <f>'Std AIXTRON'!B50</f>
        <v/>
      </c>
      <c r="C50" s="21">
        <f>'Std AIXTRON'!C50</f>
        <v/>
      </c>
      <c r="D50" s="21">
        <f>'Std AIXTRON'!D50</f>
        <v/>
      </c>
      <c r="E50" s="21">
        <f>'Std AIXTRON'!E50</f>
        <v/>
      </c>
      <c r="F50" s="21">
        <f>'Std AIXTRON'!F50</f>
        <v/>
      </c>
      <c r="G50" s="21">
        <f>'Std AIXTRON'!G50</f>
        <v/>
      </c>
    </row>
    <row r="51">
      <c r="A51" s="11" t="inlineStr">
        <is>
          <t xml:space="preserve">  - Unearned Revenue / Contract Liabilities</t>
        </is>
      </c>
      <c r="B51" s="21">
        <f>'Std AIXTRON'!B51</f>
        <v/>
      </c>
      <c r="C51" s="21">
        <f>'Std AIXTRON'!C51</f>
        <v/>
      </c>
      <c r="D51" s="21">
        <f>'Std AIXTRON'!D51</f>
        <v/>
      </c>
      <c r="E51" s="21">
        <f>'Std AIXTRON'!E51</f>
        <v/>
      </c>
      <c r="F51" s="21">
        <f>'Std AIXTRON'!F51</f>
        <v/>
      </c>
      <c r="G51" s="21">
        <f>'Std AIXTRON'!G51</f>
        <v/>
      </c>
    </row>
    <row r="52">
      <c r="A52" s="11" t="inlineStr">
        <is>
          <t xml:space="preserve">  - Income Taxes Payable</t>
        </is>
      </c>
      <c r="B52" s="21">
        <f>'Std AIXTRON'!B52</f>
        <v/>
      </c>
      <c r="C52" s="21">
        <f>'Std AIXTRON'!C52</f>
        <v/>
      </c>
      <c r="D52" s="21">
        <f>'Std AIXTRON'!D52</f>
        <v/>
      </c>
      <c r="E52" s="21">
        <f>'Std AIXTRON'!E52</f>
        <v/>
      </c>
      <c r="F52" s="21">
        <f>'Std AIXTRON'!F52</f>
        <v/>
      </c>
      <c r="G52" s="21">
        <f>'Std AIXTRON'!G52</f>
        <v/>
      </c>
    </row>
    <row r="53">
      <c r="A53" s="11" t="inlineStr">
        <is>
          <t xml:space="preserve">  - Other Current Liabilities</t>
        </is>
      </c>
      <c r="B53" s="21">
        <f>'Std AIXTRON'!B53</f>
        <v/>
      </c>
      <c r="C53" s="21">
        <f>'Std AIXTRON'!C53</f>
        <v/>
      </c>
      <c r="D53" s="21">
        <f>'Std AIXTRON'!D53</f>
        <v/>
      </c>
      <c r="E53" s="21">
        <f>'Std AIXTRON'!E53</f>
        <v/>
      </c>
      <c r="F53" s="21">
        <f>'Std AIXTRON'!F53</f>
        <v/>
      </c>
      <c r="G53" s="21">
        <f>'Std AIXTRON'!G53</f>
        <v/>
      </c>
    </row>
    <row r="54">
      <c r="A54" s="24">
        <f> Operating Working Capital</f>
        <v/>
      </c>
      <c r="B54" s="36">
        <f>'Std AIXTRON'!B54</f>
        <v/>
      </c>
      <c r="C54" s="36">
        <f>'Std AIXTRON'!C54</f>
        <v/>
      </c>
      <c r="D54" s="36">
        <f>'Std AIXTRON'!D54</f>
        <v/>
      </c>
      <c r="E54" s="36">
        <f>'Std AIXTRON'!E54</f>
        <v/>
      </c>
      <c r="F54" s="36">
        <f>'Std AIXTRON'!F54</f>
        <v/>
      </c>
      <c r="G54" s="36">
        <f>'Std AIXTRON'!G54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AIXTRON'!B57</f>
        <v/>
      </c>
      <c r="C57" s="21">
        <f>'Std AIXTRON'!C57</f>
        <v/>
      </c>
      <c r="D57" s="21">
        <f>'Std AIXTRON'!D57</f>
        <v/>
      </c>
      <c r="E57" s="21">
        <f>'Std AIXTRON'!E57</f>
        <v/>
      </c>
      <c r="F57" s="21">
        <f>'Std AIXTRON'!F57</f>
        <v/>
      </c>
      <c r="G57" s="21">
        <f>'Std AIXTRON'!G57</f>
        <v/>
      </c>
    </row>
    <row r="58">
      <c r="A58" s="11" t="inlineStr">
        <is>
          <t xml:space="preserve">  + Goodwill</t>
        </is>
      </c>
      <c r="B58" s="21">
        <f>'Std AIXTRON'!B58</f>
        <v/>
      </c>
      <c r="C58" s="21">
        <f>'Std AIXTRON'!C58</f>
        <v/>
      </c>
      <c r="D58" s="21">
        <f>'Std AIXTRON'!D58</f>
        <v/>
      </c>
      <c r="E58" s="21">
        <f>'Std AIXTRON'!E58</f>
        <v/>
      </c>
      <c r="F58" s="21">
        <f>'Std AIXTRON'!F58</f>
        <v/>
      </c>
      <c r="G58" s="21">
        <f>'Std AIXTRON'!G58</f>
        <v/>
      </c>
    </row>
    <row r="59">
      <c r="A59" s="11" t="inlineStr">
        <is>
          <t xml:space="preserve">  + Other Intangible Assets</t>
        </is>
      </c>
      <c r="B59" s="21">
        <f>'Std AIXTRON'!B59</f>
        <v/>
      </c>
      <c r="C59" s="21">
        <f>'Std AIXTRON'!C59</f>
        <v/>
      </c>
      <c r="D59" s="21">
        <f>'Std AIXTRON'!D59</f>
        <v/>
      </c>
      <c r="E59" s="21">
        <f>'Std AIXTRON'!E59</f>
        <v/>
      </c>
      <c r="F59" s="21">
        <f>'Std AIXTRON'!F59</f>
        <v/>
      </c>
      <c r="G59" s="21">
        <f>'Std AIXTRON'!G59</f>
        <v/>
      </c>
    </row>
    <row r="60">
      <c r="A60" s="11" t="inlineStr">
        <is>
          <t xml:space="preserve">  + Deferred Tax Assets</t>
        </is>
      </c>
      <c r="B60" s="21">
        <f>'Std AIXTRON'!B60</f>
        <v/>
      </c>
      <c r="C60" s="21">
        <f>'Std AIXTRON'!C60</f>
        <v/>
      </c>
      <c r="D60" s="21">
        <f>'Std AIXTRON'!D60</f>
        <v/>
      </c>
      <c r="E60" s="21">
        <f>'Std AIXTRON'!E60</f>
        <v/>
      </c>
      <c r="F60" s="21">
        <f>'Std AIXTRON'!F60</f>
        <v/>
      </c>
      <c r="G60" s="21">
        <f>'Std AIXTRON'!G60</f>
        <v/>
      </c>
    </row>
    <row r="61">
      <c r="A61" s="11" t="inlineStr">
        <is>
          <t xml:space="preserve">  + Deferred Charges &amp; LT Intangibles</t>
        </is>
      </c>
      <c r="B61" s="21">
        <f>'Std AIXTRON'!B61</f>
        <v/>
      </c>
      <c r="C61" s="21">
        <f>'Std AIXTRON'!C61</f>
        <v/>
      </c>
      <c r="D61" s="21">
        <f>'Std AIXTRON'!D61</f>
        <v/>
      </c>
      <c r="E61" s="21">
        <f>'Std AIXTRON'!E61</f>
        <v/>
      </c>
      <c r="F61" s="21">
        <f>'Std AIXTRON'!F61</f>
        <v/>
      </c>
      <c r="G61" s="21">
        <f>'Std AIXTRON'!G61</f>
        <v/>
      </c>
    </row>
    <row r="62">
      <c r="A62" s="11" t="inlineStr">
        <is>
          <t xml:space="preserve">  + Other Non-Current Assets</t>
        </is>
      </c>
      <c r="B62" s="21">
        <f>'Std AIXTRON'!B62</f>
        <v/>
      </c>
      <c r="C62" s="21">
        <f>'Std AIXTRON'!C62</f>
        <v/>
      </c>
      <c r="D62" s="21">
        <f>'Std AIXTRON'!D62</f>
        <v/>
      </c>
      <c r="E62" s="21">
        <f>'Std AIXTRON'!E62</f>
        <v/>
      </c>
      <c r="F62" s="21">
        <f>'Std AIXTRON'!F62</f>
        <v/>
      </c>
      <c r="G62" s="21">
        <f>'Std AIXTRON'!G62</f>
        <v/>
      </c>
    </row>
    <row r="63">
      <c r="A63" s="11" t="inlineStr">
        <is>
          <t xml:space="preserve">  - Deferred Tax Liabilities</t>
        </is>
      </c>
      <c r="B63" s="21">
        <f>'Std AIXTRON'!B63</f>
        <v/>
      </c>
      <c r="C63" s="21">
        <f>'Std AIXTRON'!C63</f>
        <v/>
      </c>
      <c r="D63" s="21">
        <f>'Std AIXTRON'!D63</f>
        <v/>
      </c>
      <c r="E63" s="21">
        <f>'Std AIXTRON'!E63</f>
        <v/>
      </c>
      <c r="F63" s="21">
        <f>'Std AIXTRON'!F63</f>
        <v/>
      </c>
      <c r="G63" s="21">
        <f>'Std AIXTRON'!G63</f>
        <v/>
      </c>
    </row>
    <row r="64">
      <c r="A64" s="11" t="inlineStr">
        <is>
          <t xml:space="preserve">  - Other Non-Current Liabilities</t>
        </is>
      </c>
      <c r="B64" s="21">
        <f>'Std AIXTRON'!B64</f>
        <v/>
      </c>
      <c r="C64" s="21">
        <f>'Std AIXTRON'!C64</f>
        <v/>
      </c>
      <c r="D64" s="21">
        <f>'Std AIXTRON'!D64</f>
        <v/>
      </c>
      <c r="E64" s="21">
        <f>'Std AIXTRON'!E64</f>
        <v/>
      </c>
      <c r="F64" s="21">
        <f>'Std AIXTRON'!F64</f>
        <v/>
      </c>
      <c r="G64" s="21">
        <f>'Std AIXTRON'!G64</f>
        <v/>
      </c>
    </row>
    <row r="65">
      <c r="A65" s="24">
        <f> Net Non-Current Operating Assets</f>
        <v/>
      </c>
      <c r="B65" s="36">
        <f>'Std AIXTRON'!B65</f>
        <v/>
      </c>
      <c r="C65" s="36">
        <f>'Std AIXTRON'!C65</f>
        <v/>
      </c>
      <c r="D65" s="36">
        <f>'Std AIXTRON'!D65</f>
        <v/>
      </c>
      <c r="E65" s="36">
        <f>'Std AIXTRON'!E65</f>
        <v/>
      </c>
      <c r="F65" s="36">
        <f>'Std AIXTRON'!F65</f>
        <v/>
      </c>
      <c r="G65" s="36">
        <f>'Std AIXTRON'!G65</f>
        <v/>
      </c>
    </row>
    <row r="66"/>
    <row r="67">
      <c r="A67" s="24">
        <f> Net Operating Assets</f>
        <v/>
      </c>
      <c r="B67" s="36">
        <f>'Std AIXTRON'!B67</f>
        <v/>
      </c>
      <c r="C67" s="36">
        <f>'Std AIXTRON'!C67</f>
        <v/>
      </c>
      <c r="D67" s="36">
        <f>'Std AIXTRON'!D67</f>
        <v/>
      </c>
      <c r="E67" s="36">
        <f>'Std AIXTRON'!E67</f>
        <v/>
      </c>
      <c r="F67" s="36">
        <f>'Std AIXTRON'!F67</f>
        <v/>
      </c>
      <c r="G67" s="36">
        <f>'Std AIXTRON'!G67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AIXTRON'!B70</f>
        <v/>
      </c>
      <c r="C70" s="21">
        <f>'Std AIXTRON'!C70</f>
        <v/>
      </c>
      <c r="D70" s="21">
        <f>'Std AIXTRON'!D70</f>
        <v/>
      </c>
      <c r="E70" s="21">
        <f>'Std AIXTRON'!E70</f>
        <v/>
      </c>
      <c r="F70" s="21">
        <f>'Std AIXTRON'!F70</f>
        <v/>
      </c>
      <c r="G70" s="21">
        <f>'Std AIXTRON'!G70</f>
        <v/>
      </c>
    </row>
    <row r="71">
      <c r="A71" s="24">
        <f> Total Investment Assets</f>
        <v/>
      </c>
      <c r="B71" s="36">
        <f>'Std AIXTRON'!B71</f>
        <v/>
      </c>
      <c r="C71" s="36">
        <f>'Std AIXTRON'!C71</f>
        <v/>
      </c>
      <c r="D71" s="36">
        <f>'Std AIXTRON'!D71</f>
        <v/>
      </c>
      <c r="E71" s="36">
        <f>'Std AIXTRON'!E71</f>
        <v/>
      </c>
      <c r="F71" s="36">
        <f>'Std AIXTRON'!F71</f>
        <v/>
      </c>
      <c r="G71" s="36">
        <f>'Std AIXTRON'!G71</f>
        <v/>
      </c>
    </row>
    <row r="72"/>
    <row r="73">
      <c r="A73" s="26">
        <f> Business Assets</f>
        <v/>
      </c>
      <c r="B73" s="37">
        <f>'Std AIXTRON'!B73</f>
        <v/>
      </c>
      <c r="C73" s="37">
        <f>'Std AIXTRON'!C73</f>
        <v/>
      </c>
      <c r="D73" s="37">
        <f>'Std AIXTRON'!D73</f>
        <v/>
      </c>
      <c r="E73" s="37">
        <f>'Std AIXTRON'!E73</f>
        <v/>
      </c>
      <c r="F73" s="37">
        <f>'Std AIXTRON'!F73</f>
        <v/>
      </c>
      <c r="G73" s="37">
        <f>'Std AIXTRON'!G73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AIXTRON'!B76</f>
        <v/>
      </c>
      <c r="C76" s="21">
        <f>'Std AIXTRON'!C76</f>
        <v/>
      </c>
      <c r="D76" s="21">
        <f>'Std AIXTRON'!D76</f>
        <v/>
      </c>
      <c r="E76" s="21">
        <f>'Std AIXTRON'!E76</f>
        <v/>
      </c>
      <c r="F76" s="21">
        <f>'Std AIXTRON'!F76</f>
        <v/>
      </c>
      <c r="G76" s="21">
        <f>'Std AIXTRON'!G76</f>
        <v/>
      </c>
    </row>
    <row r="77">
      <c r="A77" s="11" t="inlineStr">
        <is>
          <t xml:space="preserve">  + Lease Liabilities (non-current)</t>
        </is>
      </c>
      <c r="B77" s="21">
        <f>'Std AIXTRON'!B77</f>
        <v/>
      </c>
      <c r="C77" s="21">
        <f>'Std AIXTRON'!C77</f>
        <v/>
      </c>
      <c r="D77" s="21">
        <f>'Std AIXTRON'!D77</f>
        <v/>
      </c>
      <c r="E77" s="21">
        <f>'Std AIXTRON'!E77</f>
        <v/>
      </c>
      <c r="F77" s="21">
        <f>'Std AIXTRON'!F77</f>
        <v/>
      </c>
      <c r="G77" s="21">
        <f>'Std AIXTRON'!G77</f>
        <v/>
      </c>
    </row>
    <row r="78">
      <c r="A78" s="24">
        <f> Total Debt</f>
        <v/>
      </c>
      <c r="B78" s="36">
        <f>'Std AIXTRON'!B78</f>
        <v/>
      </c>
      <c r="C78" s="36">
        <f>'Std AIXTRON'!C78</f>
        <v/>
      </c>
      <c r="D78" s="36">
        <f>'Std AIXTRON'!D78</f>
        <v/>
      </c>
      <c r="E78" s="36">
        <f>'Std AIXTRON'!E78</f>
        <v/>
      </c>
      <c r="F78" s="36">
        <f>'Std AIXTRON'!F78</f>
        <v/>
      </c>
      <c r="G78" s="36">
        <f>'Std AIXTRON'!G78</f>
        <v/>
      </c>
    </row>
    <row r="79">
      <c r="A79" s="11" t="inlineStr">
        <is>
          <t xml:space="preserve">  Cash &amp; Equivalents</t>
        </is>
      </c>
      <c r="B79" s="21">
        <f>'Std AIXTRON'!B79</f>
        <v/>
      </c>
      <c r="C79" s="21">
        <f>'Std AIXTRON'!C79</f>
        <v/>
      </c>
      <c r="D79" s="21">
        <f>'Std AIXTRON'!D79</f>
        <v/>
      </c>
      <c r="E79" s="21">
        <f>'Std AIXTRON'!E79</f>
        <v/>
      </c>
      <c r="F79" s="21">
        <f>'Std AIXTRON'!F79</f>
        <v/>
      </c>
      <c r="G79" s="21">
        <f>'Std AIXTRON'!G79</f>
        <v/>
      </c>
    </row>
    <row r="80">
      <c r="A80" s="22">
        <f> Net Debt</f>
        <v/>
      </c>
      <c r="B80" s="35">
        <f>'Std AIXTRON'!B80</f>
        <v/>
      </c>
      <c r="C80" s="35">
        <f>'Std AIXTRON'!C80</f>
        <v/>
      </c>
      <c r="D80" s="35">
        <f>'Std AIXTRON'!D80</f>
        <v/>
      </c>
      <c r="E80" s="35">
        <f>'Std AIXTRON'!E80</f>
        <v/>
      </c>
      <c r="F80" s="35">
        <f>'Std AIXTRON'!F80</f>
        <v/>
      </c>
      <c r="G80" s="35">
        <f>'Std AIXTRON'!G80</f>
        <v/>
      </c>
    </row>
    <row r="81">
      <c r="A81" s="11" t="inlineStr">
        <is>
          <t>Group Equity</t>
        </is>
      </c>
      <c r="B81" s="21">
        <f>'Std AIXTRON'!B81</f>
        <v/>
      </c>
      <c r="C81" s="21">
        <f>'Std AIXTRON'!C81</f>
        <v/>
      </c>
      <c r="D81" s="21">
        <f>'Std AIXTRON'!D81</f>
        <v/>
      </c>
      <c r="E81" s="21">
        <f>'Std AIXTRON'!E81</f>
        <v/>
      </c>
      <c r="F81" s="21">
        <f>'Std AIXTRON'!F81</f>
        <v/>
      </c>
      <c r="G81" s="21">
        <f>'Std AIXTRON'!G81</f>
        <v/>
      </c>
    </row>
    <row r="82">
      <c r="A82" s="26">
        <f> Invested Capital</f>
        <v/>
      </c>
      <c r="B82" s="37">
        <f>'Std AIXTRON'!B82</f>
        <v/>
      </c>
      <c r="C82" s="37">
        <f>'Std AIXTRON'!C82</f>
        <v/>
      </c>
      <c r="D82" s="37">
        <f>'Std AIXTRON'!D82</f>
        <v/>
      </c>
      <c r="E82" s="37">
        <f>'Std AIXTRON'!E82</f>
        <v/>
      </c>
      <c r="F82" s="37">
        <f>'Std AIXTRON'!F82</f>
        <v/>
      </c>
      <c r="G82" s="37">
        <f>'Std AIXTRON'!G82</f>
        <v/>
      </c>
    </row>
    <row r="83">
      <c r="A83" s="22" t="inlineStr">
        <is>
          <t>BS Check (should = 0)</t>
        </is>
      </c>
      <c r="B83" s="35">
        <f>'Std AIXTRON'!B83</f>
        <v/>
      </c>
      <c r="C83" s="35">
        <f>'Std AIXTRON'!C83</f>
        <v/>
      </c>
      <c r="D83" s="35">
        <f>'Std AIXTRON'!D83</f>
        <v/>
      </c>
      <c r="E83" s="35">
        <f>'Std AIXTRON'!E83</f>
        <v/>
      </c>
      <c r="F83" s="35">
        <f>'Std AIXTRON'!F83</f>
        <v/>
      </c>
      <c r="G83" s="35">
        <f>'Std AIXTRON'!G83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AIXTRON'!B87</f>
        <v/>
      </c>
      <c r="C87" s="21">
        <f>'Std AIXTRON'!C87</f>
        <v/>
      </c>
      <c r="D87" s="21">
        <f>'Std AIXTRON'!D87</f>
        <v/>
      </c>
      <c r="E87" s="21">
        <f>'Std AIXTRON'!E87</f>
        <v/>
      </c>
      <c r="F87" s="21">
        <f>'Std AIXTRON'!F87</f>
        <v/>
      </c>
      <c r="G87" s="21">
        <f>'Std AIXTRON'!G87</f>
        <v/>
      </c>
    </row>
    <row r="88">
      <c r="A88" s="11" t="inlineStr">
        <is>
          <t>+ D&amp;A</t>
        </is>
      </c>
      <c r="B88" s="21">
        <f>'Std AIXTRON'!B88</f>
        <v/>
      </c>
      <c r="C88" s="21">
        <f>'Std AIXTRON'!C88</f>
        <v/>
      </c>
      <c r="D88" s="21">
        <f>'Std AIXTRON'!D88</f>
        <v/>
      </c>
      <c r="E88" s="21">
        <f>'Std AIXTRON'!E88</f>
        <v/>
      </c>
      <c r="F88" s="21">
        <f>'Std AIXTRON'!F88</f>
        <v/>
      </c>
      <c r="G88" s="21">
        <f>'Std AIXTRON'!G88</f>
        <v/>
      </c>
    </row>
    <row r="89">
      <c r="A89" s="11" t="inlineStr">
        <is>
          <t>- Change in OWC</t>
        </is>
      </c>
      <c r="B89" s="21">
        <f>'Std AIXTRON'!B89</f>
        <v/>
      </c>
      <c r="C89" s="21">
        <f>'Std AIXTRON'!C89</f>
        <v/>
      </c>
      <c r="D89" s="21">
        <f>'Std AIXTRON'!D89</f>
        <v/>
      </c>
      <c r="E89" s="21">
        <f>'Std AIXTRON'!E89</f>
        <v/>
      </c>
      <c r="F89" s="21">
        <f>'Std AIXTRON'!F89</f>
        <v/>
      </c>
      <c r="G89" s="21">
        <f>'Std AIXTRON'!G89</f>
        <v/>
      </c>
    </row>
    <row r="90">
      <c r="A90" s="11" t="inlineStr">
        <is>
          <t>- CapEx</t>
        </is>
      </c>
      <c r="B90" s="21">
        <f>'Std AIXTRON'!B90</f>
        <v/>
      </c>
      <c r="C90" s="21">
        <f>'Std AIXTRON'!C90</f>
        <v/>
      </c>
      <c r="D90" s="21">
        <f>'Std AIXTRON'!D90</f>
        <v/>
      </c>
      <c r="E90" s="21">
        <f>'Std AIXTRON'!E90</f>
        <v/>
      </c>
      <c r="F90" s="21">
        <f>'Std AIXTRON'!F90</f>
        <v/>
      </c>
      <c r="G90" s="21">
        <f>'Std AIXTRON'!G90</f>
        <v/>
      </c>
    </row>
    <row r="91">
      <c r="A91" s="11" t="inlineStr">
        <is>
          <t>- Purchase of Intangibles</t>
        </is>
      </c>
      <c r="B91" s="21">
        <f>'Std AIXTRON'!B91</f>
        <v/>
      </c>
      <c r="C91" s="21">
        <f>'Std AIXTRON'!C91</f>
        <v/>
      </c>
      <c r="D91" s="21">
        <f>'Std AIXTRON'!D91</f>
        <v/>
      </c>
      <c r="E91" s="21">
        <f>'Std AIXTRON'!E91</f>
        <v/>
      </c>
      <c r="F91" s="21">
        <f>'Std AIXTRON'!F91</f>
        <v/>
      </c>
      <c r="G91" s="21">
        <f>'Std AIXTRON'!G91</f>
        <v/>
      </c>
    </row>
    <row r="92">
      <c r="A92" s="24">
        <f> Operating CF after investment</f>
        <v/>
      </c>
      <c r="B92" s="36">
        <f>'Std AIXTRON'!B92</f>
        <v/>
      </c>
      <c r="C92" s="36">
        <f>'Std AIXTRON'!C92</f>
        <v/>
      </c>
      <c r="D92" s="36">
        <f>'Std AIXTRON'!D92</f>
        <v/>
      </c>
      <c r="E92" s="36">
        <f>'Std AIXTRON'!E92</f>
        <v/>
      </c>
      <c r="F92" s="36">
        <f>'Std AIXTRON'!F92</f>
        <v/>
      </c>
      <c r="G92" s="36">
        <f>'Std AIXTRON'!G92</f>
        <v/>
      </c>
    </row>
    <row r="93"/>
    <row r="94">
      <c r="A94" s="11" t="inlineStr">
        <is>
          <t>+ Net Investment Profit after tax</t>
        </is>
      </c>
      <c r="B94" s="21">
        <f>'Std AIXTRON'!B94</f>
        <v/>
      </c>
      <c r="C94" s="21">
        <f>'Std AIXTRON'!C94</f>
        <v/>
      </c>
      <c r="D94" s="21">
        <f>'Std AIXTRON'!D94</f>
        <v/>
      </c>
      <c r="E94" s="21">
        <f>'Std AIXTRON'!E94</f>
        <v/>
      </c>
      <c r="F94" s="21">
        <f>'Std AIXTRON'!F94</f>
        <v/>
      </c>
      <c r="G94" s="21">
        <f>'Std AIXTRON'!G94</f>
        <v/>
      </c>
    </row>
    <row r="95">
      <c r="A95" s="11" t="inlineStr">
        <is>
          <t>- Change in Investment Assets</t>
        </is>
      </c>
      <c r="B95" s="21">
        <f>'Std AIXTRON'!B95</f>
        <v/>
      </c>
      <c r="C95" s="21">
        <f>'Std AIXTRON'!C95</f>
        <v/>
      </c>
      <c r="D95" s="21">
        <f>'Std AIXTRON'!D95</f>
        <v/>
      </c>
      <c r="E95" s="21">
        <f>'Std AIXTRON'!E95</f>
        <v/>
      </c>
      <c r="F95" s="21">
        <f>'Std AIXTRON'!F95</f>
        <v/>
      </c>
      <c r="G95" s="21">
        <f>'Std AIXTRON'!G95</f>
        <v/>
      </c>
    </row>
    <row r="96">
      <c r="A96" s="24">
        <f> FCF to Debt &amp; Equity</f>
        <v/>
      </c>
      <c r="B96" s="36">
        <f>'Std AIXTRON'!B96</f>
        <v/>
      </c>
      <c r="C96" s="36">
        <f>'Std AIXTRON'!C96</f>
        <v/>
      </c>
      <c r="D96" s="36">
        <f>'Std AIXTRON'!D96</f>
        <v/>
      </c>
      <c r="E96" s="36">
        <f>'Std AIXTRON'!E96</f>
        <v/>
      </c>
      <c r="F96" s="36">
        <f>'Std AIXTRON'!F96</f>
        <v/>
      </c>
      <c r="G96" s="36">
        <f>'Std AIXTRON'!G96</f>
        <v/>
      </c>
    </row>
    <row r="97">
      <c r="A97" s="11" t="inlineStr">
        <is>
          <t>- Interest Expense after tax</t>
        </is>
      </c>
      <c r="B97" s="21">
        <f>'Std AIXTRON'!B97</f>
        <v/>
      </c>
      <c r="C97" s="21">
        <f>'Std AIXTRON'!C97</f>
        <v/>
      </c>
      <c r="D97" s="21">
        <f>'Std AIXTRON'!D97</f>
        <v/>
      </c>
      <c r="E97" s="21">
        <f>'Std AIXTRON'!E97</f>
        <v/>
      </c>
      <c r="F97" s="21">
        <f>'Std AIXTRON'!F97</f>
        <v/>
      </c>
      <c r="G97" s="21">
        <f>'Std AIXTRON'!G97</f>
        <v/>
      </c>
    </row>
    <row r="98">
      <c r="A98" s="11" t="inlineStr">
        <is>
          <t>+ Change in Debt</t>
        </is>
      </c>
      <c r="B98" s="21">
        <f>'Std AIXTRON'!B98</f>
        <v/>
      </c>
      <c r="C98" s="21">
        <f>'Std AIXTRON'!C98</f>
        <v/>
      </c>
      <c r="D98" s="21">
        <f>'Std AIXTRON'!D98</f>
        <v/>
      </c>
      <c r="E98" s="21">
        <f>'Std AIXTRON'!E98</f>
        <v/>
      </c>
      <c r="F98" s="21">
        <f>'Std AIXTRON'!F98</f>
        <v/>
      </c>
      <c r="G98" s="21">
        <f>'Std AIXTRON'!G98</f>
        <v/>
      </c>
    </row>
    <row r="99">
      <c r="A99" s="26">
        <f> FCF to Equity</f>
        <v/>
      </c>
      <c r="B99" s="37">
        <f>'Std AIXTRON'!B99</f>
        <v/>
      </c>
      <c r="C99" s="37">
        <f>'Std AIXTRON'!C99</f>
        <v/>
      </c>
      <c r="D99" s="37">
        <f>'Std AIXTRON'!D99</f>
        <v/>
      </c>
      <c r="E99" s="37">
        <f>'Std AIXTRON'!E99</f>
        <v/>
      </c>
      <c r="F99" s="37">
        <f>'Std AIXTRON'!F99</f>
        <v/>
      </c>
      <c r="G99" s="37">
        <f>'Std AIXTRON'!G99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33">
        <f>'Std AMAT'!B3</f>
        <v/>
      </c>
      <c r="C3" s="33">
        <f>'Std AMAT'!C3</f>
        <v/>
      </c>
      <c r="D3" s="33">
        <f>'Std AMAT'!D3</f>
        <v/>
      </c>
      <c r="E3" s="33">
        <f>'Std AMAT'!E3</f>
        <v/>
      </c>
      <c r="F3" s="33">
        <f>'Std AMAT'!F3</f>
        <v/>
      </c>
      <c r="G3" s="33">
        <f>'Std AMAT'!G3</f>
        <v/>
      </c>
    </row>
    <row r="4"/>
    <row r="5">
      <c r="A5" s="11" t="inlineStr">
        <is>
          <t>Operating cash %</t>
        </is>
      </c>
      <c r="B5" s="34">
        <f>'Std AMAT'!B5</f>
        <v/>
      </c>
      <c r="C5" s="34">
        <f>'Std AMAT'!C5</f>
        <v/>
      </c>
      <c r="D5" s="34">
        <f>'Std AMAT'!D5</f>
        <v/>
      </c>
      <c r="E5" s="34">
        <f>'Std AMAT'!E5</f>
        <v/>
      </c>
      <c r="F5" s="34">
        <f>'Std AMAT'!F5</f>
        <v/>
      </c>
      <c r="G5" s="34">
        <f>'Std AMAT'!G5</f>
        <v/>
      </c>
    </row>
    <row r="6">
      <c r="A6" s="11" t="inlineStr">
        <is>
          <t>Tax rate (effective)</t>
        </is>
      </c>
      <c r="B6" s="18">
        <f>'Std AMAT'!B6</f>
        <v/>
      </c>
      <c r="C6" s="18">
        <f>'Std AMAT'!C6</f>
        <v/>
      </c>
      <c r="D6" s="18">
        <f>'Std AMAT'!D6</f>
        <v/>
      </c>
      <c r="E6" s="18">
        <f>'Std AMAT'!E6</f>
        <v/>
      </c>
      <c r="F6" s="18">
        <f>'Std AMAT'!F6</f>
        <v/>
      </c>
      <c r="G6" s="18">
        <f>'Std AMAT'!G6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AMAT'!B9</f>
        <v/>
      </c>
      <c r="C9" s="21">
        <f>'Std AMAT'!C9</f>
        <v/>
      </c>
      <c r="D9" s="21">
        <f>'Std AMAT'!D9</f>
        <v/>
      </c>
      <c r="E9" s="21">
        <f>'Std AMAT'!E9</f>
        <v/>
      </c>
      <c r="F9" s="21">
        <f>'Std AMAT'!F9</f>
        <v/>
      </c>
      <c r="G9" s="21">
        <f>'Std AMAT'!G9</f>
        <v/>
      </c>
    </row>
    <row r="10">
      <c r="A10" s="11" t="inlineStr">
        <is>
          <t>Cost of Sales</t>
        </is>
      </c>
      <c r="B10" s="21">
        <f>'Std AMAT'!B10</f>
        <v/>
      </c>
      <c r="C10" s="21">
        <f>'Std AMAT'!C10</f>
        <v/>
      </c>
      <c r="D10" s="21">
        <f>'Std AMAT'!D10</f>
        <v/>
      </c>
      <c r="E10" s="21">
        <f>'Std AMAT'!E10</f>
        <v/>
      </c>
      <c r="F10" s="21">
        <f>'Std AMAT'!F10</f>
        <v/>
      </c>
      <c r="G10" s="21">
        <f>'Std AMAT'!G10</f>
        <v/>
      </c>
    </row>
    <row r="11">
      <c r="A11" s="22" t="inlineStr">
        <is>
          <t>Gross Profit</t>
        </is>
      </c>
      <c r="B11" s="35">
        <f>'Std AMAT'!B11</f>
        <v/>
      </c>
      <c r="C11" s="35">
        <f>'Std AMAT'!C11</f>
        <v/>
      </c>
      <c r="D11" s="35">
        <f>'Std AMAT'!D11</f>
        <v/>
      </c>
      <c r="E11" s="35">
        <f>'Std AMAT'!E11</f>
        <v/>
      </c>
      <c r="F11" s="35">
        <f>'Std AMAT'!F11</f>
        <v/>
      </c>
      <c r="G11" s="35">
        <f>'Std AMAT'!G11</f>
        <v/>
      </c>
    </row>
    <row r="12">
      <c r="A12" s="11" t="inlineStr">
        <is>
          <t xml:space="preserve">  SG&amp;A</t>
        </is>
      </c>
      <c r="B12" s="21">
        <f>'Std AMAT'!B12</f>
        <v/>
      </c>
      <c r="C12" s="21">
        <f>'Std AMAT'!C12</f>
        <v/>
      </c>
      <c r="D12" s="21">
        <f>'Std AMAT'!D12</f>
        <v/>
      </c>
      <c r="E12" s="21">
        <f>'Std AMAT'!E12</f>
        <v/>
      </c>
      <c r="F12" s="21">
        <f>'Std AMAT'!F12</f>
        <v/>
      </c>
      <c r="G12" s="21">
        <f>'Std AMAT'!G12</f>
        <v/>
      </c>
    </row>
    <row r="13">
      <c r="A13" s="11" t="inlineStr">
        <is>
          <t xml:space="preserve">  R&amp;D</t>
        </is>
      </c>
      <c r="B13" s="21">
        <f>'Std AMAT'!B13</f>
        <v/>
      </c>
      <c r="C13" s="21">
        <f>'Std AMAT'!C13</f>
        <v/>
      </c>
      <c r="D13" s="21">
        <f>'Std AMAT'!D13</f>
        <v/>
      </c>
      <c r="E13" s="21">
        <f>'Std AMAT'!E13</f>
        <v/>
      </c>
      <c r="F13" s="21">
        <f>'Std AMAT'!F13</f>
        <v/>
      </c>
      <c r="G13" s="21">
        <f>'Std AMAT'!G13</f>
        <v/>
      </c>
    </row>
    <row r="14">
      <c r="A14" s="11" t="inlineStr">
        <is>
          <t xml:space="preserve">  Depreciation &amp; Amortization</t>
        </is>
      </c>
      <c r="B14" s="21">
        <f>'Std AMAT'!B14</f>
        <v/>
      </c>
      <c r="C14" s="21">
        <f>'Std AMAT'!C14</f>
        <v/>
      </c>
      <c r="D14" s="21">
        <f>'Std AMAT'!D14</f>
        <v/>
      </c>
      <c r="E14" s="21">
        <f>'Std AMAT'!E14</f>
        <v/>
      </c>
      <c r="F14" s="21">
        <f>'Std AMAT'!F14</f>
        <v/>
      </c>
      <c r="G14" s="21">
        <f>'Std AMAT'!G14</f>
        <v/>
      </c>
    </row>
    <row r="15">
      <c r="A15" s="11" t="inlineStr">
        <is>
          <t xml:space="preserve">  Other Operating Expense</t>
        </is>
      </c>
      <c r="B15" s="21">
        <f>'Std AMAT'!B15</f>
        <v/>
      </c>
      <c r="C15" s="21">
        <f>'Std AMAT'!C15</f>
        <v/>
      </c>
      <c r="D15" s="21">
        <f>'Std AMAT'!D15</f>
        <v/>
      </c>
      <c r="E15" s="21">
        <f>'Std AMAT'!E15</f>
        <v/>
      </c>
      <c r="F15" s="21">
        <f>'Std AMAT'!F15</f>
        <v/>
      </c>
      <c r="G15" s="21">
        <f>'Std AMAT'!G15</f>
        <v/>
      </c>
    </row>
    <row r="16">
      <c r="A16" s="24" t="inlineStr">
        <is>
          <t>Total Operating Expense</t>
        </is>
      </c>
      <c r="B16" s="36">
        <f>'Std AMAT'!B16</f>
        <v/>
      </c>
      <c r="C16" s="36">
        <f>'Std AMAT'!C16</f>
        <v/>
      </c>
      <c r="D16" s="36">
        <f>'Std AMAT'!D16</f>
        <v/>
      </c>
      <c r="E16" s="36">
        <f>'Std AMAT'!E16</f>
        <v/>
      </c>
      <c r="F16" s="36">
        <f>'Std AMAT'!F16</f>
        <v/>
      </c>
      <c r="G16" s="36">
        <f>'Std AMAT'!G16</f>
        <v/>
      </c>
    </row>
    <row r="17">
      <c r="A17" s="24" t="inlineStr">
        <is>
          <t>Recurring Operating Profit</t>
        </is>
      </c>
      <c r="B17" s="36">
        <f>'Std AMAT'!B17</f>
        <v/>
      </c>
      <c r="C17" s="36">
        <f>'Std AMAT'!C17</f>
        <v/>
      </c>
      <c r="D17" s="36">
        <f>'Std AMAT'!D17</f>
        <v/>
      </c>
      <c r="E17" s="36">
        <f>'Std AMAT'!E17</f>
        <v/>
      </c>
      <c r="F17" s="36">
        <f>'Std AMAT'!F17</f>
        <v/>
      </c>
      <c r="G17" s="36">
        <f>'Std AMAT'!G17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AMAT'!B20</f>
        <v/>
      </c>
      <c r="C20" s="21">
        <f>'Std AMAT'!C20</f>
        <v/>
      </c>
      <c r="D20" s="21">
        <f>'Std AMAT'!D20</f>
        <v/>
      </c>
      <c r="E20" s="21">
        <f>'Std AMAT'!E20</f>
        <v/>
      </c>
      <c r="F20" s="21">
        <f>'Std AMAT'!F20</f>
        <v/>
      </c>
      <c r="G20" s="21">
        <f>'Std AMAT'!G20</f>
        <v/>
      </c>
    </row>
    <row r="21">
      <c r="A21" s="11" t="inlineStr">
        <is>
          <t xml:space="preserve">  Gain/Loss on Sale of Assets</t>
        </is>
      </c>
      <c r="B21" s="21">
        <f>'Std AMAT'!B21</f>
        <v/>
      </c>
      <c r="C21" s="21">
        <f>'Std AMAT'!C21</f>
        <v/>
      </c>
      <c r="D21" s="21">
        <f>'Std AMAT'!D21</f>
        <v/>
      </c>
      <c r="E21" s="21">
        <f>'Std AMAT'!E21</f>
        <v/>
      </c>
      <c r="F21" s="21">
        <f>'Std AMAT'!F21</f>
        <v/>
      </c>
      <c r="G21" s="21">
        <f>'Std AMAT'!G21</f>
        <v/>
      </c>
    </row>
    <row r="22">
      <c r="A22" s="11" t="inlineStr">
        <is>
          <t xml:space="preserve">  Asset Writedown</t>
        </is>
      </c>
      <c r="B22" s="21">
        <f>'Std AMAT'!B22</f>
        <v/>
      </c>
      <c r="C22" s="21">
        <f>'Std AMAT'!C22</f>
        <v/>
      </c>
      <c r="D22" s="21">
        <f>'Std AMAT'!D22</f>
        <v/>
      </c>
      <c r="E22" s="21">
        <f>'Std AMAT'!E22</f>
        <v/>
      </c>
      <c r="F22" s="21">
        <f>'Std AMAT'!F22</f>
        <v/>
      </c>
      <c r="G22" s="21">
        <f>'Std AMAT'!G22</f>
        <v/>
      </c>
    </row>
    <row r="23">
      <c r="A23" s="11" t="inlineStr">
        <is>
          <t xml:space="preserve">  Other Unusual Items</t>
        </is>
      </c>
      <c r="B23" s="21">
        <f>'Std AMAT'!B23</f>
        <v/>
      </c>
      <c r="C23" s="21">
        <f>'Std AMAT'!C23</f>
        <v/>
      </c>
      <c r="D23" s="21">
        <f>'Std AMAT'!D23</f>
        <v/>
      </c>
      <c r="E23" s="21">
        <f>'Std AMAT'!E23</f>
        <v/>
      </c>
      <c r="F23" s="21">
        <f>'Std AMAT'!F23</f>
        <v/>
      </c>
      <c r="G23" s="21">
        <f>'Std AMAT'!G23</f>
        <v/>
      </c>
    </row>
    <row r="24">
      <c r="A24" s="22" t="inlineStr">
        <is>
          <t>Total Non-recurring</t>
        </is>
      </c>
      <c r="B24" s="35">
        <f>'Std AMAT'!B24</f>
        <v/>
      </c>
      <c r="C24" s="35">
        <f>'Std AMAT'!C24</f>
        <v/>
      </c>
      <c r="D24" s="35">
        <f>'Std AMAT'!D24</f>
        <v/>
      </c>
      <c r="E24" s="35">
        <f>'Std AMAT'!E24</f>
        <v/>
      </c>
      <c r="F24" s="35">
        <f>'Std AMAT'!F24</f>
        <v/>
      </c>
      <c r="G24" s="35">
        <f>'Std AMAT'!G24</f>
        <v/>
      </c>
    </row>
    <row r="25">
      <c r="A25" s="24" t="inlineStr">
        <is>
          <t>EBIT</t>
        </is>
      </c>
      <c r="B25" s="36">
        <f>'Std AMAT'!B25</f>
        <v/>
      </c>
      <c r="C25" s="36">
        <f>'Std AMAT'!C25</f>
        <v/>
      </c>
      <c r="D25" s="36">
        <f>'Std AMAT'!D25</f>
        <v/>
      </c>
      <c r="E25" s="36">
        <f>'Std AMAT'!E25</f>
        <v/>
      </c>
      <c r="F25" s="36">
        <f>'Std AMAT'!F25</f>
        <v/>
      </c>
      <c r="G25" s="36">
        <f>'Std AMAT'!G25</f>
        <v/>
      </c>
    </row>
    <row r="26"/>
    <row r="27">
      <c r="A27" s="11" t="inlineStr">
        <is>
          <t xml:space="preserve">  Investment Income (Equity Method)</t>
        </is>
      </c>
      <c r="B27" s="21">
        <f>'Std AMAT'!B27</f>
        <v/>
      </c>
      <c r="C27" s="21">
        <f>'Std AMAT'!C27</f>
        <v/>
      </c>
      <c r="D27" s="21">
        <f>'Std AMAT'!D27</f>
        <v/>
      </c>
      <c r="E27" s="21">
        <f>'Std AMAT'!E27</f>
        <v/>
      </c>
      <c r="F27" s="21">
        <f>'Std AMAT'!F27</f>
        <v/>
      </c>
      <c r="G27" s="21">
        <f>'Std AMAT'!G27</f>
        <v/>
      </c>
    </row>
    <row r="28">
      <c r="A28" s="11" t="inlineStr">
        <is>
          <t xml:space="preserve">  Interest Income</t>
        </is>
      </c>
      <c r="B28" s="21">
        <f>'Std AMAT'!B28</f>
        <v/>
      </c>
      <c r="C28" s="21">
        <f>'Std AMAT'!C28</f>
        <v/>
      </c>
      <c r="D28" s="21">
        <f>'Std AMAT'!D28</f>
        <v/>
      </c>
      <c r="E28" s="21">
        <f>'Std AMAT'!E28</f>
        <v/>
      </c>
      <c r="F28" s="21">
        <f>'Std AMAT'!F28</f>
        <v/>
      </c>
      <c r="G28" s="21">
        <f>'Std AMAT'!G28</f>
        <v/>
      </c>
    </row>
    <row r="29">
      <c r="A29" s="11" t="inlineStr">
        <is>
          <t xml:space="preserve">  Interest Expense</t>
        </is>
      </c>
      <c r="B29" s="21">
        <f>'Std AMAT'!B29</f>
        <v/>
      </c>
      <c r="C29" s="21">
        <f>'Std AMAT'!C29</f>
        <v/>
      </c>
      <c r="D29" s="21">
        <f>'Std AMAT'!D29</f>
        <v/>
      </c>
      <c r="E29" s="21">
        <f>'Std AMAT'!E29</f>
        <v/>
      </c>
      <c r="F29" s="21">
        <f>'Std AMAT'!F29</f>
        <v/>
      </c>
      <c r="G29" s="21">
        <f>'Std AMAT'!G29</f>
        <v/>
      </c>
    </row>
    <row r="30">
      <c r="A30" s="11" t="inlineStr">
        <is>
          <t xml:space="preserve">  FX Gains/(Losses)</t>
        </is>
      </c>
      <c r="B30" s="21">
        <f>'Std AMAT'!B30</f>
        <v/>
      </c>
      <c r="C30" s="21">
        <f>'Std AMAT'!C30</f>
        <v/>
      </c>
      <c r="D30" s="21">
        <f>'Std AMAT'!D30</f>
        <v/>
      </c>
      <c r="E30" s="21">
        <f>'Std AMAT'!E30</f>
        <v/>
      </c>
      <c r="F30" s="21">
        <f>'Std AMAT'!F30</f>
        <v/>
      </c>
      <c r="G30" s="21">
        <f>'Std AMAT'!G30</f>
        <v/>
      </c>
    </row>
    <row r="31">
      <c r="A31" s="22" t="inlineStr">
        <is>
          <t>Profit Before Tax</t>
        </is>
      </c>
      <c r="B31" s="35">
        <f>'Std AMAT'!B31</f>
        <v/>
      </c>
      <c r="C31" s="35">
        <f>'Std AMAT'!C31</f>
        <v/>
      </c>
      <c r="D31" s="35">
        <f>'Std AMAT'!D31</f>
        <v/>
      </c>
      <c r="E31" s="35">
        <f>'Std AMAT'!E31</f>
        <v/>
      </c>
      <c r="F31" s="35">
        <f>'Std AMAT'!F31</f>
        <v/>
      </c>
      <c r="G31" s="35">
        <f>'Std AMAT'!G31</f>
        <v/>
      </c>
    </row>
    <row r="32">
      <c r="A32" s="11" t="inlineStr">
        <is>
          <t xml:space="preserve">  Tax Expense</t>
        </is>
      </c>
      <c r="B32" s="21">
        <f>'Std AMAT'!B32</f>
        <v/>
      </c>
      <c r="C32" s="21">
        <f>'Std AMAT'!C32</f>
        <v/>
      </c>
      <c r="D32" s="21">
        <f>'Std AMAT'!D32</f>
        <v/>
      </c>
      <c r="E32" s="21">
        <f>'Std AMAT'!E32</f>
        <v/>
      </c>
      <c r="F32" s="21">
        <f>'Std AMAT'!F32</f>
        <v/>
      </c>
      <c r="G32" s="21">
        <f>'Std AMAT'!G32</f>
        <v/>
      </c>
    </row>
    <row r="33">
      <c r="A33" s="26" t="inlineStr">
        <is>
          <t>Net Income</t>
        </is>
      </c>
      <c r="B33" s="37">
        <f>'Std AMAT'!B33</f>
        <v/>
      </c>
      <c r="C33" s="37">
        <f>'Std AMAT'!C33</f>
        <v/>
      </c>
      <c r="D33" s="37">
        <f>'Std AMAT'!D33</f>
        <v/>
      </c>
      <c r="E33" s="37">
        <f>'Std AMAT'!E33</f>
        <v/>
      </c>
      <c r="F33" s="37">
        <f>'Std AMAT'!F33</f>
        <v/>
      </c>
      <c r="G33" s="37">
        <f>'Std AMAT'!G33</f>
        <v/>
      </c>
    </row>
    <row r="34"/>
    <row r="35">
      <c r="A35" s="11" t="inlineStr">
        <is>
          <t>Effective Tax Rate</t>
        </is>
      </c>
      <c r="B35" s="18">
        <f>'Std AMAT'!B35</f>
        <v/>
      </c>
      <c r="C35" s="18">
        <f>'Std AMAT'!C35</f>
        <v/>
      </c>
      <c r="D35" s="18">
        <f>'Std AMAT'!D35</f>
        <v/>
      </c>
      <c r="E35" s="18">
        <f>'Std AMAT'!E35</f>
        <v/>
      </c>
      <c r="F35" s="18">
        <f>'Std AMAT'!F35</f>
        <v/>
      </c>
      <c r="G35" s="18">
        <f>'Std AMAT'!G35</f>
        <v/>
      </c>
    </row>
    <row r="36">
      <c r="A36" s="22" t="inlineStr">
        <is>
          <t>NOPAT</t>
        </is>
      </c>
      <c r="B36" s="35">
        <f>'Std AMAT'!B36</f>
        <v/>
      </c>
      <c r="C36" s="35">
        <f>'Std AMAT'!C36</f>
        <v/>
      </c>
      <c r="D36" s="35">
        <f>'Std AMAT'!D36</f>
        <v/>
      </c>
      <c r="E36" s="35">
        <f>'Std AMAT'!E36</f>
        <v/>
      </c>
      <c r="F36" s="35">
        <f>'Std AMAT'!F36</f>
        <v/>
      </c>
      <c r="G36" s="35">
        <f>'Std AMAT'!G36</f>
        <v/>
      </c>
    </row>
    <row r="37"/>
    <row r="38">
      <c r="A38" s="11" t="inlineStr">
        <is>
          <t>Shares Outstanding (diluted)</t>
        </is>
      </c>
      <c r="B38" s="21">
        <f>'Std AMAT'!B38</f>
        <v/>
      </c>
      <c r="C38" s="21">
        <f>'Std AMAT'!C38</f>
        <v/>
      </c>
      <c r="D38" s="21">
        <f>'Std AMAT'!D38</f>
        <v/>
      </c>
      <c r="E38" s="21">
        <f>'Std AMAT'!E38</f>
        <v/>
      </c>
      <c r="F38" s="21">
        <f>'Std AMAT'!F38</f>
        <v/>
      </c>
      <c r="G38" s="21">
        <f>'Std AMAT'!G38</f>
        <v/>
      </c>
    </row>
    <row r="39">
      <c r="A39" s="11" t="inlineStr">
        <is>
          <t>EPS (diluted)</t>
        </is>
      </c>
      <c r="B39" s="30">
        <f>'Std AMAT'!B39</f>
        <v/>
      </c>
      <c r="C39" s="30">
        <f>'Std AMAT'!C39</f>
        <v/>
      </c>
      <c r="D39" s="30">
        <f>'Std AMAT'!D39</f>
        <v/>
      </c>
      <c r="E39" s="30">
        <f>'Std AMAT'!E39</f>
        <v/>
      </c>
      <c r="F39" s="30">
        <f>'Std AMAT'!F39</f>
        <v/>
      </c>
      <c r="G39" s="30">
        <f>'Std AMAT'!G39</f>
        <v/>
      </c>
    </row>
    <row r="40">
      <c r="A40" s="11" t="inlineStr">
        <is>
          <t>Dividends per Share</t>
        </is>
      </c>
      <c r="B40" s="30">
        <f>'Std AMAT'!B40</f>
        <v/>
      </c>
      <c r="C40" s="30">
        <f>'Std AMAT'!C40</f>
        <v/>
      </c>
      <c r="D40" s="30">
        <f>'Std AMAT'!D40</f>
        <v/>
      </c>
      <c r="E40" s="30">
        <f>'Std AMAT'!E40</f>
        <v/>
      </c>
      <c r="F40" s="30">
        <f>'Std AMAT'!F40</f>
        <v/>
      </c>
      <c r="G40" s="30">
        <f>'Std AMAT'!G40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AMAT'!B45</f>
        <v/>
      </c>
      <c r="C45" s="21">
        <f>'Std AMAT'!C45</f>
        <v/>
      </c>
      <c r="D45" s="21">
        <f>'Std AMAT'!D45</f>
        <v/>
      </c>
      <c r="E45" s="21">
        <f>'Std AMAT'!E45</f>
        <v/>
      </c>
      <c r="F45" s="21">
        <f>'Std AMAT'!F45</f>
        <v/>
      </c>
      <c r="G45" s="21">
        <f>'Std AMAT'!G45</f>
        <v/>
      </c>
    </row>
    <row r="46">
      <c r="A46" s="11" t="inlineStr">
        <is>
          <t xml:space="preserve">  + Other Receivables</t>
        </is>
      </c>
      <c r="B46" s="21">
        <f>'Std AMAT'!B46</f>
        <v/>
      </c>
      <c r="C46" s="21">
        <f>'Std AMAT'!C46</f>
        <v/>
      </c>
      <c r="D46" s="21">
        <f>'Std AMAT'!D46</f>
        <v/>
      </c>
      <c r="E46" s="21">
        <f>'Std AMAT'!E46</f>
        <v/>
      </c>
      <c r="F46" s="21">
        <f>'Std AMAT'!F46</f>
        <v/>
      </c>
      <c r="G46" s="21">
        <f>'Std AMAT'!G46</f>
        <v/>
      </c>
    </row>
    <row r="47">
      <c r="A47" s="11" t="inlineStr">
        <is>
          <t xml:space="preserve">  + Inventories</t>
        </is>
      </c>
      <c r="B47" s="21">
        <f>'Std AMAT'!B47</f>
        <v/>
      </c>
      <c r="C47" s="21">
        <f>'Std AMAT'!C47</f>
        <v/>
      </c>
      <c r="D47" s="21">
        <f>'Std AMAT'!D47</f>
        <v/>
      </c>
      <c r="E47" s="21">
        <f>'Std AMAT'!E47</f>
        <v/>
      </c>
      <c r="F47" s="21">
        <f>'Std AMAT'!F47</f>
        <v/>
      </c>
      <c r="G47" s="21">
        <f>'Std AMAT'!G47</f>
        <v/>
      </c>
    </row>
    <row r="48">
      <c r="A48" s="11" t="inlineStr">
        <is>
          <t xml:space="preserve">  + Prepaid &amp; Other CA</t>
        </is>
      </c>
      <c r="B48" s="21">
        <f>'Std AMAT'!B48</f>
        <v/>
      </c>
      <c r="C48" s="21">
        <f>'Std AMAT'!C48</f>
        <v/>
      </c>
      <c r="D48" s="21">
        <f>'Std AMAT'!D48</f>
        <v/>
      </c>
      <c r="E48" s="21">
        <f>'Std AMAT'!E48</f>
        <v/>
      </c>
      <c r="F48" s="21">
        <f>'Std AMAT'!F48</f>
        <v/>
      </c>
      <c r="G48" s="21">
        <f>'Std AMAT'!G48</f>
        <v/>
      </c>
    </row>
    <row r="49">
      <c r="A49" s="11" t="inlineStr">
        <is>
          <t xml:space="preserve">  - Accounts Payable</t>
        </is>
      </c>
      <c r="B49" s="21">
        <f>'Std AMAT'!B49</f>
        <v/>
      </c>
      <c r="C49" s="21">
        <f>'Std AMAT'!C49</f>
        <v/>
      </c>
      <c r="D49" s="21">
        <f>'Std AMAT'!D49</f>
        <v/>
      </c>
      <c r="E49" s="21">
        <f>'Std AMAT'!E49</f>
        <v/>
      </c>
      <c r="F49" s="21">
        <f>'Std AMAT'!F49</f>
        <v/>
      </c>
      <c r="G49" s="21">
        <f>'Std AMAT'!G49</f>
        <v/>
      </c>
    </row>
    <row r="50">
      <c r="A50" s="11" t="inlineStr">
        <is>
          <t xml:space="preserve">  - Accrued Expenses</t>
        </is>
      </c>
      <c r="B50" s="21">
        <f>'Std AMAT'!B50</f>
        <v/>
      </c>
      <c r="C50" s="21">
        <f>'Std AMAT'!C50</f>
        <v/>
      </c>
      <c r="D50" s="21">
        <f>'Std AMAT'!D50</f>
        <v/>
      </c>
      <c r="E50" s="21">
        <f>'Std AMAT'!E50</f>
        <v/>
      </c>
      <c r="F50" s="21">
        <f>'Std AMAT'!F50</f>
        <v/>
      </c>
      <c r="G50" s="21">
        <f>'Std AMAT'!G50</f>
        <v/>
      </c>
    </row>
    <row r="51">
      <c r="A51" s="11" t="inlineStr">
        <is>
          <t xml:space="preserve">  - Unearned Revenue / Contract Liabilities</t>
        </is>
      </c>
      <c r="B51" s="21">
        <f>'Std AMAT'!B51</f>
        <v/>
      </c>
      <c r="C51" s="21">
        <f>'Std AMAT'!C51</f>
        <v/>
      </c>
      <c r="D51" s="21">
        <f>'Std AMAT'!D51</f>
        <v/>
      </c>
      <c r="E51" s="21">
        <f>'Std AMAT'!E51</f>
        <v/>
      </c>
      <c r="F51" s="21">
        <f>'Std AMAT'!F51</f>
        <v/>
      </c>
      <c r="G51" s="21">
        <f>'Std AMAT'!G51</f>
        <v/>
      </c>
    </row>
    <row r="52">
      <c r="A52" s="11" t="inlineStr">
        <is>
          <t xml:space="preserve">  - Income Taxes Payable</t>
        </is>
      </c>
      <c r="B52" s="21">
        <f>'Std AMAT'!B52</f>
        <v/>
      </c>
      <c r="C52" s="21">
        <f>'Std AMAT'!C52</f>
        <v/>
      </c>
      <c r="D52" s="21">
        <f>'Std AMAT'!D52</f>
        <v/>
      </c>
      <c r="E52" s="21">
        <f>'Std AMAT'!E52</f>
        <v/>
      </c>
      <c r="F52" s="21">
        <f>'Std AMAT'!F52</f>
        <v/>
      </c>
      <c r="G52" s="21">
        <f>'Std AMAT'!G52</f>
        <v/>
      </c>
    </row>
    <row r="53">
      <c r="A53" s="11" t="inlineStr">
        <is>
          <t xml:space="preserve">  - Other Current Liabilities</t>
        </is>
      </c>
      <c r="B53" s="21">
        <f>'Std AMAT'!B53</f>
        <v/>
      </c>
      <c r="C53" s="21">
        <f>'Std AMAT'!C53</f>
        <v/>
      </c>
      <c r="D53" s="21">
        <f>'Std AMAT'!D53</f>
        <v/>
      </c>
      <c r="E53" s="21">
        <f>'Std AMAT'!E53</f>
        <v/>
      </c>
      <c r="F53" s="21">
        <f>'Std AMAT'!F53</f>
        <v/>
      </c>
      <c r="G53" s="21">
        <f>'Std AMAT'!G53</f>
        <v/>
      </c>
    </row>
    <row r="54">
      <c r="A54" s="24">
        <f> Operating Working Capital</f>
        <v/>
      </c>
      <c r="B54" s="36">
        <f>'Std AMAT'!B54</f>
        <v/>
      </c>
      <c r="C54" s="36">
        <f>'Std AMAT'!C54</f>
        <v/>
      </c>
      <c r="D54" s="36">
        <f>'Std AMAT'!D54</f>
        <v/>
      </c>
      <c r="E54" s="36">
        <f>'Std AMAT'!E54</f>
        <v/>
      </c>
      <c r="F54" s="36">
        <f>'Std AMAT'!F54</f>
        <v/>
      </c>
      <c r="G54" s="36">
        <f>'Std AMAT'!G54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AMAT'!B57</f>
        <v/>
      </c>
      <c r="C57" s="21">
        <f>'Std AMAT'!C57</f>
        <v/>
      </c>
      <c r="D57" s="21">
        <f>'Std AMAT'!D57</f>
        <v/>
      </c>
      <c r="E57" s="21">
        <f>'Std AMAT'!E57</f>
        <v/>
      </c>
      <c r="F57" s="21">
        <f>'Std AMAT'!F57</f>
        <v/>
      </c>
      <c r="G57" s="21">
        <f>'Std AMAT'!G57</f>
        <v/>
      </c>
    </row>
    <row r="58">
      <c r="A58" s="11" t="inlineStr">
        <is>
          <t xml:space="preserve">  + Goodwill</t>
        </is>
      </c>
      <c r="B58" s="21">
        <f>'Std AMAT'!B58</f>
        <v/>
      </c>
      <c r="C58" s="21">
        <f>'Std AMAT'!C58</f>
        <v/>
      </c>
      <c r="D58" s="21">
        <f>'Std AMAT'!D58</f>
        <v/>
      </c>
      <c r="E58" s="21">
        <f>'Std AMAT'!E58</f>
        <v/>
      </c>
      <c r="F58" s="21">
        <f>'Std AMAT'!F58</f>
        <v/>
      </c>
      <c r="G58" s="21">
        <f>'Std AMAT'!G58</f>
        <v/>
      </c>
    </row>
    <row r="59">
      <c r="A59" s="11" t="inlineStr">
        <is>
          <t xml:space="preserve">  + Other Intangible Assets</t>
        </is>
      </c>
      <c r="B59" s="21">
        <f>'Std AMAT'!B59</f>
        <v/>
      </c>
      <c r="C59" s="21">
        <f>'Std AMAT'!C59</f>
        <v/>
      </c>
      <c r="D59" s="21">
        <f>'Std AMAT'!D59</f>
        <v/>
      </c>
      <c r="E59" s="21">
        <f>'Std AMAT'!E59</f>
        <v/>
      </c>
      <c r="F59" s="21">
        <f>'Std AMAT'!F59</f>
        <v/>
      </c>
      <c r="G59" s="21">
        <f>'Std AMAT'!G59</f>
        <v/>
      </c>
    </row>
    <row r="60">
      <c r="A60" s="11" t="inlineStr">
        <is>
          <t xml:space="preserve">  + Deferred Tax Assets</t>
        </is>
      </c>
      <c r="B60" s="21">
        <f>'Std AMAT'!B60</f>
        <v/>
      </c>
      <c r="C60" s="21">
        <f>'Std AMAT'!C60</f>
        <v/>
      </c>
      <c r="D60" s="21">
        <f>'Std AMAT'!D60</f>
        <v/>
      </c>
      <c r="E60" s="21">
        <f>'Std AMAT'!E60</f>
        <v/>
      </c>
      <c r="F60" s="21">
        <f>'Std AMAT'!F60</f>
        <v/>
      </c>
      <c r="G60" s="21">
        <f>'Std AMAT'!G60</f>
        <v/>
      </c>
    </row>
    <row r="61">
      <c r="A61" s="11" t="inlineStr">
        <is>
          <t xml:space="preserve">  + Deferred Charges &amp; LT Intangibles</t>
        </is>
      </c>
      <c r="B61" s="21">
        <f>'Std AMAT'!B61</f>
        <v/>
      </c>
      <c r="C61" s="21">
        <f>'Std AMAT'!C61</f>
        <v/>
      </c>
      <c r="D61" s="21">
        <f>'Std AMAT'!D61</f>
        <v/>
      </c>
      <c r="E61" s="21">
        <f>'Std AMAT'!E61</f>
        <v/>
      </c>
      <c r="F61" s="21">
        <f>'Std AMAT'!F61</f>
        <v/>
      </c>
      <c r="G61" s="21">
        <f>'Std AMAT'!G61</f>
        <v/>
      </c>
    </row>
    <row r="62">
      <c r="A62" s="11" t="inlineStr">
        <is>
          <t xml:space="preserve">  + Other Non-Current Assets</t>
        </is>
      </c>
      <c r="B62" s="21">
        <f>'Std AMAT'!B62</f>
        <v/>
      </c>
      <c r="C62" s="21">
        <f>'Std AMAT'!C62</f>
        <v/>
      </c>
      <c r="D62" s="21">
        <f>'Std AMAT'!D62</f>
        <v/>
      </c>
      <c r="E62" s="21">
        <f>'Std AMAT'!E62</f>
        <v/>
      </c>
      <c r="F62" s="21">
        <f>'Std AMAT'!F62</f>
        <v/>
      </c>
      <c r="G62" s="21">
        <f>'Std AMAT'!G62</f>
        <v/>
      </c>
    </row>
    <row r="63">
      <c r="A63" s="11" t="inlineStr">
        <is>
          <t xml:space="preserve">  - Deferred Tax Liabilities</t>
        </is>
      </c>
      <c r="B63" s="21">
        <f>'Std AMAT'!B63</f>
        <v/>
      </c>
      <c r="C63" s="21">
        <f>'Std AMAT'!C63</f>
        <v/>
      </c>
      <c r="D63" s="21">
        <f>'Std AMAT'!D63</f>
        <v/>
      </c>
      <c r="E63" s="21">
        <f>'Std AMAT'!E63</f>
        <v/>
      </c>
      <c r="F63" s="21">
        <f>'Std AMAT'!F63</f>
        <v/>
      </c>
      <c r="G63" s="21">
        <f>'Std AMAT'!G63</f>
        <v/>
      </c>
    </row>
    <row r="64">
      <c r="A64" s="11" t="inlineStr">
        <is>
          <t xml:space="preserve">  - Other Non-Current Liabilities</t>
        </is>
      </c>
      <c r="B64" s="21">
        <f>'Std AMAT'!B64</f>
        <v/>
      </c>
      <c r="C64" s="21">
        <f>'Std AMAT'!C64</f>
        <v/>
      </c>
      <c r="D64" s="21">
        <f>'Std AMAT'!D64</f>
        <v/>
      </c>
      <c r="E64" s="21">
        <f>'Std AMAT'!E64</f>
        <v/>
      </c>
      <c r="F64" s="21">
        <f>'Std AMAT'!F64</f>
        <v/>
      </c>
      <c r="G64" s="21">
        <f>'Std AMAT'!G64</f>
        <v/>
      </c>
    </row>
    <row r="65">
      <c r="A65" s="24">
        <f> Net Non-Current Operating Assets</f>
        <v/>
      </c>
      <c r="B65" s="36">
        <f>'Std AMAT'!B65</f>
        <v/>
      </c>
      <c r="C65" s="36">
        <f>'Std AMAT'!C65</f>
        <v/>
      </c>
      <c r="D65" s="36">
        <f>'Std AMAT'!D65</f>
        <v/>
      </c>
      <c r="E65" s="36">
        <f>'Std AMAT'!E65</f>
        <v/>
      </c>
      <c r="F65" s="36">
        <f>'Std AMAT'!F65</f>
        <v/>
      </c>
      <c r="G65" s="36">
        <f>'Std AMAT'!G65</f>
        <v/>
      </c>
    </row>
    <row r="66"/>
    <row r="67">
      <c r="A67" s="24">
        <f> Net Operating Assets</f>
        <v/>
      </c>
      <c r="B67" s="36">
        <f>'Std AMAT'!B67</f>
        <v/>
      </c>
      <c r="C67" s="36">
        <f>'Std AMAT'!C67</f>
        <v/>
      </c>
      <c r="D67" s="36">
        <f>'Std AMAT'!D67</f>
        <v/>
      </c>
      <c r="E67" s="36">
        <f>'Std AMAT'!E67</f>
        <v/>
      </c>
      <c r="F67" s="36">
        <f>'Std AMAT'!F67</f>
        <v/>
      </c>
      <c r="G67" s="36">
        <f>'Std AMAT'!G67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AMAT'!B70</f>
        <v/>
      </c>
      <c r="C70" s="21">
        <f>'Std AMAT'!C70</f>
        <v/>
      </c>
      <c r="D70" s="21">
        <f>'Std AMAT'!D70</f>
        <v/>
      </c>
      <c r="E70" s="21">
        <f>'Std AMAT'!E70</f>
        <v/>
      </c>
      <c r="F70" s="21">
        <f>'Std AMAT'!F70</f>
        <v/>
      </c>
      <c r="G70" s="21">
        <f>'Std AMAT'!G70</f>
        <v/>
      </c>
    </row>
    <row r="71">
      <c r="A71" s="24">
        <f> Total Investment Assets</f>
        <v/>
      </c>
      <c r="B71" s="36">
        <f>'Std AMAT'!B71</f>
        <v/>
      </c>
      <c r="C71" s="36">
        <f>'Std AMAT'!C71</f>
        <v/>
      </c>
      <c r="D71" s="36">
        <f>'Std AMAT'!D71</f>
        <v/>
      </c>
      <c r="E71" s="36">
        <f>'Std AMAT'!E71</f>
        <v/>
      </c>
      <c r="F71" s="36">
        <f>'Std AMAT'!F71</f>
        <v/>
      </c>
      <c r="G71" s="36">
        <f>'Std AMAT'!G71</f>
        <v/>
      </c>
    </row>
    <row r="72"/>
    <row r="73">
      <c r="A73" s="26">
        <f> Business Assets</f>
        <v/>
      </c>
      <c r="B73" s="37">
        <f>'Std AMAT'!B73</f>
        <v/>
      </c>
      <c r="C73" s="37">
        <f>'Std AMAT'!C73</f>
        <v/>
      </c>
      <c r="D73" s="37">
        <f>'Std AMAT'!D73</f>
        <v/>
      </c>
      <c r="E73" s="37">
        <f>'Std AMAT'!E73</f>
        <v/>
      </c>
      <c r="F73" s="37">
        <f>'Std AMAT'!F73</f>
        <v/>
      </c>
      <c r="G73" s="37">
        <f>'Std AMAT'!G73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AMAT'!B76</f>
        <v/>
      </c>
      <c r="C76" s="21">
        <f>'Std AMAT'!C76</f>
        <v/>
      </c>
      <c r="D76" s="21">
        <f>'Std AMAT'!D76</f>
        <v/>
      </c>
      <c r="E76" s="21">
        <f>'Std AMAT'!E76</f>
        <v/>
      </c>
      <c r="F76" s="21">
        <f>'Std AMAT'!F76</f>
        <v/>
      </c>
      <c r="G76" s="21">
        <f>'Std AMAT'!G76</f>
        <v/>
      </c>
    </row>
    <row r="77">
      <c r="A77" s="11" t="inlineStr">
        <is>
          <t xml:space="preserve">  + Lease Liabilities (non-current)</t>
        </is>
      </c>
      <c r="B77" s="21">
        <f>'Std AMAT'!B77</f>
        <v/>
      </c>
      <c r="C77" s="21">
        <f>'Std AMAT'!C77</f>
        <v/>
      </c>
      <c r="D77" s="21">
        <f>'Std AMAT'!D77</f>
        <v/>
      </c>
      <c r="E77" s="21">
        <f>'Std AMAT'!E77</f>
        <v/>
      </c>
      <c r="F77" s="21">
        <f>'Std AMAT'!F77</f>
        <v/>
      </c>
      <c r="G77" s="21">
        <f>'Std AMAT'!G77</f>
        <v/>
      </c>
    </row>
    <row r="78">
      <c r="A78" s="24">
        <f> Total Debt</f>
        <v/>
      </c>
      <c r="B78" s="36">
        <f>'Std AMAT'!B78</f>
        <v/>
      </c>
      <c r="C78" s="36">
        <f>'Std AMAT'!C78</f>
        <v/>
      </c>
      <c r="D78" s="36">
        <f>'Std AMAT'!D78</f>
        <v/>
      </c>
      <c r="E78" s="36">
        <f>'Std AMAT'!E78</f>
        <v/>
      </c>
      <c r="F78" s="36">
        <f>'Std AMAT'!F78</f>
        <v/>
      </c>
      <c r="G78" s="36">
        <f>'Std AMAT'!G78</f>
        <v/>
      </c>
    </row>
    <row r="79">
      <c r="A79" s="11" t="inlineStr">
        <is>
          <t xml:space="preserve">  Cash &amp; Equivalents</t>
        </is>
      </c>
      <c r="B79" s="21">
        <f>'Std AMAT'!B79</f>
        <v/>
      </c>
      <c r="C79" s="21">
        <f>'Std AMAT'!C79</f>
        <v/>
      </c>
      <c r="D79" s="21">
        <f>'Std AMAT'!D79</f>
        <v/>
      </c>
      <c r="E79" s="21">
        <f>'Std AMAT'!E79</f>
        <v/>
      </c>
      <c r="F79" s="21">
        <f>'Std AMAT'!F79</f>
        <v/>
      </c>
      <c r="G79" s="21">
        <f>'Std AMAT'!G79</f>
        <v/>
      </c>
    </row>
    <row r="80">
      <c r="A80" s="22">
        <f> Net Debt</f>
        <v/>
      </c>
      <c r="B80" s="35">
        <f>'Std AMAT'!B80</f>
        <v/>
      </c>
      <c r="C80" s="35">
        <f>'Std AMAT'!C80</f>
        <v/>
      </c>
      <c r="D80" s="35">
        <f>'Std AMAT'!D80</f>
        <v/>
      </c>
      <c r="E80" s="35">
        <f>'Std AMAT'!E80</f>
        <v/>
      </c>
      <c r="F80" s="35">
        <f>'Std AMAT'!F80</f>
        <v/>
      </c>
      <c r="G80" s="35">
        <f>'Std AMAT'!G80</f>
        <v/>
      </c>
    </row>
    <row r="81">
      <c r="A81" s="11" t="inlineStr">
        <is>
          <t>Group Equity</t>
        </is>
      </c>
      <c r="B81" s="21">
        <f>'Std AMAT'!B81</f>
        <v/>
      </c>
      <c r="C81" s="21">
        <f>'Std AMAT'!C81</f>
        <v/>
      </c>
      <c r="D81" s="21">
        <f>'Std AMAT'!D81</f>
        <v/>
      </c>
      <c r="E81" s="21">
        <f>'Std AMAT'!E81</f>
        <v/>
      </c>
      <c r="F81" s="21">
        <f>'Std AMAT'!F81</f>
        <v/>
      </c>
      <c r="G81" s="21">
        <f>'Std AMAT'!G81</f>
        <v/>
      </c>
    </row>
    <row r="82">
      <c r="A82" s="26">
        <f> Invested Capital</f>
        <v/>
      </c>
      <c r="B82" s="37">
        <f>'Std AMAT'!B82</f>
        <v/>
      </c>
      <c r="C82" s="37">
        <f>'Std AMAT'!C82</f>
        <v/>
      </c>
      <c r="D82" s="37">
        <f>'Std AMAT'!D82</f>
        <v/>
      </c>
      <c r="E82" s="37">
        <f>'Std AMAT'!E82</f>
        <v/>
      </c>
      <c r="F82" s="37">
        <f>'Std AMAT'!F82</f>
        <v/>
      </c>
      <c r="G82" s="37">
        <f>'Std AMAT'!G82</f>
        <v/>
      </c>
    </row>
    <row r="83">
      <c r="A83" s="22" t="inlineStr">
        <is>
          <t>BS Check (should = 0)</t>
        </is>
      </c>
      <c r="B83" s="35">
        <f>'Std AMAT'!B83</f>
        <v/>
      </c>
      <c r="C83" s="35">
        <f>'Std AMAT'!C83</f>
        <v/>
      </c>
      <c r="D83" s="35">
        <f>'Std AMAT'!D83</f>
        <v/>
      </c>
      <c r="E83" s="35">
        <f>'Std AMAT'!E83</f>
        <v/>
      </c>
      <c r="F83" s="35">
        <f>'Std AMAT'!F83</f>
        <v/>
      </c>
      <c r="G83" s="35">
        <f>'Std AMAT'!G83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AMAT'!B87</f>
        <v/>
      </c>
      <c r="C87" s="21">
        <f>'Std AMAT'!C87</f>
        <v/>
      </c>
      <c r="D87" s="21">
        <f>'Std AMAT'!D87</f>
        <v/>
      </c>
      <c r="E87" s="21">
        <f>'Std AMAT'!E87</f>
        <v/>
      </c>
      <c r="F87" s="21">
        <f>'Std AMAT'!F87</f>
        <v/>
      </c>
      <c r="G87" s="21">
        <f>'Std AMAT'!G87</f>
        <v/>
      </c>
    </row>
    <row r="88">
      <c r="A88" s="11" t="inlineStr">
        <is>
          <t>+ D&amp;A</t>
        </is>
      </c>
      <c r="B88" s="21">
        <f>'Std AMAT'!B88</f>
        <v/>
      </c>
      <c r="C88" s="21">
        <f>'Std AMAT'!C88</f>
        <v/>
      </c>
      <c r="D88" s="21">
        <f>'Std AMAT'!D88</f>
        <v/>
      </c>
      <c r="E88" s="21">
        <f>'Std AMAT'!E88</f>
        <v/>
      </c>
      <c r="F88" s="21">
        <f>'Std AMAT'!F88</f>
        <v/>
      </c>
      <c r="G88" s="21">
        <f>'Std AMAT'!G88</f>
        <v/>
      </c>
    </row>
    <row r="89">
      <c r="A89" s="11" t="inlineStr">
        <is>
          <t>- Change in OWC</t>
        </is>
      </c>
      <c r="B89" s="21">
        <f>'Std AMAT'!B89</f>
        <v/>
      </c>
      <c r="C89" s="21">
        <f>'Std AMAT'!C89</f>
        <v/>
      </c>
      <c r="D89" s="21">
        <f>'Std AMAT'!D89</f>
        <v/>
      </c>
      <c r="E89" s="21">
        <f>'Std AMAT'!E89</f>
        <v/>
      </c>
      <c r="F89" s="21">
        <f>'Std AMAT'!F89</f>
        <v/>
      </c>
      <c r="G89" s="21">
        <f>'Std AMAT'!G89</f>
        <v/>
      </c>
    </row>
    <row r="90">
      <c r="A90" s="11" t="inlineStr">
        <is>
          <t>- CapEx</t>
        </is>
      </c>
      <c r="B90" s="21">
        <f>'Std AMAT'!B90</f>
        <v/>
      </c>
      <c r="C90" s="21">
        <f>'Std AMAT'!C90</f>
        <v/>
      </c>
      <c r="D90" s="21">
        <f>'Std AMAT'!D90</f>
        <v/>
      </c>
      <c r="E90" s="21">
        <f>'Std AMAT'!E90</f>
        <v/>
      </c>
      <c r="F90" s="21">
        <f>'Std AMAT'!F90</f>
        <v/>
      </c>
      <c r="G90" s="21">
        <f>'Std AMAT'!G90</f>
        <v/>
      </c>
    </row>
    <row r="91">
      <c r="A91" s="11" t="inlineStr">
        <is>
          <t>- Purchase of Intangibles</t>
        </is>
      </c>
      <c r="B91" s="21">
        <f>'Std AMAT'!B91</f>
        <v/>
      </c>
      <c r="C91" s="21">
        <f>'Std AMAT'!C91</f>
        <v/>
      </c>
      <c r="D91" s="21">
        <f>'Std AMAT'!D91</f>
        <v/>
      </c>
      <c r="E91" s="21">
        <f>'Std AMAT'!E91</f>
        <v/>
      </c>
      <c r="F91" s="21">
        <f>'Std AMAT'!F91</f>
        <v/>
      </c>
      <c r="G91" s="21">
        <f>'Std AMAT'!G91</f>
        <v/>
      </c>
    </row>
    <row r="92">
      <c r="A92" s="24">
        <f> Operating CF after investment</f>
        <v/>
      </c>
      <c r="B92" s="36">
        <f>'Std AMAT'!B92</f>
        <v/>
      </c>
      <c r="C92" s="36">
        <f>'Std AMAT'!C92</f>
        <v/>
      </c>
      <c r="D92" s="36">
        <f>'Std AMAT'!D92</f>
        <v/>
      </c>
      <c r="E92" s="36">
        <f>'Std AMAT'!E92</f>
        <v/>
      </c>
      <c r="F92" s="36">
        <f>'Std AMAT'!F92</f>
        <v/>
      </c>
      <c r="G92" s="36">
        <f>'Std AMAT'!G92</f>
        <v/>
      </c>
    </row>
    <row r="93"/>
    <row r="94">
      <c r="A94" s="11" t="inlineStr">
        <is>
          <t>+ Net Investment Profit after tax</t>
        </is>
      </c>
      <c r="B94" s="21">
        <f>'Std AMAT'!B94</f>
        <v/>
      </c>
      <c r="C94" s="21">
        <f>'Std AMAT'!C94</f>
        <v/>
      </c>
      <c r="D94" s="21">
        <f>'Std AMAT'!D94</f>
        <v/>
      </c>
      <c r="E94" s="21">
        <f>'Std AMAT'!E94</f>
        <v/>
      </c>
      <c r="F94" s="21">
        <f>'Std AMAT'!F94</f>
        <v/>
      </c>
      <c r="G94" s="21">
        <f>'Std AMAT'!G94</f>
        <v/>
      </c>
    </row>
    <row r="95">
      <c r="A95" s="11" t="inlineStr">
        <is>
          <t>- Change in Investment Assets</t>
        </is>
      </c>
      <c r="B95" s="21">
        <f>'Std AMAT'!B95</f>
        <v/>
      </c>
      <c r="C95" s="21">
        <f>'Std AMAT'!C95</f>
        <v/>
      </c>
      <c r="D95" s="21">
        <f>'Std AMAT'!D95</f>
        <v/>
      </c>
      <c r="E95" s="21">
        <f>'Std AMAT'!E95</f>
        <v/>
      </c>
      <c r="F95" s="21">
        <f>'Std AMAT'!F95</f>
        <v/>
      </c>
      <c r="G95" s="21">
        <f>'Std AMAT'!G95</f>
        <v/>
      </c>
    </row>
    <row r="96">
      <c r="A96" s="24">
        <f> FCF to Debt &amp; Equity</f>
        <v/>
      </c>
      <c r="B96" s="36">
        <f>'Std AMAT'!B96</f>
        <v/>
      </c>
      <c r="C96" s="36">
        <f>'Std AMAT'!C96</f>
        <v/>
      </c>
      <c r="D96" s="36">
        <f>'Std AMAT'!D96</f>
        <v/>
      </c>
      <c r="E96" s="36">
        <f>'Std AMAT'!E96</f>
        <v/>
      </c>
      <c r="F96" s="36">
        <f>'Std AMAT'!F96</f>
        <v/>
      </c>
      <c r="G96" s="36">
        <f>'Std AMAT'!G96</f>
        <v/>
      </c>
    </row>
    <row r="97">
      <c r="A97" s="11" t="inlineStr">
        <is>
          <t>- Interest Expense after tax</t>
        </is>
      </c>
      <c r="B97" s="21">
        <f>'Std AMAT'!B97</f>
        <v/>
      </c>
      <c r="C97" s="21">
        <f>'Std AMAT'!C97</f>
        <v/>
      </c>
      <c r="D97" s="21">
        <f>'Std AMAT'!D97</f>
        <v/>
      </c>
      <c r="E97" s="21">
        <f>'Std AMAT'!E97</f>
        <v/>
      </c>
      <c r="F97" s="21">
        <f>'Std AMAT'!F97</f>
        <v/>
      </c>
      <c r="G97" s="21">
        <f>'Std AMAT'!G97</f>
        <v/>
      </c>
    </row>
    <row r="98">
      <c r="A98" s="11" t="inlineStr">
        <is>
          <t>+ Change in Debt</t>
        </is>
      </c>
      <c r="B98" s="21">
        <f>'Std AMAT'!B98</f>
        <v/>
      </c>
      <c r="C98" s="21">
        <f>'Std AMAT'!C98</f>
        <v/>
      </c>
      <c r="D98" s="21">
        <f>'Std AMAT'!D98</f>
        <v/>
      </c>
      <c r="E98" s="21">
        <f>'Std AMAT'!E98</f>
        <v/>
      </c>
      <c r="F98" s="21">
        <f>'Std AMAT'!F98</f>
        <v/>
      </c>
      <c r="G98" s="21">
        <f>'Std AMAT'!G98</f>
        <v/>
      </c>
    </row>
    <row r="99">
      <c r="A99" s="26">
        <f> FCF to Equity</f>
        <v/>
      </c>
      <c r="B99" s="37">
        <f>'Std AMAT'!B99</f>
        <v/>
      </c>
      <c r="C99" s="37">
        <f>'Std AMAT'!C99</f>
        <v/>
      </c>
      <c r="D99" s="37">
        <f>'Std AMAT'!D99</f>
        <v/>
      </c>
      <c r="E99" s="37">
        <f>'Std AMAT'!E99</f>
        <v/>
      </c>
      <c r="F99" s="37">
        <f>'Std AMAT'!F99</f>
        <v/>
      </c>
      <c r="G99" s="37">
        <f>'Std AMAT'!G99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33">
        <f>'Std LRCX'!B3</f>
        <v/>
      </c>
      <c r="C3" s="33">
        <f>'Std LRCX'!C3</f>
        <v/>
      </c>
      <c r="D3" s="33">
        <f>'Std LRCX'!D3</f>
        <v/>
      </c>
      <c r="E3" s="33">
        <f>'Std LRCX'!E3</f>
        <v/>
      </c>
      <c r="F3" s="33">
        <f>'Std LRCX'!F3</f>
        <v/>
      </c>
      <c r="G3" s="33">
        <f>'Std LRCX'!G3</f>
        <v/>
      </c>
    </row>
    <row r="4"/>
    <row r="5">
      <c r="A5" s="11" t="inlineStr">
        <is>
          <t>Operating cash %</t>
        </is>
      </c>
      <c r="B5" s="34">
        <f>'Std LRCX'!B5</f>
        <v/>
      </c>
      <c r="C5" s="34">
        <f>'Std LRCX'!C5</f>
        <v/>
      </c>
      <c r="D5" s="34">
        <f>'Std LRCX'!D5</f>
        <v/>
      </c>
      <c r="E5" s="34">
        <f>'Std LRCX'!E5</f>
        <v/>
      </c>
      <c r="F5" s="34">
        <f>'Std LRCX'!F5</f>
        <v/>
      </c>
      <c r="G5" s="34">
        <f>'Std LRCX'!G5</f>
        <v/>
      </c>
    </row>
    <row r="6">
      <c r="A6" s="11" t="inlineStr">
        <is>
          <t>Tax rate (effective)</t>
        </is>
      </c>
      <c r="B6" s="18">
        <f>'Std LRCX'!B6</f>
        <v/>
      </c>
      <c r="C6" s="18">
        <f>'Std LRCX'!C6</f>
        <v/>
      </c>
      <c r="D6" s="18">
        <f>'Std LRCX'!D6</f>
        <v/>
      </c>
      <c r="E6" s="18">
        <f>'Std LRCX'!E6</f>
        <v/>
      </c>
      <c r="F6" s="18">
        <f>'Std LRCX'!F6</f>
        <v/>
      </c>
      <c r="G6" s="18">
        <f>'Std LRCX'!G6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LRCX'!B9</f>
        <v/>
      </c>
      <c r="C9" s="21">
        <f>'Std LRCX'!C9</f>
        <v/>
      </c>
      <c r="D9" s="21">
        <f>'Std LRCX'!D9</f>
        <v/>
      </c>
      <c r="E9" s="21">
        <f>'Std LRCX'!E9</f>
        <v/>
      </c>
      <c r="F9" s="21">
        <f>'Std LRCX'!F9</f>
        <v/>
      </c>
      <c r="G9" s="21">
        <f>'Std LRCX'!G9</f>
        <v/>
      </c>
    </row>
    <row r="10">
      <c r="A10" s="11" t="inlineStr">
        <is>
          <t>Cost of Sales</t>
        </is>
      </c>
      <c r="B10" s="21">
        <f>'Std LRCX'!B10</f>
        <v/>
      </c>
      <c r="C10" s="21">
        <f>'Std LRCX'!C10</f>
        <v/>
      </c>
      <c r="D10" s="21">
        <f>'Std LRCX'!D10</f>
        <v/>
      </c>
      <c r="E10" s="21">
        <f>'Std LRCX'!E10</f>
        <v/>
      </c>
      <c r="F10" s="21">
        <f>'Std LRCX'!F10</f>
        <v/>
      </c>
      <c r="G10" s="21">
        <f>'Std LRCX'!G10</f>
        <v/>
      </c>
    </row>
    <row r="11">
      <c r="A11" s="22" t="inlineStr">
        <is>
          <t>Gross Profit</t>
        </is>
      </c>
      <c r="B11" s="35">
        <f>'Std LRCX'!B11</f>
        <v/>
      </c>
      <c r="C11" s="35">
        <f>'Std LRCX'!C11</f>
        <v/>
      </c>
      <c r="D11" s="35">
        <f>'Std LRCX'!D11</f>
        <v/>
      </c>
      <c r="E11" s="35">
        <f>'Std LRCX'!E11</f>
        <v/>
      </c>
      <c r="F11" s="35">
        <f>'Std LRCX'!F11</f>
        <v/>
      </c>
      <c r="G11" s="35">
        <f>'Std LRCX'!G11</f>
        <v/>
      </c>
    </row>
    <row r="12">
      <c r="A12" s="11" t="inlineStr">
        <is>
          <t xml:space="preserve">  SG&amp;A</t>
        </is>
      </c>
      <c r="B12" s="21">
        <f>'Std LRCX'!B12</f>
        <v/>
      </c>
      <c r="C12" s="21">
        <f>'Std LRCX'!C12</f>
        <v/>
      </c>
      <c r="D12" s="21">
        <f>'Std LRCX'!D12</f>
        <v/>
      </c>
      <c r="E12" s="21">
        <f>'Std LRCX'!E12</f>
        <v/>
      </c>
      <c r="F12" s="21">
        <f>'Std LRCX'!F12</f>
        <v/>
      </c>
      <c r="G12" s="21">
        <f>'Std LRCX'!G12</f>
        <v/>
      </c>
    </row>
    <row r="13">
      <c r="A13" s="11" t="inlineStr">
        <is>
          <t xml:space="preserve">  R&amp;D</t>
        </is>
      </c>
      <c r="B13" s="21">
        <f>'Std LRCX'!B13</f>
        <v/>
      </c>
      <c r="C13" s="21">
        <f>'Std LRCX'!C13</f>
        <v/>
      </c>
      <c r="D13" s="21">
        <f>'Std LRCX'!D13</f>
        <v/>
      </c>
      <c r="E13" s="21">
        <f>'Std LRCX'!E13</f>
        <v/>
      </c>
      <c r="F13" s="21">
        <f>'Std LRCX'!F13</f>
        <v/>
      </c>
      <c r="G13" s="21">
        <f>'Std LRCX'!G13</f>
        <v/>
      </c>
    </row>
    <row r="14">
      <c r="A14" s="11" t="inlineStr">
        <is>
          <t xml:space="preserve">  Depreciation &amp; Amortization</t>
        </is>
      </c>
      <c r="B14" s="21">
        <f>'Std LRCX'!B14</f>
        <v/>
      </c>
      <c r="C14" s="21">
        <f>'Std LRCX'!C14</f>
        <v/>
      </c>
      <c r="D14" s="21">
        <f>'Std LRCX'!D14</f>
        <v/>
      </c>
      <c r="E14" s="21">
        <f>'Std LRCX'!E14</f>
        <v/>
      </c>
      <c r="F14" s="21">
        <f>'Std LRCX'!F14</f>
        <v/>
      </c>
      <c r="G14" s="21">
        <f>'Std LRCX'!G14</f>
        <v/>
      </c>
    </row>
    <row r="15">
      <c r="A15" s="11" t="inlineStr">
        <is>
          <t xml:space="preserve">  Other Operating Expense</t>
        </is>
      </c>
      <c r="B15" s="21">
        <f>'Std LRCX'!B15</f>
        <v/>
      </c>
      <c r="C15" s="21">
        <f>'Std LRCX'!C15</f>
        <v/>
      </c>
      <c r="D15" s="21">
        <f>'Std LRCX'!D15</f>
        <v/>
      </c>
      <c r="E15" s="21">
        <f>'Std LRCX'!E15</f>
        <v/>
      </c>
      <c r="F15" s="21">
        <f>'Std LRCX'!F15</f>
        <v/>
      </c>
      <c r="G15" s="21">
        <f>'Std LRCX'!G15</f>
        <v/>
      </c>
    </row>
    <row r="16">
      <c r="A16" s="24" t="inlineStr">
        <is>
          <t>Total Operating Expense</t>
        </is>
      </c>
      <c r="B16" s="36">
        <f>'Std LRCX'!B16</f>
        <v/>
      </c>
      <c r="C16" s="36">
        <f>'Std LRCX'!C16</f>
        <v/>
      </c>
      <c r="D16" s="36">
        <f>'Std LRCX'!D16</f>
        <v/>
      </c>
      <c r="E16" s="36">
        <f>'Std LRCX'!E16</f>
        <v/>
      </c>
      <c r="F16" s="36">
        <f>'Std LRCX'!F16</f>
        <v/>
      </c>
      <c r="G16" s="36">
        <f>'Std LRCX'!G16</f>
        <v/>
      </c>
    </row>
    <row r="17">
      <c r="A17" s="24" t="inlineStr">
        <is>
          <t>Recurring Operating Profit</t>
        </is>
      </c>
      <c r="B17" s="36">
        <f>'Std LRCX'!B17</f>
        <v/>
      </c>
      <c r="C17" s="36">
        <f>'Std LRCX'!C17</f>
        <v/>
      </c>
      <c r="D17" s="36">
        <f>'Std LRCX'!D17</f>
        <v/>
      </c>
      <c r="E17" s="36">
        <f>'Std LRCX'!E17</f>
        <v/>
      </c>
      <c r="F17" s="36">
        <f>'Std LRCX'!F17</f>
        <v/>
      </c>
      <c r="G17" s="36">
        <f>'Std LRCX'!G17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LRCX'!B20</f>
        <v/>
      </c>
      <c r="C20" s="21">
        <f>'Std LRCX'!C20</f>
        <v/>
      </c>
      <c r="D20" s="21">
        <f>'Std LRCX'!D20</f>
        <v/>
      </c>
      <c r="E20" s="21">
        <f>'Std LRCX'!E20</f>
        <v/>
      </c>
      <c r="F20" s="21">
        <f>'Std LRCX'!F20</f>
        <v/>
      </c>
      <c r="G20" s="21">
        <f>'Std LRCX'!G20</f>
        <v/>
      </c>
    </row>
    <row r="21">
      <c r="A21" s="11" t="inlineStr">
        <is>
          <t xml:space="preserve">  Gain/Loss on Sale of Assets</t>
        </is>
      </c>
      <c r="B21" s="21">
        <f>'Std LRCX'!B21</f>
        <v/>
      </c>
      <c r="C21" s="21">
        <f>'Std LRCX'!C21</f>
        <v/>
      </c>
      <c r="D21" s="21">
        <f>'Std LRCX'!D21</f>
        <v/>
      </c>
      <c r="E21" s="21">
        <f>'Std LRCX'!E21</f>
        <v/>
      </c>
      <c r="F21" s="21">
        <f>'Std LRCX'!F21</f>
        <v/>
      </c>
      <c r="G21" s="21">
        <f>'Std LRCX'!G21</f>
        <v/>
      </c>
    </row>
    <row r="22">
      <c r="A22" s="11" t="inlineStr">
        <is>
          <t xml:space="preserve">  Asset Writedown</t>
        </is>
      </c>
      <c r="B22" s="21">
        <f>'Std LRCX'!B22</f>
        <v/>
      </c>
      <c r="C22" s="21">
        <f>'Std LRCX'!C22</f>
        <v/>
      </c>
      <c r="D22" s="21">
        <f>'Std LRCX'!D22</f>
        <v/>
      </c>
      <c r="E22" s="21">
        <f>'Std LRCX'!E22</f>
        <v/>
      </c>
      <c r="F22" s="21">
        <f>'Std LRCX'!F22</f>
        <v/>
      </c>
      <c r="G22" s="21">
        <f>'Std LRCX'!G22</f>
        <v/>
      </c>
    </row>
    <row r="23">
      <c r="A23" s="11" t="inlineStr">
        <is>
          <t xml:space="preserve">  Other Unusual Items</t>
        </is>
      </c>
      <c r="B23" s="21">
        <f>'Std LRCX'!B23</f>
        <v/>
      </c>
      <c r="C23" s="21">
        <f>'Std LRCX'!C23</f>
        <v/>
      </c>
      <c r="D23" s="21">
        <f>'Std LRCX'!D23</f>
        <v/>
      </c>
      <c r="E23" s="21">
        <f>'Std LRCX'!E23</f>
        <v/>
      </c>
      <c r="F23" s="21">
        <f>'Std LRCX'!F23</f>
        <v/>
      </c>
      <c r="G23" s="21">
        <f>'Std LRCX'!G23</f>
        <v/>
      </c>
    </row>
    <row r="24">
      <c r="A24" s="22" t="inlineStr">
        <is>
          <t>Total Non-recurring</t>
        </is>
      </c>
      <c r="B24" s="35">
        <f>'Std LRCX'!B24</f>
        <v/>
      </c>
      <c r="C24" s="35">
        <f>'Std LRCX'!C24</f>
        <v/>
      </c>
      <c r="D24" s="35">
        <f>'Std LRCX'!D24</f>
        <v/>
      </c>
      <c r="E24" s="35">
        <f>'Std LRCX'!E24</f>
        <v/>
      </c>
      <c r="F24" s="35">
        <f>'Std LRCX'!F24</f>
        <v/>
      </c>
      <c r="G24" s="35">
        <f>'Std LRCX'!G24</f>
        <v/>
      </c>
    </row>
    <row r="25">
      <c r="A25" s="24" t="inlineStr">
        <is>
          <t>EBIT</t>
        </is>
      </c>
      <c r="B25" s="36">
        <f>'Std LRCX'!B25</f>
        <v/>
      </c>
      <c r="C25" s="36">
        <f>'Std LRCX'!C25</f>
        <v/>
      </c>
      <c r="D25" s="36">
        <f>'Std LRCX'!D25</f>
        <v/>
      </c>
      <c r="E25" s="36">
        <f>'Std LRCX'!E25</f>
        <v/>
      </c>
      <c r="F25" s="36">
        <f>'Std LRCX'!F25</f>
        <v/>
      </c>
      <c r="G25" s="36">
        <f>'Std LRCX'!G25</f>
        <v/>
      </c>
    </row>
    <row r="26"/>
    <row r="27">
      <c r="A27" s="11" t="inlineStr">
        <is>
          <t xml:space="preserve">  Investment Income (Equity Method)</t>
        </is>
      </c>
      <c r="B27" s="21">
        <f>'Std LRCX'!B27</f>
        <v/>
      </c>
      <c r="C27" s="21">
        <f>'Std LRCX'!C27</f>
        <v/>
      </c>
      <c r="D27" s="21">
        <f>'Std LRCX'!D27</f>
        <v/>
      </c>
      <c r="E27" s="21">
        <f>'Std LRCX'!E27</f>
        <v/>
      </c>
      <c r="F27" s="21">
        <f>'Std LRCX'!F27</f>
        <v/>
      </c>
      <c r="G27" s="21">
        <f>'Std LRCX'!G27</f>
        <v/>
      </c>
    </row>
    <row r="28">
      <c r="A28" s="11" t="inlineStr">
        <is>
          <t xml:space="preserve">  Interest Income</t>
        </is>
      </c>
      <c r="B28" s="21">
        <f>'Std LRCX'!B28</f>
        <v/>
      </c>
      <c r="C28" s="21">
        <f>'Std LRCX'!C28</f>
        <v/>
      </c>
      <c r="D28" s="21">
        <f>'Std LRCX'!D28</f>
        <v/>
      </c>
      <c r="E28" s="21">
        <f>'Std LRCX'!E28</f>
        <v/>
      </c>
      <c r="F28" s="21">
        <f>'Std LRCX'!F28</f>
        <v/>
      </c>
      <c r="G28" s="21">
        <f>'Std LRCX'!G28</f>
        <v/>
      </c>
    </row>
    <row r="29">
      <c r="A29" s="11" t="inlineStr">
        <is>
          <t xml:space="preserve">  Interest Expense</t>
        </is>
      </c>
      <c r="B29" s="21">
        <f>'Std LRCX'!B29</f>
        <v/>
      </c>
      <c r="C29" s="21">
        <f>'Std LRCX'!C29</f>
        <v/>
      </c>
      <c r="D29" s="21">
        <f>'Std LRCX'!D29</f>
        <v/>
      </c>
      <c r="E29" s="21">
        <f>'Std LRCX'!E29</f>
        <v/>
      </c>
      <c r="F29" s="21">
        <f>'Std LRCX'!F29</f>
        <v/>
      </c>
      <c r="G29" s="21">
        <f>'Std LRCX'!G29</f>
        <v/>
      </c>
    </row>
    <row r="30">
      <c r="A30" s="11" t="inlineStr">
        <is>
          <t xml:space="preserve">  FX Gains/(Losses)</t>
        </is>
      </c>
      <c r="B30" s="21">
        <f>'Std LRCX'!B30</f>
        <v/>
      </c>
      <c r="C30" s="21">
        <f>'Std LRCX'!C30</f>
        <v/>
      </c>
      <c r="D30" s="21">
        <f>'Std LRCX'!D30</f>
        <v/>
      </c>
      <c r="E30" s="21">
        <f>'Std LRCX'!E30</f>
        <v/>
      </c>
      <c r="F30" s="21">
        <f>'Std LRCX'!F30</f>
        <v/>
      </c>
      <c r="G30" s="21">
        <f>'Std LRCX'!G30</f>
        <v/>
      </c>
    </row>
    <row r="31">
      <c r="A31" s="22" t="inlineStr">
        <is>
          <t>Profit Before Tax</t>
        </is>
      </c>
      <c r="B31" s="35">
        <f>'Std LRCX'!B31</f>
        <v/>
      </c>
      <c r="C31" s="35">
        <f>'Std LRCX'!C31</f>
        <v/>
      </c>
      <c r="D31" s="35">
        <f>'Std LRCX'!D31</f>
        <v/>
      </c>
      <c r="E31" s="35">
        <f>'Std LRCX'!E31</f>
        <v/>
      </c>
      <c r="F31" s="35">
        <f>'Std LRCX'!F31</f>
        <v/>
      </c>
      <c r="G31" s="35">
        <f>'Std LRCX'!G31</f>
        <v/>
      </c>
    </row>
    <row r="32">
      <c r="A32" s="11" t="inlineStr">
        <is>
          <t xml:space="preserve">  Tax Expense</t>
        </is>
      </c>
      <c r="B32" s="21">
        <f>'Std LRCX'!B32</f>
        <v/>
      </c>
      <c r="C32" s="21">
        <f>'Std LRCX'!C32</f>
        <v/>
      </c>
      <c r="D32" s="21">
        <f>'Std LRCX'!D32</f>
        <v/>
      </c>
      <c r="E32" s="21">
        <f>'Std LRCX'!E32</f>
        <v/>
      </c>
      <c r="F32" s="21">
        <f>'Std LRCX'!F32</f>
        <v/>
      </c>
      <c r="G32" s="21">
        <f>'Std LRCX'!G32</f>
        <v/>
      </c>
    </row>
    <row r="33">
      <c r="A33" s="26" t="inlineStr">
        <is>
          <t>Net Income</t>
        </is>
      </c>
      <c r="B33" s="37">
        <f>'Std LRCX'!B33</f>
        <v/>
      </c>
      <c r="C33" s="37">
        <f>'Std LRCX'!C33</f>
        <v/>
      </c>
      <c r="D33" s="37">
        <f>'Std LRCX'!D33</f>
        <v/>
      </c>
      <c r="E33" s="37">
        <f>'Std LRCX'!E33</f>
        <v/>
      </c>
      <c r="F33" s="37">
        <f>'Std LRCX'!F33</f>
        <v/>
      </c>
      <c r="G33" s="37">
        <f>'Std LRCX'!G33</f>
        <v/>
      </c>
    </row>
    <row r="34"/>
    <row r="35">
      <c r="A35" s="11" t="inlineStr">
        <is>
          <t>Effective Tax Rate</t>
        </is>
      </c>
      <c r="B35" s="18">
        <f>'Std LRCX'!B35</f>
        <v/>
      </c>
      <c r="C35" s="18">
        <f>'Std LRCX'!C35</f>
        <v/>
      </c>
      <c r="D35" s="18">
        <f>'Std LRCX'!D35</f>
        <v/>
      </c>
      <c r="E35" s="18">
        <f>'Std LRCX'!E35</f>
        <v/>
      </c>
      <c r="F35" s="18">
        <f>'Std LRCX'!F35</f>
        <v/>
      </c>
      <c r="G35" s="18">
        <f>'Std LRCX'!G35</f>
        <v/>
      </c>
    </row>
    <row r="36">
      <c r="A36" s="22" t="inlineStr">
        <is>
          <t>NOPAT</t>
        </is>
      </c>
      <c r="B36" s="35">
        <f>'Std LRCX'!B36</f>
        <v/>
      </c>
      <c r="C36" s="35">
        <f>'Std LRCX'!C36</f>
        <v/>
      </c>
      <c r="D36" s="35">
        <f>'Std LRCX'!D36</f>
        <v/>
      </c>
      <c r="E36" s="35">
        <f>'Std LRCX'!E36</f>
        <v/>
      </c>
      <c r="F36" s="35">
        <f>'Std LRCX'!F36</f>
        <v/>
      </c>
      <c r="G36" s="35">
        <f>'Std LRCX'!G36</f>
        <v/>
      </c>
    </row>
    <row r="37"/>
    <row r="38">
      <c r="A38" s="11" t="inlineStr">
        <is>
          <t>Shares Outstanding (diluted)</t>
        </is>
      </c>
      <c r="B38" s="21">
        <f>'Std LRCX'!B38</f>
        <v/>
      </c>
      <c r="C38" s="21">
        <f>'Std LRCX'!C38</f>
        <v/>
      </c>
      <c r="D38" s="21">
        <f>'Std LRCX'!D38</f>
        <v/>
      </c>
      <c r="E38" s="21">
        <f>'Std LRCX'!E38</f>
        <v/>
      </c>
      <c r="F38" s="21">
        <f>'Std LRCX'!F38</f>
        <v/>
      </c>
      <c r="G38" s="21">
        <f>'Std LRCX'!G38</f>
        <v/>
      </c>
    </row>
    <row r="39">
      <c r="A39" s="11" t="inlineStr">
        <is>
          <t>EPS (diluted)</t>
        </is>
      </c>
      <c r="B39" s="30">
        <f>'Std LRCX'!B39</f>
        <v/>
      </c>
      <c r="C39" s="30">
        <f>'Std LRCX'!C39</f>
        <v/>
      </c>
      <c r="D39" s="30">
        <f>'Std LRCX'!D39</f>
        <v/>
      </c>
      <c r="E39" s="30">
        <f>'Std LRCX'!E39</f>
        <v/>
      </c>
      <c r="F39" s="30">
        <f>'Std LRCX'!F39</f>
        <v/>
      </c>
      <c r="G39" s="30">
        <f>'Std LRCX'!G39</f>
        <v/>
      </c>
    </row>
    <row r="40">
      <c r="A40" s="11" t="inlineStr">
        <is>
          <t>Dividends per Share</t>
        </is>
      </c>
      <c r="B40" s="30">
        <f>'Std LRCX'!B40</f>
        <v/>
      </c>
      <c r="C40" s="30">
        <f>'Std LRCX'!C40</f>
        <v/>
      </c>
      <c r="D40" s="30">
        <f>'Std LRCX'!D40</f>
        <v/>
      </c>
      <c r="E40" s="30">
        <f>'Std LRCX'!E40</f>
        <v/>
      </c>
      <c r="F40" s="30">
        <f>'Std LRCX'!F40</f>
        <v/>
      </c>
      <c r="G40" s="30">
        <f>'Std LRCX'!G40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LRCX'!B45</f>
        <v/>
      </c>
      <c r="C45" s="21">
        <f>'Std LRCX'!C45</f>
        <v/>
      </c>
      <c r="D45" s="21">
        <f>'Std LRCX'!D45</f>
        <v/>
      </c>
      <c r="E45" s="21">
        <f>'Std LRCX'!E45</f>
        <v/>
      </c>
      <c r="F45" s="21">
        <f>'Std LRCX'!F45</f>
        <v/>
      </c>
      <c r="G45" s="21">
        <f>'Std LRCX'!G45</f>
        <v/>
      </c>
    </row>
    <row r="46">
      <c r="A46" s="11" t="inlineStr">
        <is>
          <t xml:space="preserve">  + Other Receivables</t>
        </is>
      </c>
      <c r="B46" s="21">
        <f>'Std LRCX'!B46</f>
        <v/>
      </c>
      <c r="C46" s="21">
        <f>'Std LRCX'!C46</f>
        <v/>
      </c>
      <c r="D46" s="21">
        <f>'Std LRCX'!D46</f>
        <v/>
      </c>
      <c r="E46" s="21">
        <f>'Std LRCX'!E46</f>
        <v/>
      </c>
      <c r="F46" s="21">
        <f>'Std LRCX'!F46</f>
        <v/>
      </c>
      <c r="G46" s="21">
        <f>'Std LRCX'!G46</f>
        <v/>
      </c>
    </row>
    <row r="47">
      <c r="A47" s="11" t="inlineStr">
        <is>
          <t xml:space="preserve">  + Inventories</t>
        </is>
      </c>
      <c r="B47" s="21">
        <f>'Std LRCX'!B47</f>
        <v/>
      </c>
      <c r="C47" s="21">
        <f>'Std LRCX'!C47</f>
        <v/>
      </c>
      <c r="D47" s="21">
        <f>'Std LRCX'!D47</f>
        <v/>
      </c>
      <c r="E47" s="21">
        <f>'Std LRCX'!E47</f>
        <v/>
      </c>
      <c r="F47" s="21">
        <f>'Std LRCX'!F47</f>
        <v/>
      </c>
      <c r="G47" s="21">
        <f>'Std LRCX'!G47</f>
        <v/>
      </c>
    </row>
    <row r="48">
      <c r="A48" s="11" t="inlineStr">
        <is>
          <t xml:space="preserve">  + Prepaid &amp; Other CA</t>
        </is>
      </c>
      <c r="B48" s="21">
        <f>'Std LRCX'!B48</f>
        <v/>
      </c>
      <c r="C48" s="21">
        <f>'Std LRCX'!C48</f>
        <v/>
      </c>
      <c r="D48" s="21">
        <f>'Std LRCX'!D48</f>
        <v/>
      </c>
      <c r="E48" s="21">
        <f>'Std LRCX'!E48</f>
        <v/>
      </c>
      <c r="F48" s="21">
        <f>'Std LRCX'!F48</f>
        <v/>
      </c>
      <c r="G48" s="21">
        <f>'Std LRCX'!G48</f>
        <v/>
      </c>
    </row>
    <row r="49">
      <c r="A49" s="11" t="inlineStr">
        <is>
          <t xml:space="preserve">  - Accounts Payable</t>
        </is>
      </c>
      <c r="B49" s="21">
        <f>'Std LRCX'!B49</f>
        <v/>
      </c>
      <c r="C49" s="21">
        <f>'Std LRCX'!C49</f>
        <v/>
      </c>
      <c r="D49" s="21">
        <f>'Std LRCX'!D49</f>
        <v/>
      </c>
      <c r="E49" s="21">
        <f>'Std LRCX'!E49</f>
        <v/>
      </c>
      <c r="F49" s="21">
        <f>'Std LRCX'!F49</f>
        <v/>
      </c>
      <c r="G49" s="21">
        <f>'Std LRCX'!G49</f>
        <v/>
      </c>
    </row>
    <row r="50">
      <c r="A50" s="11" t="inlineStr">
        <is>
          <t xml:space="preserve">  - Accrued Expenses</t>
        </is>
      </c>
      <c r="B50" s="21">
        <f>'Std LRCX'!B50</f>
        <v/>
      </c>
      <c r="C50" s="21">
        <f>'Std LRCX'!C50</f>
        <v/>
      </c>
      <c r="D50" s="21">
        <f>'Std LRCX'!D50</f>
        <v/>
      </c>
      <c r="E50" s="21">
        <f>'Std LRCX'!E50</f>
        <v/>
      </c>
      <c r="F50" s="21">
        <f>'Std LRCX'!F50</f>
        <v/>
      </c>
      <c r="G50" s="21">
        <f>'Std LRCX'!G50</f>
        <v/>
      </c>
    </row>
    <row r="51">
      <c r="A51" s="11" t="inlineStr">
        <is>
          <t xml:space="preserve">  - Unearned Revenue / Contract Liabilities</t>
        </is>
      </c>
      <c r="B51" s="21">
        <f>'Std LRCX'!B51</f>
        <v/>
      </c>
      <c r="C51" s="21">
        <f>'Std LRCX'!C51</f>
        <v/>
      </c>
      <c r="D51" s="21">
        <f>'Std LRCX'!D51</f>
        <v/>
      </c>
      <c r="E51" s="21">
        <f>'Std LRCX'!E51</f>
        <v/>
      </c>
      <c r="F51" s="21">
        <f>'Std LRCX'!F51</f>
        <v/>
      </c>
      <c r="G51" s="21">
        <f>'Std LRCX'!G51</f>
        <v/>
      </c>
    </row>
    <row r="52">
      <c r="A52" s="11" t="inlineStr">
        <is>
          <t xml:space="preserve">  - Income Taxes Payable</t>
        </is>
      </c>
      <c r="B52" s="21">
        <f>'Std LRCX'!B52</f>
        <v/>
      </c>
      <c r="C52" s="21">
        <f>'Std LRCX'!C52</f>
        <v/>
      </c>
      <c r="D52" s="21">
        <f>'Std LRCX'!D52</f>
        <v/>
      </c>
      <c r="E52" s="21">
        <f>'Std LRCX'!E52</f>
        <v/>
      </c>
      <c r="F52" s="21">
        <f>'Std LRCX'!F52</f>
        <v/>
      </c>
      <c r="G52" s="21">
        <f>'Std LRCX'!G52</f>
        <v/>
      </c>
    </row>
    <row r="53">
      <c r="A53" s="11" t="inlineStr">
        <is>
          <t xml:space="preserve">  - Other Current Liabilities</t>
        </is>
      </c>
      <c r="B53" s="21">
        <f>'Std LRCX'!B53</f>
        <v/>
      </c>
      <c r="C53" s="21">
        <f>'Std LRCX'!C53</f>
        <v/>
      </c>
      <c r="D53" s="21">
        <f>'Std LRCX'!D53</f>
        <v/>
      </c>
      <c r="E53" s="21">
        <f>'Std LRCX'!E53</f>
        <v/>
      </c>
      <c r="F53" s="21">
        <f>'Std LRCX'!F53</f>
        <v/>
      </c>
      <c r="G53" s="21">
        <f>'Std LRCX'!G53</f>
        <v/>
      </c>
    </row>
    <row r="54">
      <c r="A54" s="24">
        <f> Operating Working Capital</f>
        <v/>
      </c>
      <c r="B54" s="36">
        <f>'Std LRCX'!B54</f>
        <v/>
      </c>
      <c r="C54" s="36">
        <f>'Std LRCX'!C54</f>
        <v/>
      </c>
      <c r="D54" s="36">
        <f>'Std LRCX'!D54</f>
        <v/>
      </c>
      <c r="E54" s="36">
        <f>'Std LRCX'!E54</f>
        <v/>
      </c>
      <c r="F54" s="36">
        <f>'Std LRCX'!F54</f>
        <v/>
      </c>
      <c r="G54" s="36">
        <f>'Std LRCX'!G54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LRCX'!B57</f>
        <v/>
      </c>
      <c r="C57" s="21">
        <f>'Std LRCX'!C57</f>
        <v/>
      </c>
      <c r="D57" s="21">
        <f>'Std LRCX'!D57</f>
        <v/>
      </c>
      <c r="E57" s="21">
        <f>'Std LRCX'!E57</f>
        <v/>
      </c>
      <c r="F57" s="21">
        <f>'Std LRCX'!F57</f>
        <v/>
      </c>
      <c r="G57" s="21">
        <f>'Std LRCX'!G57</f>
        <v/>
      </c>
    </row>
    <row r="58">
      <c r="A58" s="11" t="inlineStr">
        <is>
          <t xml:space="preserve">  + Goodwill</t>
        </is>
      </c>
      <c r="B58" s="21">
        <f>'Std LRCX'!B58</f>
        <v/>
      </c>
      <c r="C58" s="21">
        <f>'Std LRCX'!C58</f>
        <v/>
      </c>
      <c r="D58" s="21">
        <f>'Std LRCX'!D58</f>
        <v/>
      </c>
      <c r="E58" s="21">
        <f>'Std LRCX'!E58</f>
        <v/>
      </c>
      <c r="F58" s="21">
        <f>'Std LRCX'!F58</f>
        <v/>
      </c>
      <c r="G58" s="21">
        <f>'Std LRCX'!G58</f>
        <v/>
      </c>
    </row>
    <row r="59">
      <c r="A59" s="11" t="inlineStr">
        <is>
          <t xml:space="preserve">  + Other Intangible Assets</t>
        </is>
      </c>
      <c r="B59" s="21">
        <f>'Std LRCX'!B59</f>
        <v/>
      </c>
      <c r="C59" s="21">
        <f>'Std LRCX'!C59</f>
        <v/>
      </c>
      <c r="D59" s="21">
        <f>'Std LRCX'!D59</f>
        <v/>
      </c>
      <c r="E59" s="21">
        <f>'Std LRCX'!E59</f>
        <v/>
      </c>
      <c r="F59" s="21">
        <f>'Std LRCX'!F59</f>
        <v/>
      </c>
      <c r="G59" s="21">
        <f>'Std LRCX'!G59</f>
        <v/>
      </c>
    </row>
    <row r="60">
      <c r="A60" s="11" t="inlineStr">
        <is>
          <t xml:space="preserve">  + Deferred Tax Assets</t>
        </is>
      </c>
      <c r="B60" s="21">
        <f>'Std LRCX'!B60</f>
        <v/>
      </c>
      <c r="C60" s="21">
        <f>'Std LRCX'!C60</f>
        <v/>
      </c>
      <c r="D60" s="21">
        <f>'Std LRCX'!D60</f>
        <v/>
      </c>
      <c r="E60" s="21">
        <f>'Std LRCX'!E60</f>
        <v/>
      </c>
      <c r="F60" s="21">
        <f>'Std LRCX'!F60</f>
        <v/>
      </c>
      <c r="G60" s="21">
        <f>'Std LRCX'!G60</f>
        <v/>
      </c>
    </row>
    <row r="61">
      <c r="A61" s="11" t="inlineStr">
        <is>
          <t xml:space="preserve">  + Deferred Charges &amp; LT Intangibles</t>
        </is>
      </c>
      <c r="B61" s="21">
        <f>'Std LRCX'!B61</f>
        <v/>
      </c>
      <c r="C61" s="21">
        <f>'Std LRCX'!C61</f>
        <v/>
      </c>
      <c r="D61" s="21">
        <f>'Std LRCX'!D61</f>
        <v/>
      </c>
      <c r="E61" s="21">
        <f>'Std LRCX'!E61</f>
        <v/>
      </c>
      <c r="F61" s="21">
        <f>'Std LRCX'!F61</f>
        <v/>
      </c>
      <c r="G61" s="21">
        <f>'Std LRCX'!G61</f>
        <v/>
      </c>
    </row>
    <row r="62">
      <c r="A62" s="11" t="inlineStr">
        <is>
          <t xml:space="preserve">  + Other Non-Current Assets</t>
        </is>
      </c>
      <c r="B62" s="21">
        <f>'Std LRCX'!B62</f>
        <v/>
      </c>
      <c r="C62" s="21">
        <f>'Std LRCX'!C62</f>
        <v/>
      </c>
      <c r="D62" s="21">
        <f>'Std LRCX'!D62</f>
        <v/>
      </c>
      <c r="E62" s="21">
        <f>'Std LRCX'!E62</f>
        <v/>
      </c>
      <c r="F62" s="21">
        <f>'Std LRCX'!F62</f>
        <v/>
      </c>
      <c r="G62" s="21">
        <f>'Std LRCX'!G62</f>
        <v/>
      </c>
    </row>
    <row r="63">
      <c r="A63" s="11" t="inlineStr">
        <is>
          <t xml:space="preserve">  - Deferred Tax Liabilities</t>
        </is>
      </c>
      <c r="B63" s="21">
        <f>'Std LRCX'!B63</f>
        <v/>
      </c>
      <c r="C63" s="21">
        <f>'Std LRCX'!C63</f>
        <v/>
      </c>
      <c r="D63" s="21">
        <f>'Std LRCX'!D63</f>
        <v/>
      </c>
      <c r="E63" s="21">
        <f>'Std LRCX'!E63</f>
        <v/>
      </c>
      <c r="F63" s="21">
        <f>'Std LRCX'!F63</f>
        <v/>
      </c>
      <c r="G63" s="21">
        <f>'Std LRCX'!G63</f>
        <v/>
      </c>
    </row>
    <row r="64">
      <c r="A64" s="11" t="inlineStr">
        <is>
          <t xml:space="preserve">  - Other Non-Current Liabilities</t>
        </is>
      </c>
      <c r="B64" s="21">
        <f>'Std LRCX'!B64</f>
        <v/>
      </c>
      <c r="C64" s="21">
        <f>'Std LRCX'!C64</f>
        <v/>
      </c>
      <c r="D64" s="21">
        <f>'Std LRCX'!D64</f>
        <v/>
      </c>
      <c r="E64" s="21">
        <f>'Std LRCX'!E64</f>
        <v/>
      </c>
      <c r="F64" s="21">
        <f>'Std LRCX'!F64</f>
        <v/>
      </c>
      <c r="G64" s="21">
        <f>'Std LRCX'!G64</f>
        <v/>
      </c>
    </row>
    <row r="65">
      <c r="A65" s="24">
        <f> Net Non-Current Operating Assets</f>
        <v/>
      </c>
      <c r="B65" s="36">
        <f>'Std LRCX'!B65</f>
        <v/>
      </c>
      <c r="C65" s="36">
        <f>'Std LRCX'!C65</f>
        <v/>
      </c>
      <c r="D65" s="36">
        <f>'Std LRCX'!D65</f>
        <v/>
      </c>
      <c r="E65" s="36">
        <f>'Std LRCX'!E65</f>
        <v/>
      </c>
      <c r="F65" s="36">
        <f>'Std LRCX'!F65</f>
        <v/>
      </c>
      <c r="G65" s="36">
        <f>'Std LRCX'!G65</f>
        <v/>
      </c>
    </row>
    <row r="66"/>
    <row r="67">
      <c r="A67" s="24">
        <f> Net Operating Assets</f>
        <v/>
      </c>
      <c r="B67" s="36">
        <f>'Std LRCX'!B67</f>
        <v/>
      </c>
      <c r="C67" s="36">
        <f>'Std LRCX'!C67</f>
        <v/>
      </c>
      <c r="D67" s="36">
        <f>'Std LRCX'!D67</f>
        <v/>
      </c>
      <c r="E67" s="36">
        <f>'Std LRCX'!E67</f>
        <v/>
      </c>
      <c r="F67" s="36">
        <f>'Std LRCX'!F67</f>
        <v/>
      </c>
      <c r="G67" s="36">
        <f>'Std LRCX'!G67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LRCX'!B70</f>
        <v/>
      </c>
      <c r="C70" s="21">
        <f>'Std LRCX'!C70</f>
        <v/>
      </c>
      <c r="D70" s="21">
        <f>'Std LRCX'!D70</f>
        <v/>
      </c>
      <c r="E70" s="21">
        <f>'Std LRCX'!E70</f>
        <v/>
      </c>
      <c r="F70" s="21">
        <f>'Std LRCX'!F70</f>
        <v/>
      </c>
      <c r="G70" s="21">
        <f>'Std LRCX'!G70</f>
        <v/>
      </c>
    </row>
    <row r="71">
      <c r="A71" s="24">
        <f> Total Investment Assets</f>
        <v/>
      </c>
      <c r="B71" s="36">
        <f>'Std LRCX'!B71</f>
        <v/>
      </c>
      <c r="C71" s="36">
        <f>'Std LRCX'!C71</f>
        <v/>
      </c>
      <c r="D71" s="36">
        <f>'Std LRCX'!D71</f>
        <v/>
      </c>
      <c r="E71" s="36">
        <f>'Std LRCX'!E71</f>
        <v/>
      </c>
      <c r="F71" s="36">
        <f>'Std LRCX'!F71</f>
        <v/>
      </c>
      <c r="G71" s="36">
        <f>'Std LRCX'!G71</f>
        <v/>
      </c>
    </row>
    <row r="72"/>
    <row r="73">
      <c r="A73" s="26">
        <f> Business Assets</f>
        <v/>
      </c>
      <c r="B73" s="37">
        <f>'Std LRCX'!B73</f>
        <v/>
      </c>
      <c r="C73" s="37">
        <f>'Std LRCX'!C73</f>
        <v/>
      </c>
      <c r="D73" s="37">
        <f>'Std LRCX'!D73</f>
        <v/>
      </c>
      <c r="E73" s="37">
        <f>'Std LRCX'!E73</f>
        <v/>
      </c>
      <c r="F73" s="37">
        <f>'Std LRCX'!F73</f>
        <v/>
      </c>
      <c r="G73" s="37">
        <f>'Std LRCX'!G73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LRCX'!B76</f>
        <v/>
      </c>
      <c r="C76" s="21">
        <f>'Std LRCX'!C76</f>
        <v/>
      </c>
      <c r="D76" s="21">
        <f>'Std LRCX'!D76</f>
        <v/>
      </c>
      <c r="E76" s="21">
        <f>'Std LRCX'!E76</f>
        <v/>
      </c>
      <c r="F76" s="21">
        <f>'Std LRCX'!F76</f>
        <v/>
      </c>
      <c r="G76" s="21">
        <f>'Std LRCX'!G76</f>
        <v/>
      </c>
    </row>
    <row r="77">
      <c r="A77" s="11" t="inlineStr">
        <is>
          <t xml:space="preserve">  + Lease Liabilities (non-current)</t>
        </is>
      </c>
      <c r="B77" s="21">
        <f>'Std LRCX'!B77</f>
        <v/>
      </c>
      <c r="C77" s="21">
        <f>'Std LRCX'!C77</f>
        <v/>
      </c>
      <c r="D77" s="21">
        <f>'Std LRCX'!D77</f>
        <v/>
      </c>
      <c r="E77" s="21">
        <f>'Std LRCX'!E77</f>
        <v/>
      </c>
      <c r="F77" s="21">
        <f>'Std LRCX'!F77</f>
        <v/>
      </c>
      <c r="G77" s="21">
        <f>'Std LRCX'!G77</f>
        <v/>
      </c>
    </row>
    <row r="78">
      <c r="A78" s="24">
        <f> Total Debt</f>
        <v/>
      </c>
      <c r="B78" s="36">
        <f>'Std LRCX'!B78</f>
        <v/>
      </c>
      <c r="C78" s="36">
        <f>'Std LRCX'!C78</f>
        <v/>
      </c>
      <c r="D78" s="36">
        <f>'Std LRCX'!D78</f>
        <v/>
      </c>
      <c r="E78" s="36">
        <f>'Std LRCX'!E78</f>
        <v/>
      </c>
      <c r="F78" s="36">
        <f>'Std LRCX'!F78</f>
        <v/>
      </c>
      <c r="G78" s="36">
        <f>'Std LRCX'!G78</f>
        <v/>
      </c>
    </row>
    <row r="79">
      <c r="A79" s="11" t="inlineStr">
        <is>
          <t xml:space="preserve">  Cash &amp; Equivalents</t>
        </is>
      </c>
      <c r="B79" s="21">
        <f>'Std LRCX'!B79</f>
        <v/>
      </c>
      <c r="C79" s="21">
        <f>'Std LRCX'!C79</f>
        <v/>
      </c>
      <c r="D79" s="21">
        <f>'Std LRCX'!D79</f>
        <v/>
      </c>
      <c r="E79" s="21">
        <f>'Std LRCX'!E79</f>
        <v/>
      </c>
      <c r="F79" s="21">
        <f>'Std LRCX'!F79</f>
        <v/>
      </c>
      <c r="G79" s="21">
        <f>'Std LRCX'!G79</f>
        <v/>
      </c>
    </row>
    <row r="80">
      <c r="A80" s="22">
        <f> Net Debt</f>
        <v/>
      </c>
      <c r="B80" s="35">
        <f>'Std LRCX'!B80</f>
        <v/>
      </c>
      <c r="C80" s="35">
        <f>'Std LRCX'!C80</f>
        <v/>
      </c>
      <c r="D80" s="35">
        <f>'Std LRCX'!D80</f>
        <v/>
      </c>
      <c r="E80" s="35">
        <f>'Std LRCX'!E80</f>
        <v/>
      </c>
      <c r="F80" s="35">
        <f>'Std LRCX'!F80</f>
        <v/>
      </c>
      <c r="G80" s="35">
        <f>'Std LRCX'!G80</f>
        <v/>
      </c>
    </row>
    <row r="81">
      <c r="A81" s="11" t="inlineStr">
        <is>
          <t>Group Equity</t>
        </is>
      </c>
      <c r="B81" s="21">
        <f>'Std LRCX'!B81</f>
        <v/>
      </c>
      <c r="C81" s="21">
        <f>'Std LRCX'!C81</f>
        <v/>
      </c>
      <c r="D81" s="21">
        <f>'Std LRCX'!D81</f>
        <v/>
      </c>
      <c r="E81" s="21">
        <f>'Std LRCX'!E81</f>
        <v/>
      </c>
      <c r="F81" s="21">
        <f>'Std LRCX'!F81</f>
        <v/>
      </c>
      <c r="G81" s="21">
        <f>'Std LRCX'!G81</f>
        <v/>
      </c>
    </row>
    <row r="82">
      <c r="A82" s="26">
        <f> Invested Capital</f>
        <v/>
      </c>
      <c r="B82" s="37">
        <f>'Std LRCX'!B82</f>
        <v/>
      </c>
      <c r="C82" s="37">
        <f>'Std LRCX'!C82</f>
        <v/>
      </c>
      <c r="D82" s="37">
        <f>'Std LRCX'!D82</f>
        <v/>
      </c>
      <c r="E82" s="37">
        <f>'Std LRCX'!E82</f>
        <v/>
      </c>
      <c r="F82" s="37">
        <f>'Std LRCX'!F82</f>
        <v/>
      </c>
      <c r="G82" s="37">
        <f>'Std LRCX'!G82</f>
        <v/>
      </c>
    </row>
    <row r="83">
      <c r="A83" s="22" t="inlineStr">
        <is>
          <t>BS Check (should = 0)</t>
        </is>
      </c>
      <c r="B83" s="35">
        <f>'Std LRCX'!B83</f>
        <v/>
      </c>
      <c r="C83" s="35">
        <f>'Std LRCX'!C83</f>
        <v/>
      </c>
      <c r="D83" s="35">
        <f>'Std LRCX'!D83</f>
        <v/>
      </c>
      <c r="E83" s="35">
        <f>'Std LRCX'!E83</f>
        <v/>
      </c>
      <c r="F83" s="35">
        <f>'Std LRCX'!F83</f>
        <v/>
      </c>
      <c r="G83" s="35">
        <f>'Std LRCX'!G83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LRCX'!B87</f>
        <v/>
      </c>
      <c r="C87" s="21">
        <f>'Std LRCX'!C87</f>
        <v/>
      </c>
      <c r="D87" s="21">
        <f>'Std LRCX'!D87</f>
        <v/>
      </c>
      <c r="E87" s="21">
        <f>'Std LRCX'!E87</f>
        <v/>
      </c>
      <c r="F87" s="21">
        <f>'Std LRCX'!F87</f>
        <v/>
      </c>
      <c r="G87" s="21">
        <f>'Std LRCX'!G87</f>
        <v/>
      </c>
    </row>
    <row r="88">
      <c r="A88" s="11" t="inlineStr">
        <is>
          <t>+ D&amp;A</t>
        </is>
      </c>
      <c r="B88" s="21">
        <f>'Std LRCX'!B88</f>
        <v/>
      </c>
      <c r="C88" s="21">
        <f>'Std LRCX'!C88</f>
        <v/>
      </c>
      <c r="D88" s="21">
        <f>'Std LRCX'!D88</f>
        <v/>
      </c>
      <c r="E88" s="21">
        <f>'Std LRCX'!E88</f>
        <v/>
      </c>
      <c r="F88" s="21">
        <f>'Std LRCX'!F88</f>
        <v/>
      </c>
      <c r="G88" s="21">
        <f>'Std LRCX'!G88</f>
        <v/>
      </c>
    </row>
    <row r="89">
      <c r="A89" s="11" t="inlineStr">
        <is>
          <t>- Change in OWC</t>
        </is>
      </c>
      <c r="B89" s="21">
        <f>'Std LRCX'!B89</f>
        <v/>
      </c>
      <c r="C89" s="21">
        <f>'Std LRCX'!C89</f>
        <v/>
      </c>
      <c r="D89" s="21">
        <f>'Std LRCX'!D89</f>
        <v/>
      </c>
      <c r="E89" s="21">
        <f>'Std LRCX'!E89</f>
        <v/>
      </c>
      <c r="F89" s="21">
        <f>'Std LRCX'!F89</f>
        <v/>
      </c>
      <c r="G89" s="21">
        <f>'Std LRCX'!G89</f>
        <v/>
      </c>
    </row>
    <row r="90">
      <c r="A90" s="11" t="inlineStr">
        <is>
          <t>- CapEx</t>
        </is>
      </c>
      <c r="B90" s="21">
        <f>'Std LRCX'!B90</f>
        <v/>
      </c>
      <c r="C90" s="21">
        <f>'Std LRCX'!C90</f>
        <v/>
      </c>
      <c r="D90" s="21">
        <f>'Std LRCX'!D90</f>
        <v/>
      </c>
      <c r="E90" s="21">
        <f>'Std LRCX'!E90</f>
        <v/>
      </c>
      <c r="F90" s="21">
        <f>'Std LRCX'!F90</f>
        <v/>
      </c>
      <c r="G90" s="21">
        <f>'Std LRCX'!G90</f>
        <v/>
      </c>
    </row>
    <row r="91">
      <c r="A91" s="11" t="inlineStr">
        <is>
          <t>- Purchase of Intangibles</t>
        </is>
      </c>
      <c r="B91" s="21">
        <f>'Std LRCX'!B91</f>
        <v/>
      </c>
      <c r="C91" s="21">
        <f>'Std LRCX'!C91</f>
        <v/>
      </c>
      <c r="D91" s="21">
        <f>'Std LRCX'!D91</f>
        <v/>
      </c>
      <c r="E91" s="21">
        <f>'Std LRCX'!E91</f>
        <v/>
      </c>
      <c r="F91" s="21">
        <f>'Std LRCX'!F91</f>
        <v/>
      </c>
      <c r="G91" s="21">
        <f>'Std LRCX'!G91</f>
        <v/>
      </c>
    </row>
    <row r="92">
      <c r="A92" s="24">
        <f> Operating CF after investment</f>
        <v/>
      </c>
      <c r="B92" s="36">
        <f>'Std LRCX'!B92</f>
        <v/>
      </c>
      <c r="C92" s="36">
        <f>'Std LRCX'!C92</f>
        <v/>
      </c>
      <c r="D92" s="36">
        <f>'Std LRCX'!D92</f>
        <v/>
      </c>
      <c r="E92" s="36">
        <f>'Std LRCX'!E92</f>
        <v/>
      </c>
      <c r="F92" s="36">
        <f>'Std LRCX'!F92</f>
        <v/>
      </c>
      <c r="G92" s="36">
        <f>'Std LRCX'!G92</f>
        <v/>
      </c>
    </row>
    <row r="93"/>
    <row r="94">
      <c r="A94" s="11" t="inlineStr">
        <is>
          <t>+ Net Investment Profit after tax</t>
        </is>
      </c>
      <c r="B94" s="21">
        <f>'Std LRCX'!B94</f>
        <v/>
      </c>
      <c r="C94" s="21">
        <f>'Std LRCX'!C94</f>
        <v/>
      </c>
      <c r="D94" s="21">
        <f>'Std LRCX'!D94</f>
        <v/>
      </c>
      <c r="E94" s="21">
        <f>'Std LRCX'!E94</f>
        <v/>
      </c>
      <c r="F94" s="21">
        <f>'Std LRCX'!F94</f>
        <v/>
      </c>
      <c r="G94" s="21">
        <f>'Std LRCX'!G94</f>
        <v/>
      </c>
    </row>
    <row r="95">
      <c r="A95" s="11" t="inlineStr">
        <is>
          <t>- Change in Investment Assets</t>
        </is>
      </c>
      <c r="B95" s="21">
        <f>'Std LRCX'!B95</f>
        <v/>
      </c>
      <c r="C95" s="21">
        <f>'Std LRCX'!C95</f>
        <v/>
      </c>
      <c r="D95" s="21">
        <f>'Std LRCX'!D95</f>
        <v/>
      </c>
      <c r="E95" s="21">
        <f>'Std LRCX'!E95</f>
        <v/>
      </c>
      <c r="F95" s="21">
        <f>'Std LRCX'!F95</f>
        <v/>
      </c>
      <c r="G95" s="21">
        <f>'Std LRCX'!G95</f>
        <v/>
      </c>
    </row>
    <row r="96">
      <c r="A96" s="24">
        <f> FCF to Debt &amp; Equity</f>
        <v/>
      </c>
      <c r="B96" s="36">
        <f>'Std LRCX'!B96</f>
        <v/>
      </c>
      <c r="C96" s="36">
        <f>'Std LRCX'!C96</f>
        <v/>
      </c>
      <c r="D96" s="36">
        <f>'Std LRCX'!D96</f>
        <v/>
      </c>
      <c r="E96" s="36">
        <f>'Std LRCX'!E96</f>
        <v/>
      </c>
      <c r="F96" s="36">
        <f>'Std LRCX'!F96</f>
        <v/>
      </c>
      <c r="G96" s="36">
        <f>'Std LRCX'!G96</f>
        <v/>
      </c>
    </row>
    <row r="97">
      <c r="A97" s="11" t="inlineStr">
        <is>
          <t>- Interest Expense after tax</t>
        </is>
      </c>
      <c r="B97" s="21">
        <f>'Std LRCX'!B97</f>
        <v/>
      </c>
      <c r="C97" s="21">
        <f>'Std LRCX'!C97</f>
        <v/>
      </c>
      <c r="D97" s="21">
        <f>'Std LRCX'!D97</f>
        <v/>
      </c>
      <c r="E97" s="21">
        <f>'Std LRCX'!E97</f>
        <v/>
      </c>
      <c r="F97" s="21">
        <f>'Std LRCX'!F97</f>
        <v/>
      </c>
      <c r="G97" s="21">
        <f>'Std LRCX'!G97</f>
        <v/>
      </c>
    </row>
    <row r="98">
      <c r="A98" s="11" t="inlineStr">
        <is>
          <t>+ Change in Debt</t>
        </is>
      </c>
      <c r="B98" s="21">
        <f>'Std LRCX'!B98</f>
        <v/>
      </c>
      <c r="C98" s="21">
        <f>'Std LRCX'!C98</f>
        <v/>
      </c>
      <c r="D98" s="21">
        <f>'Std LRCX'!D98</f>
        <v/>
      </c>
      <c r="E98" s="21">
        <f>'Std LRCX'!E98</f>
        <v/>
      </c>
      <c r="F98" s="21">
        <f>'Std LRCX'!F98</f>
        <v/>
      </c>
      <c r="G98" s="21">
        <f>'Std LRCX'!G98</f>
        <v/>
      </c>
    </row>
    <row r="99">
      <c r="A99" s="26">
        <f> FCF to Equity</f>
        <v/>
      </c>
      <c r="B99" s="37">
        <f>'Std LRCX'!B99</f>
        <v/>
      </c>
      <c r="C99" s="37">
        <f>'Std LRCX'!C99</f>
        <v/>
      </c>
      <c r="D99" s="37">
        <f>'Std LRCX'!D99</f>
        <v/>
      </c>
      <c r="E99" s="37">
        <f>'Std LRCX'!E99</f>
        <v/>
      </c>
      <c r="F99" s="37">
        <f>'Std LRCX'!F99</f>
        <v/>
      </c>
      <c r="G99" s="37">
        <f>'Std LRCX'!G99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70" customWidth="1" min="3" max="3"/>
  </cols>
  <sheetData>
    <row r="1">
      <c r="A1" s="14" t="inlineStr">
        <is>
          <t>Ratio Definitions &amp; Formulas</t>
        </is>
      </c>
    </row>
    <row r="2"/>
    <row r="3">
      <c r="A3" s="38" t="inlineStr">
        <is>
          <t>Profitability</t>
        </is>
      </c>
      <c r="B3" s="7" t="n"/>
      <c r="C3" s="7" t="n"/>
    </row>
    <row r="4">
      <c r="B4" s="22" t="inlineStr">
        <is>
          <t>ROE</t>
        </is>
      </c>
      <c r="C4" s="11" t="inlineStr">
        <is>
          <t>Net Income / Average Total Equity</t>
        </is>
      </c>
    </row>
    <row r="5">
      <c r="B5" s="22" t="inlineStr">
        <is>
          <t>DuPont Decomposition</t>
        </is>
      </c>
      <c r="C5" s="11" t="inlineStr">
        <is>
          <t>ROS x Asset Turnover x Financial Leverage</t>
        </is>
      </c>
    </row>
    <row r="6">
      <c r="B6" s="22" t="inlineStr">
        <is>
          <t>RNOA</t>
        </is>
      </c>
      <c r="C6" s="11" t="inlineStr">
        <is>
          <t>NOPAT Margin x NOA Turnover</t>
        </is>
      </c>
    </row>
    <row r="7">
      <c r="B7" s="22" t="inlineStr">
        <is>
          <t>Gross Profit Margin</t>
        </is>
      </c>
      <c r="C7" s="11" t="inlineStr">
        <is>
          <t>Gross Profit / Revenue</t>
        </is>
      </c>
    </row>
    <row r="8">
      <c r="B8" s="22" t="inlineStr">
        <is>
          <t>EBIT Margin</t>
        </is>
      </c>
      <c r="C8" s="11" t="inlineStr">
        <is>
          <t>EBIT / Revenue</t>
        </is>
      </c>
    </row>
    <row r="9">
      <c r="B9" s="22" t="inlineStr">
        <is>
          <t>NOPAT Margin</t>
        </is>
      </c>
      <c r="C9" s="11" t="inlineStr">
        <is>
          <t>NOPAT / Revenue</t>
        </is>
      </c>
    </row>
    <row r="11">
      <c r="A11" s="38" t="inlineStr">
        <is>
          <t>Asset Management</t>
        </is>
      </c>
      <c r="B11" s="7" t="n"/>
      <c r="C11" s="7" t="n"/>
    </row>
    <row r="12">
      <c r="B12" s="22" t="inlineStr">
        <is>
          <t>Receivables Turnover</t>
        </is>
      </c>
      <c r="C12" s="11" t="inlineStr">
        <is>
          <t>Revenue / Avg Trade Receivables</t>
        </is>
      </c>
    </row>
    <row r="13">
      <c r="B13" s="22" t="inlineStr">
        <is>
          <t>Days Receivable</t>
        </is>
      </c>
      <c r="C13" s="11" t="inlineStr">
        <is>
          <t>365 / Receivables Turnover</t>
        </is>
      </c>
    </row>
    <row r="14">
      <c r="B14" s="22" t="inlineStr">
        <is>
          <t>Inventory Turnover</t>
        </is>
      </c>
      <c r="C14" s="11" t="inlineStr">
        <is>
          <t>COGS / Avg Inventory</t>
        </is>
      </c>
    </row>
    <row r="15">
      <c r="B15" s="22" t="inlineStr">
        <is>
          <t>Days Inventory</t>
        </is>
      </c>
      <c r="C15" s="11" t="inlineStr">
        <is>
          <t>365 / Inventory Turnover</t>
        </is>
      </c>
    </row>
    <row r="16">
      <c r="B16" s="22" t="inlineStr">
        <is>
          <t>Payables Turnover</t>
        </is>
      </c>
      <c r="C16" s="11" t="inlineStr">
        <is>
          <t>COGS / Avg Trade Payables</t>
        </is>
      </c>
    </row>
    <row r="17">
      <c r="B17" s="22" t="inlineStr">
        <is>
          <t>Days Payable</t>
        </is>
      </c>
      <c r="C17" s="11" t="inlineStr">
        <is>
          <t>365 / Payables Turnover</t>
        </is>
      </c>
    </row>
    <row r="18">
      <c r="B18" s="22" t="inlineStr">
        <is>
          <t>Cash Conversion Cycle</t>
        </is>
      </c>
      <c r="C18" s="11" t="inlineStr">
        <is>
          <t>Days Inventory + Days Receivable - Days Payable</t>
        </is>
      </c>
    </row>
    <row r="20">
      <c r="A20" s="38" t="inlineStr">
        <is>
          <t>Liquidity</t>
        </is>
      </c>
      <c r="B20" s="7" t="n"/>
      <c r="C20" s="7" t="n"/>
    </row>
    <row r="21">
      <c r="B21" s="22" t="inlineStr">
        <is>
          <t>OWC / Revenue</t>
        </is>
      </c>
      <c r="C21" s="11" t="inlineStr">
        <is>
          <t>Operating Working Capital / Revenue</t>
        </is>
      </c>
    </row>
    <row r="22">
      <c r="B22" s="22" t="inlineStr">
        <is>
          <t>Cash / Total Debt</t>
        </is>
      </c>
      <c r="C22" s="11" t="inlineStr">
        <is>
          <t>Cash &amp; Equivalents / Total Debt</t>
        </is>
      </c>
    </row>
    <row r="24">
      <c r="A24" s="38" t="inlineStr">
        <is>
          <t>Solvency</t>
        </is>
      </c>
      <c r="B24" s="7" t="n"/>
      <c r="C24" s="7" t="n"/>
    </row>
    <row r="25">
      <c r="B25" s="22" t="inlineStr">
        <is>
          <t>Debt-to-Equity</t>
        </is>
      </c>
      <c r="C25" s="11" t="inlineStr">
        <is>
          <t>Total Debt / Total Equity</t>
        </is>
      </c>
    </row>
    <row r="26">
      <c r="B26" s="22" t="inlineStr">
        <is>
          <t>Interest Coverage</t>
        </is>
      </c>
      <c r="C26" s="11" t="inlineStr">
        <is>
          <t>EBIT / |Interest Expense|</t>
        </is>
      </c>
    </row>
    <row r="28">
      <c r="A28" s="38" t="inlineStr">
        <is>
          <t>Growth</t>
        </is>
      </c>
      <c r="B28" s="7" t="n"/>
      <c r="C28" s="7" t="n"/>
    </row>
    <row r="29">
      <c r="B29" s="22" t="inlineStr">
        <is>
          <t>Revenue Growth</t>
        </is>
      </c>
      <c r="C29" s="11" t="inlineStr">
        <is>
          <t>(Revenue_t / Revenue_{t-1}) - 1</t>
        </is>
      </c>
    </row>
    <row r="30">
      <c r="B30" s="22" t="inlineStr">
        <is>
          <t>Sustainable Growth</t>
        </is>
      </c>
      <c r="C30" s="11" t="inlineStr">
        <is>
          <t>(1 - Payout Ratio) x ROE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ASM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ASM'!B81,'Adj ASM'!C81)=0,0,'Adj ASM'!C33/AVERAGE('Adj ASM'!B81,'Adj ASM'!C81))</f>
        <v/>
      </c>
      <c r="D6" s="28">
        <f>IF(AVERAGE('Adj ASM'!C81,'Adj ASM'!D81)=0,0,'Adj ASM'!D33/AVERAGE('Adj ASM'!C81,'Adj ASM'!D81))</f>
        <v/>
      </c>
      <c r="E6" s="28">
        <f>IF(AVERAGE('Adj ASM'!D81,'Adj ASM'!E81)=0,0,'Adj ASM'!E33/AVERAGE('Adj ASM'!D81,'Adj ASM'!E81))</f>
        <v/>
      </c>
      <c r="F6" s="28">
        <f>IF(AVERAGE('Adj ASM'!E81,'Adj ASM'!F81)=0,0,'Adj ASM'!F33/AVERAGE('Adj ASM'!E81,'Adj ASM'!F81))</f>
        <v/>
      </c>
      <c r="G6" s="28">
        <f>IF(AVERAGE('Adj ASM'!F81,'Adj ASM'!G81)=0,0,'Adj ASM'!G33/AVERAGE('Adj ASM'!F81,'Adj ASM'!G81))</f>
        <v/>
      </c>
    </row>
    <row r="7">
      <c r="A7" s="11" t="inlineStr">
        <is>
          <t xml:space="preserve">    Net Profit Margin (ROS)</t>
        </is>
      </c>
      <c r="B7" s="28">
        <f>IF('Adj ASM'!B9=0,0,'Adj ASM'!B33/'Adj ASM'!B9)</f>
        <v/>
      </c>
      <c r="C7" s="28">
        <f>IF('Adj ASM'!C9=0,0,'Adj ASM'!C33/'Adj ASM'!C9)</f>
        <v/>
      </c>
      <c r="D7" s="28">
        <f>IF('Adj ASM'!D9=0,0,'Adj ASM'!D33/'Adj ASM'!D9)</f>
        <v/>
      </c>
      <c r="E7" s="28">
        <f>IF('Adj ASM'!E9=0,0,'Adj ASM'!E33/'Adj ASM'!E9)</f>
        <v/>
      </c>
      <c r="F7" s="28">
        <f>IF('Adj ASM'!F9=0,0,'Adj ASM'!F33/'Adj ASM'!F9)</f>
        <v/>
      </c>
      <c r="G7" s="28">
        <f>IF('Adj ASM'!G9=0,0,'Adj ASM'!G33/'Adj ASM'!G9)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ASM'!B73,'Adj ASM'!C73)=0,0,'Adj ASM'!C9/AVERAGE('Adj ASM'!B73,'Adj ASM'!C73))</f>
        <v/>
      </c>
      <c r="D8" s="41">
        <f>IF(AVERAGE('Adj ASM'!C73,'Adj ASM'!D73)=0,0,'Adj ASM'!D9/AVERAGE('Adj ASM'!C73,'Adj ASM'!D73))</f>
        <v/>
      </c>
      <c r="E8" s="41">
        <f>IF(AVERAGE('Adj ASM'!D73,'Adj ASM'!E73)=0,0,'Adj ASM'!E9/AVERAGE('Adj ASM'!D73,'Adj ASM'!E73))</f>
        <v/>
      </c>
      <c r="F8" s="41">
        <f>IF(AVERAGE('Adj ASM'!E73,'Adj ASM'!F73)=0,0,'Adj ASM'!F9/AVERAGE('Adj ASM'!E73,'Adj ASM'!F73))</f>
        <v/>
      </c>
      <c r="G8" s="41">
        <f>IF(AVERAGE('Adj ASM'!F73,'Adj ASM'!G73)=0,0,'Adj ASM'!G9/AVERAGE('Adj ASM'!F73,'Adj ASM'!G73))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ASM'!B81,'Adj ASM'!C81)=0,0,AVERAGE('Adj ASM'!B73,'Adj ASM'!C73)/AVERAGE('Adj ASM'!B81,'Adj ASM'!C81))</f>
        <v/>
      </c>
      <c r="D10" s="41">
        <f>IF(AVERAGE('Adj ASM'!C81,'Adj ASM'!D81)=0,0,AVERAGE('Adj ASM'!C73,'Adj ASM'!D73)/AVERAGE('Adj ASM'!C81,'Adj ASM'!D81))</f>
        <v/>
      </c>
      <c r="E10" s="41">
        <f>IF(AVERAGE('Adj ASM'!D81,'Adj ASM'!E81)=0,0,AVERAGE('Adj ASM'!D73,'Adj ASM'!E73)/AVERAGE('Adj ASM'!D81,'Adj ASM'!E81))</f>
        <v/>
      </c>
      <c r="F10" s="41">
        <f>IF(AVERAGE('Adj ASM'!E81,'Adj ASM'!F81)=0,0,AVERAGE('Adj ASM'!E73,'Adj ASM'!F73)/AVERAGE('Adj ASM'!E81,'Adj ASM'!F81))</f>
        <v/>
      </c>
      <c r="G10" s="41">
        <f>IF(AVERAGE('Adj ASM'!F81,'Adj ASM'!G81)=0,0,AVERAGE('Adj ASM'!F73,'Adj ASM'!G73)/AVERAGE('Adj ASM'!F81,'Adj ASM'!G81))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ASM'!B67,'Adj ASM'!C67)=0,0,'Adj ASM'!C36/AVERAGE('Adj ASM'!B67,'Adj ASM'!C67))</f>
        <v/>
      </c>
      <c r="D13" s="28">
        <f>IF(AVERAGE('Adj ASM'!C67,'Adj ASM'!D67)=0,0,'Adj ASM'!D36/AVERAGE('Adj ASM'!C67,'Adj ASM'!D67))</f>
        <v/>
      </c>
      <c r="E13" s="28">
        <f>IF(AVERAGE('Adj ASM'!D67,'Adj ASM'!E67)=0,0,'Adj ASM'!E36/AVERAGE('Adj ASM'!D67,'Adj ASM'!E67))</f>
        <v/>
      </c>
      <c r="F13" s="28">
        <f>IF(AVERAGE('Adj ASM'!E67,'Adj ASM'!F67)=0,0,'Adj ASM'!F36/AVERAGE('Adj ASM'!E67,'Adj ASM'!F67))</f>
        <v/>
      </c>
      <c r="G13" s="28">
        <f>IF(AVERAGE('Adj ASM'!F67,'Adj ASM'!G67)=0,0,'Adj ASM'!G36/AVERAGE('Adj ASM'!F67,'Adj ASM'!G67))</f>
        <v/>
      </c>
    </row>
    <row r="14">
      <c r="A14" s="11" t="inlineStr">
        <is>
          <t xml:space="preserve">    NOPAT Margin</t>
        </is>
      </c>
      <c r="B14" s="28">
        <f>IF('Adj ASM'!B9=0,0,'Adj ASM'!B36/'Adj ASM'!B9)</f>
        <v/>
      </c>
      <c r="C14" s="28">
        <f>IF('Adj ASM'!C9=0,0,'Adj ASM'!C36/'Adj ASM'!C9)</f>
        <v/>
      </c>
      <c r="D14" s="28">
        <f>IF('Adj ASM'!D9=0,0,'Adj ASM'!D36/'Adj ASM'!D9)</f>
        <v/>
      </c>
      <c r="E14" s="28">
        <f>IF('Adj ASM'!E9=0,0,'Adj ASM'!E36/'Adj ASM'!E9)</f>
        <v/>
      </c>
      <c r="F14" s="28">
        <f>IF('Adj ASM'!F9=0,0,'Adj ASM'!F36/'Adj ASM'!F9)</f>
        <v/>
      </c>
      <c r="G14" s="28">
        <f>IF('Adj ASM'!G9=0,0,'Adj ASM'!G36/'Adj ASM'!G9)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ASM'!B67,'Adj ASM'!C67)=0,0,'Adj ASM'!C9/AVERAGE('Adj ASM'!B67,'Adj ASM'!C67))</f>
        <v/>
      </c>
      <c r="D15" s="41">
        <f>IF(AVERAGE('Adj ASM'!C67,'Adj ASM'!D67)=0,0,'Adj ASM'!D9/AVERAGE('Adj ASM'!C67,'Adj ASM'!D67))</f>
        <v/>
      </c>
      <c r="E15" s="41">
        <f>IF(AVERAGE('Adj ASM'!D67,'Adj ASM'!E67)=0,0,'Adj ASM'!E9/AVERAGE('Adj ASM'!D67,'Adj ASM'!E67))</f>
        <v/>
      </c>
      <c r="F15" s="41">
        <f>IF(AVERAGE('Adj ASM'!E67,'Adj ASM'!F67)=0,0,'Adj ASM'!F9/AVERAGE('Adj ASM'!E67,'Adj ASM'!F67))</f>
        <v/>
      </c>
      <c r="G15" s="41">
        <f>IF(AVERAGE('Adj ASM'!F67,'Adj ASM'!G67)=0,0,'Adj ASM'!G9/AVERAGE('Adj ASM'!F67,'Adj ASM'!G67))</f>
        <v/>
      </c>
    </row>
    <row r="17">
      <c r="A17" s="11" t="inlineStr">
        <is>
          <t>Gross Profit Margin</t>
        </is>
      </c>
      <c r="B17" s="28">
        <f>IF('Adj ASM'!B9=0,0,'Adj ASM'!B11/'Adj ASM'!B9)</f>
        <v/>
      </c>
      <c r="C17" s="28">
        <f>IF('Adj ASM'!C9=0,0,'Adj ASM'!C11/'Adj ASM'!C9)</f>
        <v/>
      </c>
      <c r="D17" s="28">
        <f>IF('Adj ASM'!D9=0,0,'Adj ASM'!D11/'Adj ASM'!D9)</f>
        <v/>
      </c>
      <c r="E17" s="28">
        <f>IF('Adj ASM'!E9=0,0,'Adj ASM'!E11/'Adj ASM'!E9)</f>
        <v/>
      </c>
      <c r="F17" s="28">
        <f>IF('Adj ASM'!F9=0,0,'Adj ASM'!F11/'Adj ASM'!F9)</f>
        <v/>
      </c>
      <c r="G17" s="28">
        <f>IF('Adj ASM'!G9=0,0,'Adj ASM'!G11/'Adj ASM'!G9)</f>
        <v/>
      </c>
    </row>
    <row r="18">
      <c r="A18" s="11" t="inlineStr">
        <is>
          <t>EBIT Margin</t>
        </is>
      </c>
      <c r="B18" s="28">
        <f>IF('Adj ASM'!B9=0,0,'Adj ASM'!B25/'Adj ASM'!B9)</f>
        <v/>
      </c>
      <c r="C18" s="28">
        <f>IF('Adj ASM'!C9=0,0,'Adj ASM'!C25/'Adj ASM'!C9)</f>
        <v/>
      </c>
      <c r="D18" s="28">
        <f>IF('Adj ASM'!D9=0,0,'Adj ASM'!D25/'Adj ASM'!D9)</f>
        <v/>
      </c>
      <c r="E18" s="28">
        <f>IF('Adj ASM'!E9=0,0,'Adj ASM'!E25/'Adj ASM'!E9)</f>
        <v/>
      </c>
      <c r="F18" s="28">
        <f>IF('Adj ASM'!F9=0,0,'Adj ASM'!F25/'Adj ASM'!F9)</f>
        <v/>
      </c>
      <c r="G18" s="28">
        <f>IF('Adj ASM'!G9=0,0,'Adj ASM'!G25/'Adj ASM'!G9)</f>
        <v/>
      </c>
    </row>
    <row r="19">
      <c r="A19" s="11" t="inlineStr">
        <is>
          <t>NOPAT Margin</t>
        </is>
      </c>
      <c r="B19" s="28">
        <f>IF('Adj ASM'!B9=0,0,'Adj ASM'!B36/'Adj ASM'!B9)</f>
        <v/>
      </c>
      <c r="C19" s="28">
        <f>IF('Adj ASM'!C9=0,0,'Adj ASM'!C36/'Adj ASM'!C9)</f>
        <v/>
      </c>
      <c r="D19" s="28">
        <f>IF('Adj ASM'!D9=0,0,'Adj ASM'!D36/'Adj ASM'!D9)</f>
        <v/>
      </c>
      <c r="E19" s="28">
        <f>IF('Adj ASM'!E9=0,0,'Adj ASM'!E36/'Adj ASM'!E9)</f>
        <v/>
      </c>
      <c r="F19" s="28">
        <f>IF('Adj ASM'!F9=0,0,'Adj ASM'!F36/'Adj ASM'!F9)</f>
        <v/>
      </c>
      <c r="G19" s="28">
        <f>IF('Adj ASM'!G9=0,0,'Adj ASM'!G36/'Adj ASM'!G9)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ASM'!B9=0,0,'Adj ASM'!B10/'Adj ASM'!B9)</f>
        <v/>
      </c>
      <c r="C23" s="28">
        <f>IF('Adj ASM'!C9=0,0,'Adj ASM'!C10/'Adj ASM'!C9)</f>
        <v/>
      </c>
      <c r="D23" s="28">
        <f>IF('Adj ASM'!D9=0,0,'Adj ASM'!D10/'Adj ASM'!D9)</f>
        <v/>
      </c>
      <c r="E23" s="28">
        <f>IF('Adj ASM'!E9=0,0,'Adj ASM'!E10/'Adj ASM'!E9)</f>
        <v/>
      </c>
      <c r="F23" s="28">
        <f>IF('Adj ASM'!F9=0,0,'Adj ASM'!F10/'Adj ASM'!F9)</f>
        <v/>
      </c>
      <c r="G23" s="28">
        <f>IF('Adj ASM'!G9=0,0,'Adj ASM'!G10/'Adj ASM'!G9)</f>
        <v/>
      </c>
    </row>
    <row r="24">
      <c r="A24" s="11" t="inlineStr">
        <is>
          <t>SG&amp;A / Revenue</t>
        </is>
      </c>
      <c r="B24" s="28">
        <f>IF('Adj ASM'!B9=0,0,'Adj ASM'!B12/'Adj ASM'!B9)</f>
        <v/>
      </c>
      <c r="C24" s="28">
        <f>IF('Adj ASM'!C9=0,0,'Adj ASM'!C12/'Adj ASM'!C9)</f>
        <v/>
      </c>
      <c r="D24" s="28">
        <f>IF('Adj ASM'!D9=0,0,'Adj ASM'!D12/'Adj ASM'!D9)</f>
        <v/>
      </c>
      <c r="E24" s="28">
        <f>IF('Adj ASM'!E9=0,0,'Adj ASM'!E12/'Adj ASM'!E9)</f>
        <v/>
      </c>
      <c r="F24" s="28">
        <f>IF('Adj ASM'!F9=0,0,'Adj ASM'!F12/'Adj ASM'!F9)</f>
        <v/>
      </c>
      <c r="G24" s="28">
        <f>IF('Adj ASM'!G9=0,0,'Adj ASM'!G12/'Adj ASM'!G9)</f>
        <v/>
      </c>
    </row>
    <row r="25">
      <c r="A25" s="11" t="inlineStr">
        <is>
          <t>R&amp;D / Revenue</t>
        </is>
      </c>
      <c r="B25" s="28">
        <f>IF('Adj ASM'!B9=0,0,'Adj ASM'!B13/'Adj ASM'!B9)</f>
        <v/>
      </c>
      <c r="C25" s="28">
        <f>IF('Adj ASM'!C9=0,0,'Adj ASM'!C13/'Adj ASM'!C9)</f>
        <v/>
      </c>
      <c r="D25" s="28">
        <f>IF('Adj ASM'!D9=0,0,'Adj ASM'!D13/'Adj ASM'!D9)</f>
        <v/>
      </c>
      <c r="E25" s="28">
        <f>IF('Adj ASM'!E9=0,0,'Adj ASM'!E13/'Adj ASM'!E9)</f>
        <v/>
      </c>
      <c r="F25" s="28">
        <f>IF('Adj ASM'!F9=0,0,'Adj ASM'!F13/'Adj ASM'!F9)</f>
        <v/>
      </c>
      <c r="G25" s="28">
        <f>IF('Adj ASM'!G9=0,0,'Adj ASM'!G13/'Adj ASM'!G9)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ASM'!B45,'Adj ASM'!C45)=0,0,'Adj ASM'!C9/AVERAGE('Adj ASM'!B45,'Adj ASM'!C45))</f>
        <v/>
      </c>
      <c r="D28" s="41">
        <f>IF(AVERAGE('Adj ASM'!C45,'Adj ASM'!D45)=0,0,'Adj ASM'!D9/AVERAGE('Adj ASM'!C45,'Adj ASM'!D45))</f>
        <v/>
      </c>
      <c r="E28" s="41">
        <f>IF(AVERAGE('Adj ASM'!D45,'Adj ASM'!E45)=0,0,'Adj ASM'!E9/AVERAGE('Adj ASM'!D45,'Adj ASM'!E45))</f>
        <v/>
      </c>
      <c r="F28" s="41">
        <f>IF(AVERAGE('Adj ASM'!E45,'Adj ASM'!F45)=0,0,'Adj ASM'!F9/AVERAGE('Adj ASM'!E45,'Adj ASM'!F45))</f>
        <v/>
      </c>
      <c r="G28" s="41">
        <f>IF(AVERAGE('Adj ASM'!F45,'Adj ASM'!G45)=0,0,'Adj ASM'!G9/AVERAGE('Adj ASM'!F45,'Adj ASM'!G45))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ASM'!B47,'Adj ASM'!C47)=0,0,'Adj ASM'!C10/AVERAGE('Adj ASM'!B47,'Adj ASM'!C47))</f>
        <v/>
      </c>
      <c r="D30" s="41">
        <f>IF(AVERAGE('Adj ASM'!C47,'Adj ASM'!D47)=0,0,'Adj ASM'!D10/AVERAGE('Adj ASM'!C47,'Adj ASM'!D47))</f>
        <v/>
      </c>
      <c r="E30" s="41">
        <f>IF(AVERAGE('Adj ASM'!D47,'Adj ASM'!E47)=0,0,'Adj ASM'!E10/AVERAGE('Adj ASM'!D47,'Adj ASM'!E47))</f>
        <v/>
      </c>
      <c r="F30" s="41">
        <f>IF(AVERAGE('Adj ASM'!E47,'Adj ASM'!F47)=0,0,'Adj ASM'!F10/AVERAGE('Adj ASM'!E47,'Adj ASM'!F47))</f>
        <v/>
      </c>
      <c r="G30" s="41">
        <f>IF(AVERAGE('Adj ASM'!F47,'Adj ASM'!G47)=0,0,'Adj ASM'!G10/AVERAGE('Adj ASM'!F47,'Adj ASM'!G47))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ASM'!B49,'Adj ASM'!C49)=0,0,'Adj ASM'!C10/AVERAGE('Adj ASM'!B49,'Adj ASM'!C49))</f>
        <v/>
      </c>
      <c r="D32" s="41">
        <f>IF(AVERAGE('Adj ASM'!C49,'Adj ASM'!D49)=0,0,'Adj ASM'!D10/AVERAGE('Adj ASM'!C49,'Adj ASM'!D49))</f>
        <v/>
      </c>
      <c r="E32" s="41">
        <f>IF(AVERAGE('Adj ASM'!D49,'Adj ASM'!E49)=0,0,'Adj ASM'!E10/AVERAGE('Adj ASM'!D49,'Adj ASM'!E49))</f>
        <v/>
      </c>
      <c r="F32" s="41">
        <f>IF(AVERAGE('Adj ASM'!E49,'Adj ASM'!F49)=0,0,'Adj ASM'!F10/AVERAGE('Adj ASM'!E49,'Adj ASM'!F49))</f>
        <v/>
      </c>
      <c r="G32" s="41">
        <f>IF(AVERAGE('Adj ASM'!F49,'Adj ASM'!G49)=0,0,'Adj ASM'!G10/AVERAGE('Adj ASM'!F49,'Adj ASM'!G49))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ASM'!B9=0,0,'Adj ASM'!B54/'Adj ASM'!B9)</f>
        <v/>
      </c>
      <c r="C36" s="28">
        <f>IF('Adj ASM'!C9=0,0,'Adj ASM'!C54/'Adj ASM'!C9)</f>
        <v/>
      </c>
      <c r="D36" s="28">
        <f>IF('Adj ASM'!D9=0,0,'Adj ASM'!D54/'Adj ASM'!D9)</f>
        <v/>
      </c>
      <c r="E36" s="28">
        <f>IF('Adj ASM'!E9=0,0,'Adj ASM'!E54/'Adj ASM'!E9)</f>
        <v/>
      </c>
      <c r="F36" s="28">
        <f>IF('Adj ASM'!F9=0,0,'Adj ASM'!F54/'Adj ASM'!F9)</f>
        <v/>
      </c>
      <c r="G36" s="28">
        <f>IF('Adj ASM'!G9=0,0,'Adj ASM'!G54/'Adj ASM'!G9)</f>
        <v/>
      </c>
    </row>
    <row r="37">
      <c r="A37" s="11" t="inlineStr">
        <is>
          <t>PP&amp;E / Revenue</t>
        </is>
      </c>
      <c r="B37" s="28">
        <f>IF('Adj ASM'!B9=0,0,'Adj ASM'!B57/'Adj ASM'!B9)</f>
        <v/>
      </c>
      <c r="C37" s="28">
        <f>IF('Adj ASM'!C9=0,0,'Adj ASM'!C57/'Adj ASM'!C9)</f>
        <v/>
      </c>
      <c r="D37" s="28">
        <f>IF('Adj ASM'!D9=0,0,'Adj ASM'!D57/'Adj ASM'!D9)</f>
        <v/>
      </c>
      <c r="E37" s="28">
        <f>IF('Adj ASM'!E9=0,0,'Adj ASM'!E57/'Adj ASM'!E9)</f>
        <v/>
      </c>
      <c r="F37" s="28">
        <f>IF('Adj ASM'!F9=0,0,'Adj ASM'!F57/'Adj ASM'!F9)</f>
        <v/>
      </c>
      <c r="G37" s="28">
        <f>IF('Adj ASM'!G9=0,0,'Adj ASM'!G57/'Adj ASM'!G9)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ASM'!B78=0,0,'Adj ASM'!B79/'Adj ASM'!B78)</f>
        <v/>
      </c>
      <c r="C40" s="41">
        <f>IF('Adj ASM'!C78=0,0,'Adj ASM'!C79/'Adj ASM'!C78)</f>
        <v/>
      </c>
      <c r="D40" s="41">
        <f>IF('Adj ASM'!D78=0,0,'Adj ASM'!D79/'Adj ASM'!D78)</f>
        <v/>
      </c>
      <c r="E40" s="41">
        <f>IF('Adj ASM'!E78=0,0,'Adj ASM'!E79/'Adj ASM'!E78)</f>
        <v/>
      </c>
      <c r="F40" s="41">
        <f>IF('Adj ASM'!F78=0,0,'Adj ASM'!F79/'Adj ASM'!F78)</f>
        <v/>
      </c>
      <c r="G40" s="41">
        <f>IF('Adj ASM'!G78=0,0,'Adj ASM'!G79/'Adj ASM'!G78)</f>
        <v/>
      </c>
    </row>
    <row r="41">
      <c r="A41" s="11" t="inlineStr">
        <is>
          <t>Debt-to-Equity</t>
        </is>
      </c>
      <c r="B41" s="41">
        <f>IF('Adj ASM'!B81=0,0,'Adj ASM'!B78/'Adj ASM'!B81)</f>
        <v/>
      </c>
      <c r="C41" s="41">
        <f>IF('Adj ASM'!C81=0,0,'Adj ASM'!C78/'Adj ASM'!C81)</f>
        <v/>
      </c>
      <c r="D41" s="41">
        <f>IF('Adj ASM'!D81=0,0,'Adj ASM'!D78/'Adj ASM'!D81)</f>
        <v/>
      </c>
      <c r="E41" s="41">
        <f>IF('Adj ASM'!E81=0,0,'Adj ASM'!E78/'Adj ASM'!E81)</f>
        <v/>
      </c>
      <c r="F41" s="41">
        <f>IF('Adj ASM'!F81=0,0,'Adj ASM'!F78/'Adj ASM'!F81)</f>
        <v/>
      </c>
      <c r="G41" s="41">
        <f>IF('Adj ASM'!G81=0,0,'Adj ASM'!G78/'Adj ASM'!G81)</f>
        <v/>
      </c>
    </row>
    <row r="42">
      <c r="A42" s="11" t="inlineStr">
        <is>
          <t>Interest Coverage</t>
        </is>
      </c>
      <c r="B42" s="41">
        <f>IF(ABS('Adj ASM'!B29)=0,0,'Adj ASM'!B25/ABS('Adj ASM'!B29))</f>
        <v/>
      </c>
      <c r="C42" s="41">
        <f>IF(ABS('Adj ASM'!C29)=0,0,'Adj ASM'!C25/ABS('Adj ASM'!C29))</f>
        <v/>
      </c>
      <c r="D42" s="41">
        <f>IF(ABS('Adj ASM'!D29)=0,0,'Adj ASM'!D25/ABS('Adj ASM'!D29))</f>
        <v/>
      </c>
      <c r="E42" s="41">
        <f>IF(ABS('Adj ASM'!E29)=0,0,'Adj ASM'!E25/ABS('Adj ASM'!E29))</f>
        <v/>
      </c>
      <c r="F42" s="41">
        <f>IF(ABS('Adj ASM'!F29)=0,0,'Adj ASM'!F25/ABS('Adj ASM'!F29))</f>
        <v/>
      </c>
      <c r="G42" s="41">
        <f>IF(ABS('Adj ASM'!G29)=0,0,'Adj ASM'!G25/ABS('Adj ASM'!G29))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ASM'!B9=0,0,'Adj ASM'!C9/'Adj ASM'!B9-1)</f>
        <v/>
      </c>
      <c r="D45" s="28">
        <f>IF('Adj ASM'!C9=0,0,'Adj ASM'!D9/'Adj ASM'!C9-1)</f>
        <v/>
      </c>
      <c r="E45" s="28">
        <f>IF('Adj ASM'!D9=0,0,'Adj ASM'!E9/'Adj ASM'!D9-1)</f>
        <v/>
      </c>
      <c r="F45" s="28">
        <f>IF('Adj ASM'!E9=0,0,'Adj ASM'!F9/'Adj ASM'!E9-1)</f>
        <v/>
      </c>
      <c r="G45" s="28">
        <f>IF('Adj ASM'!F9=0,0,'Adj ASM'!G9/'Adj ASM'!F9-1)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ASM'!C33=0,0,(1-'Adj ASM'!C40*'Adj ASM'!C38/1000/'Adj ASM'!C33)*C6)</f>
        <v/>
      </c>
      <c r="D46" s="28">
        <f>IF('Adj ASM'!D33=0,0,(1-'Adj ASM'!D40*'Adj ASM'!D38/1000/'Adj ASM'!D33)*D6)</f>
        <v/>
      </c>
      <c r="E46" s="28">
        <f>IF('Adj ASM'!E33=0,0,(1-'Adj ASM'!E40*'Adj ASM'!E38/1000/'Adj ASM'!E33)*E6)</f>
        <v/>
      </c>
      <c r="F46" s="28">
        <f>IF('Adj ASM'!F33=0,0,(1-'Adj ASM'!F40*'Adj ASM'!F38/1000/'Adj ASM'!F33)*F6)</f>
        <v/>
      </c>
      <c r="G46" s="28">
        <f>IF('Adj ASM'!G33=0,0,(1-'Adj ASM'!G40*'Adj ASM'!G38/1000/'Adj ASM'!G33)*G6)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AIXTRON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AIXTRON'!B81,'Adj AIXTRON'!C81)=0,0,'Adj AIXTRON'!C33/AVERAGE('Adj AIXTRON'!B81,'Adj AIXTRON'!C81))</f>
        <v/>
      </c>
      <c r="D6" s="28">
        <f>IF(AVERAGE('Adj AIXTRON'!C81,'Adj AIXTRON'!D81)=0,0,'Adj AIXTRON'!D33/AVERAGE('Adj AIXTRON'!C81,'Adj AIXTRON'!D81))</f>
        <v/>
      </c>
      <c r="E6" s="28">
        <f>IF(AVERAGE('Adj AIXTRON'!D81,'Adj AIXTRON'!E81)=0,0,'Adj AIXTRON'!E33/AVERAGE('Adj AIXTRON'!D81,'Adj AIXTRON'!E81))</f>
        <v/>
      </c>
      <c r="F6" s="28">
        <f>IF(AVERAGE('Adj AIXTRON'!E81,'Adj AIXTRON'!F81)=0,0,'Adj AIXTRON'!F33/AVERAGE('Adj AIXTRON'!E81,'Adj AIXTRON'!F81))</f>
        <v/>
      </c>
      <c r="G6" s="28">
        <f>IF(AVERAGE('Adj AIXTRON'!F81,'Adj AIXTRON'!G81)=0,0,'Adj AIXTRON'!G33/AVERAGE('Adj AIXTRON'!F81,'Adj AIXTRON'!G81))</f>
        <v/>
      </c>
    </row>
    <row r="7">
      <c r="A7" s="11" t="inlineStr">
        <is>
          <t xml:space="preserve">    Net Profit Margin (ROS)</t>
        </is>
      </c>
      <c r="B7" s="28">
        <f>IF('Adj AIXTRON'!B9=0,0,'Adj AIXTRON'!B33/'Adj AIXTRON'!B9)</f>
        <v/>
      </c>
      <c r="C7" s="28">
        <f>IF('Adj AIXTRON'!C9=0,0,'Adj AIXTRON'!C33/'Adj AIXTRON'!C9)</f>
        <v/>
      </c>
      <c r="D7" s="28">
        <f>IF('Adj AIXTRON'!D9=0,0,'Adj AIXTRON'!D33/'Adj AIXTRON'!D9)</f>
        <v/>
      </c>
      <c r="E7" s="28">
        <f>IF('Adj AIXTRON'!E9=0,0,'Adj AIXTRON'!E33/'Adj AIXTRON'!E9)</f>
        <v/>
      </c>
      <c r="F7" s="28">
        <f>IF('Adj AIXTRON'!F9=0,0,'Adj AIXTRON'!F33/'Adj AIXTRON'!F9)</f>
        <v/>
      </c>
      <c r="G7" s="28">
        <f>IF('Adj AIXTRON'!G9=0,0,'Adj AIXTRON'!G33/'Adj AIXTRON'!G9)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AIXTRON'!B73,'Adj AIXTRON'!C73)=0,0,'Adj AIXTRON'!C9/AVERAGE('Adj AIXTRON'!B73,'Adj AIXTRON'!C73))</f>
        <v/>
      </c>
      <c r="D8" s="41">
        <f>IF(AVERAGE('Adj AIXTRON'!C73,'Adj AIXTRON'!D73)=0,0,'Adj AIXTRON'!D9/AVERAGE('Adj AIXTRON'!C73,'Adj AIXTRON'!D73))</f>
        <v/>
      </c>
      <c r="E8" s="41">
        <f>IF(AVERAGE('Adj AIXTRON'!D73,'Adj AIXTRON'!E73)=0,0,'Adj AIXTRON'!E9/AVERAGE('Adj AIXTRON'!D73,'Adj AIXTRON'!E73))</f>
        <v/>
      </c>
      <c r="F8" s="41">
        <f>IF(AVERAGE('Adj AIXTRON'!E73,'Adj AIXTRON'!F73)=0,0,'Adj AIXTRON'!F9/AVERAGE('Adj AIXTRON'!E73,'Adj AIXTRON'!F73))</f>
        <v/>
      </c>
      <c r="G8" s="41">
        <f>IF(AVERAGE('Adj AIXTRON'!F73,'Adj AIXTRON'!G73)=0,0,'Adj AIXTRON'!G9/AVERAGE('Adj AIXTRON'!F73,'Adj AIXTRON'!G73))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AIXTRON'!B81,'Adj AIXTRON'!C81)=0,0,AVERAGE('Adj AIXTRON'!B73,'Adj AIXTRON'!C73)/AVERAGE('Adj AIXTRON'!B81,'Adj AIXTRON'!C81))</f>
        <v/>
      </c>
      <c r="D10" s="41">
        <f>IF(AVERAGE('Adj AIXTRON'!C81,'Adj AIXTRON'!D81)=0,0,AVERAGE('Adj AIXTRON'!C73,'Adj AIXTRON'!D73)/AVERAGE('Adj AIXTRON'!C81,'Adj AIXTRON'!D81))</f>
        <v/>
      </c>
      <c r="E10" s="41">
        <f>IF(AVERAGE('Adj AIXTRON'!D81,'Adj AIXTRON'!E81)=0,0,AVERAGE('Adj AIXTRON'!D73,'Adj AIXTRON'!E73)/AVERAGE('Adj AIXTRON'!D81,'Adj AIXTRON'!E81))</f>
        <v/>
      </c>
      <c r="F10" s="41">
        <f>IF(AVERAGE('Adj AIXTRON'!E81,'Adj AIXTRON'!F81)=0,0,AVERAGE('Adj AIXTRON'!E73,'Adj AIXTRON'!F73)/AVERAGE('Adj AIXTRON'!E81,'Adj AIXTRON'!F81))</f>
        <v/>
      </c>
      <c r="G10" s="41">
        <f>IF(AVERAGE('Adj AIXTRON'!F81,'Adj AIXTRON'!G81)=0,0,AVERAGE('Adj AIXTRON'!F73,'Adj AIXTRON'!G73)/AVERAGE('Adj AIXTRON'!F81,'Adj AIXTRON'!G81))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AIXTRON'!B67,'Adj AIXTRON'!C67)=0,0,'Adj AIXTRON'!C36/AVERAGE('Adj AIXTRON'!B67,'Adj AIXTRON'!C67))</f>
        <v/>
      </c>
      <c r="D13" s="28">
        <f>IF(AVERAGE('Adj AIXTRON'!C67,'Adj AIXTRON'!D67)=0,0,'Adj AIXTRON'!D36/AVERAGE('Adj AIXTRON'!C67,'Adj AIXTRON'!D67))</f>
        <v/>
      </c>
      <c r="E13" s="28">
        <f>IF(AVERAGE('Adj AIXTRON'!D67,'Adj AIXTRON'!E67)=0,0,'Adj AIXTRON'!E36/AVERAGE('Adj AIXTRON'!D67,'Adj AIXTRON'!E67))</f>
        <v/>
      </c>
      <c r="F13" s="28">
        <f>IF(AVERAGE('Adj AIXTRON'!E67,'Adj AIXTRON'!F67)=0,0,'Adj AIXTRON'!F36/AVERAGE('Adj AIXTRON'!E67,'Adj AIXTRON'!F67))</f>
        <v/>
      </c>
      <c r="G13" s="28">
        <f>IF(AVERAGE('Adj AIXTRON'!F67,'Adj AIXTRON'!G67)=0,0,'Adj AIXTRON'!G36/AVERAGE('Adj AIXTRON'!F67,'Adj AIXTRON'!G67))</f>
        <v/>
      </c>
    </row>
    <row r="14">
      <c r="A14" s="11" t="inlineStr">
        <is>
          <t xml:space="preserve">    NOPAT Margin</t>
        </is>
      </c>
      <c r="B14" s="28">
        <f>IF('Adj AIXTRON'!B9=0,0,'Adj AIXTRON'!B36/'Adj AIXTRON'!B9)</f>
        <v/>
      </c>
      <c r="C14" s="28">
        <f>IF('Adj AIXTRON'!C9=0,0,'Adj AIXTRON'!C36/'Adj AIXTRON'!C9)</f>
        <v/>
      </c>
      <c r="D14" s="28">
        <f>IF('Adj AIXTRON'!D9=0,0,'Adj AIXTRON'!D36/'Adj AIXTRON'!D9)</f>
        <v/>
      </c>
      <c r="E14" s="28">
        <f>IF('Adj AIXTRON'!E9=0,0,'Adj AIXTRON'!E36/'Adj AIXTRON'!E9)</f>
        <v/>
      </c>
      <c r="F14" s="28">
        <f>IF('Adj AIXTRON'!F9=0,0,'Adj AIXTRON'!F36/'Adj AIXTRON'!F9)</f>
        <v/>
      </c>
      <c r="G14" s="28">
        <f>IF('Adj AIXTRON'!G9=0,0,'Adj AIXTRON'!G36/'Adj AIXTRON'!G9)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AIXTRON'!B67,'Adj AIXTRON'!C67)=0,0,'Adj AIXTRON'!C9/AVERAGE('Adj AIXTRON'!B67,'Adj AIXTRON'!C67))</f>
        <v/>
      </c>
      <c r="D15" s="41">
        <f>IF(AVERAGE('Adj AIXTRON'!C67,'Adj AIXTRON'!D67)=0,0,'Adj AIXTRON'!D9/AVERAGE('Adj AIXTRON'!C67,'Adj AIXTRON'!D67))</f>
        <v/>
      </c>
      <c r="E15" s="41">
        <f>IF(AVERAGE('Adj AIXTRON'!D67,'Adj AIXTRON'!E67)=0,0,'Adj AIXTRON'!E9/AVERAGE('Adj AIXTRON'!D67,'Adj AIXTRON'!E67))</f>
        <v/>
      </c>
      <c r="F15" s="41">
        <f>IF(AVERAGE('Adj AIXTRON'!E67,'Adj AIXTRON'!F67)=0,0,'Adj AIXTRON'!F9/AVERAGE('Adj AIXTRON'!E67,'Adj AIXTRON'!F67))</f>
        <v/>
      </c>
      <c r="G15" s="41">
        <f>IF(AVERAGE('Adj AIXTRON'!F67,'Adj AIXTRON'!G67)=0,0,'Adj AIXTRON'!G9/AVERAGE('Adj AIXTRON'!F67,'Adj AIXTRON'!G67))</f>
        <v/>
      </c>
    </row>
    <row r="17">
      <c r="A17" s="11" t="inlineStr">
        <is>
          <t>Gross Profit Margin</t>
        </is>
      </c>
      <c r="B17" s="28">
        <f>IF('Adj AIXTRON'!B9=0,0,'Adj AIXTRON'!B11/'Adj AIXTRON'!B9)</f>
        <v/>
      </c>
      <c r="C17" s="28">
        <f>IF('Adj AIXTRON'!C9=0,0,'Adj AIXTRON'!C11/'Adj AIXTRON'!C9)</f>
        <v/>
      </c>
      <c r="D17" s="28">
        <f>IF('Adj AIXTRON'!D9=0,0,'Adj AIXTRON'!D11/'Adj AIXTRON'!D9)</f>
        <v/>
      </c>
      <c r="E17" s="28">
        <f>IF('Adj AIXTRON'!E9=0,0,'Adj AIXTRON'!E11/'Adj AIXTRON'!E9)</f>
        <v/>
      </c>
      <c r="F17" s="28">
        <f>IF('Adj AIXTRON'!F9=0,0,'Adj AIXTRON'!F11/'Adj AIXTRON'!F9)</f>
        <v/>
      </c>
      <c r="G17" s="28">
        <f>IF('Adj AIXTRON'!G9=0,0,'Adj AIXTRON'!G11/'Adj AIXTRON'!G9)</f>
        <v/>
      </c>
    </row>
    <row r="18">
      <c r="A18" s="11" t="inlineStr">
        <is>
          <t>EBIT Margin</t>
        </is>
      </c>
      <c r="B18" s="28">
        <f>IF('Adj AIXTRON'!B9=0,0,'Adj AIXTRON'!B25/'Adj AIXTRON'!B9)</f>
        <v/>
      </c>
      <c r="C18" s="28">
        <f>IF('Adj AIXTRON'!C9=0,0,'Adj AIXTRON'!C25/'Adj AIXTRON'!C9)</f>
        <v/>
      </c>
      <c r="D18" s="28">
        <f>IF('Adj AIXTRON'!D9=0,0,'Adj AIXTRON'!D25/'Adj AIXTRON'!D9)</f>
        <v/>
      </c>
      <c r="E18" s="28">
        <f>IF('Adj AIXTRON'!E9=0,0,'Adj AIXTRON'!E25/'Adj AIXTRON'!E9)</f>
        <v/>
      </c>
      <c r="F18" s="28">
        <f>IF('Adj AIXTRON'!F9=0,0,'Adj AIXTRON'!F25/'Adj AIXTRON'!F9)</f>
        <v/>
      </c>
      <c r="G18" s="28">
        <f>IF('Adj AIXTRON'!G9=0,0,'Adj AIXTRON'!G25/'Adj AIXTRON'!G9)</f>
        <v/>
      </c>
    </row>
    <row r="19">
      <c r="A19" s="11" t="inlineStr">
        <is>
          <t>NOPAT Margin</t>
        </is>
      </c>
      <c r="B19" s="28">
        <f>IF('Adj AIXTRON'!B9=0,0,'Adj AIXTRON'!B36/'Adj AIXTRON'!B9)</f>
        <v/>
      </c>
      <c r="C19" s="28">
        <f>IF('Adj AIXTRON'!C9=0,0,'Adj AIXTRON'!C36/'Adj AIXTRON'!C9)</f>
        <v/>
      </c>
      <c r="D19" s="28">
        <f>IF('Adj AIXTRON'!D9=0,0,'Adj AIXTRON'!D36/'Adj AIXTRON'!D9)</f>
        <v/>
      </c>
      <c r="E19" s="28">
        <f>IF('Adj AIXTRON'!E9=0,0,'Adj AIXTRON'!E36/'Adj AIXTRON'!E9)</f>
        <v/>
      </c>
      <c r="F19" s="28">
        <f>IF('Adj AIXTRON'!F9=0,0,'Adj AIXTRON'!F36/'Adj AIXTRON'!F9)</f>
        <v/>
      </c>
      <c r="G19" s="28">
        <f>IF('Adj AIXTRON'!G9=0,0,'Adj AIXTRON'!G36/'Adj AIXTRON'!G9)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AIXTRON'!B9=0,0,'Adj AIXTRON'!B10/'Adj AIXTRON'!B9)</f>
        <v/>
      </c>
      <c r="C23" s="28">
        <f>IF('Adj AIXTRON'!C9=0,0,'Adj AIXTRON'!C10/'Adj AIXTRON'!C9)</f>
        <v/>
      </c>
      <c r="D23" s="28">
        <f>IF('Adj AIXTRON'!D9=0,0,'Adj AIXTRON'!D10/'Adj AIXTRON'!D9)</f>
        <v/>
      </c>
      <c r="E23" s="28">
        <f>IF('Adj AIXTRON'!E9=0,0,'Adj AIXTRON'!E10/'Adj AIXTRON'!E9)</f>
        <v/>
      </c>
      <c r="F23" s="28">
        <f>IF('Adj AIXTRON'!F9=0,0,'Adj AIXTRON'!F10/'Adj AIXTRON'!F9)</f>
        <v/>
      </c>
      <c r="G23" s="28">
        <f>IF('Adj AIXTRON'!G9=0,0,'Adj AIXTRON'!G10/'Adj AIXTRON'!G9)</f>
        <v/>
      </c>
    </row>
    <row r="24">
      <c r="A24" s="11" t="inlineStr">
        <is>
          <t>SG&amp;A / Revenue</t>
        </is>
      </c>
      <c r="B24" s="28">
        <f>IF('Adj AIXTRON'!B9=0,0,'Adj AIXTRON'!B12/'Adj AIXTRON'!B9)</f>
        <v/>
      </c>
      <c r="C24" s="28">
        <f>IF('Adj AIXTRON'!C9=0,0,'Adj AIXTRON'!C12/'Adj AIXTRON'!C9)</f>
        <v/>
      </c>
      <c r="D24" s="28">
        <f>IF('Adj AIXTRON'!D9=0,0,'Adj AIXTRON'!D12/'Adj AIXTRON'!D9)</f>
        <v/>
      </c>
      <c r="E24" s="28">
        <f>IF('Adj AIXTRON'!E9=0,0,'Adj AIXTRON'!E12/'Adj AIXTRON'!E9)</f>
        <v/>
      </c>
      <c r="F24" s="28">
        <f>IF('Adj AIXTRON'!F9=0,0,'Adj AIXTRON'!F12/'Adj AIXTRON'!F9)</f>
        <v/>
      </c>
      <c r="G24" s="28">
        <f>IF('Adj AIXTRON'!G9=0,0,'Adj AIXTRON'!G12/'Adj AIXTRON'!G9)</f>
        <v/>
      </c>
    </row>
    <row r="25">
      <c r="A25" s="11" t="inlineStr">
        <is>
          <t>R&amp;D / Revenue</t>
        </is>
      </c>
      <c r="B25" s="28">
        <f>IF('Adj AIXTRON'!B9=0,0,'Adj AIXTRON'!B13/'Adj AIXTRON'!B9)</f>
        <v/>
      </c>
      <c r="C25" s="28">
        <f>IF('Adj AIXTRON'!C9=0,0,'Adj AIXTRON'!C13/'Adj AIXTRON'!C9)</f>
        <v/>
      </c>
      <c r="D25" s="28">
        <f>IF('Adj AIXTRON'!D9=0,0,'Adj AIXTRON'!D13/'Adj AIXTRON'!D9)</f>
        <v/>
      </c>
      <c r="E25" s="28">
        <f>IF('Adj AIXTRON'!E9=0,0,'Adj AIXTRON'!E13/'Adj AIXTRON'!E9)</f>
        <v/>
      </c>
      <c r="F25" s="28">
        <f>IF('Adj AIXTRON'!F9=0,0,'Adj AIXTRON'!F13/'Adj AIXTRON'!F9)</f>
        <v/>
      </c>
      <c r="G25" s="28">
        <f>IF('Adj AIXTRON'!G9=0,0,'Adj AIXTRON'!G13/'Adj AIXTRON'!G9)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AIXTRON'!B45,'Adj AIXTRON'!C45)=0,0,'Adj AIXTRON'!C9/AVERAGE('Adj AIXTRON'!B45,'Adj AIXTRON'!C45))</f>
        <v/>
      </c>
      <c r="D28" s="41">
        <f>IF(AVERAGE('Adj AIXTRON'!C45,'Adj AIXTRON'!D45)=0,0,'Adj AIXTRON'!D9/AVERAGE('Adj AIXTRON'!C45,'Adj AIXTRON'!D45))</f>
        <v/>
      </c>
      <c r="E28" s="41">
        <f>IF(AVERAGE('Adj AIXTRON'!D45,'Adj AIXTRON'!E45)=0,0,'Adj AIXTRON'!E9/AVERAGE('Adj AIXTRON'!D45,'Adj AIXTRON'!E45))</f>
        <v/>
      </c>
      <c r="F28" s="41">
        <f>IF(AVERAGE('Adj AIXTRON'!E45,'Adj AIXTRON'!F45)=0,0,'Adj AIXTRON'!F9/AVERAGE('Adj AIXTRON'!E45,'Adj AIXTRON'!F45))</f>
        <v/>
      </c>
      <c r="G28" s="41">
        <f>IF(AVERAGE('Adj AIXTRON'!F45,'Adj AIXTRON'!G45)=0,0,'Adj AIXTRON'!G9/AVERAGE('Adj AIXTRON'!F45,'Adj AIXTRON'!G45))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AIXTRON'!B47,'Adj AIXTRON'!C47)=0,0,'Adj AIXTRON'!C10/AVERAGE('Adj AIXTRON'!B47,'Adj AIXTRON'!C47))</f>
        <v/>
      </c>
      <c r="D30" s="41">
        <f>IF(AVERAGE('Adj AIXTRON'!C47,'Adj AIXTRON'!D47)=0,0,'Adj AIXTRON'!D10/AVERAGE('Adj AIXTRON'!C47,'Adj AIXTRON'!D47))</f>
        <v/>
      </c>
      <c r="E30" s="41">
        <f>IF(AVERAGE('Adj AIXTRON'!D47,'Adj AIXTRON'!E47)=0,0,'Adj AIXTRON'!E10/AVERAGE('Adj AIXTRON'!D47,'Adj AIXTRON'!E47))</f>
        <v/>
      </c>
      <c r="F30" s="41">
        <f>IF(AVERAGE('Adj AIXTRON'!E47,'Adj AIXTRON'!F47)=0,0,'Adj AIXTRON'!F10/AVERAGE('Adj AIXTRON'!E47,'Adj AIXTRON'!F47))</f>
        <v/>
      </c>
      <c r="G30" s="41">
        <f>IF(AVERAGE('Adj AIXTRON'!F47,'Adj AIXTRON'!G47)=0,0,'Adj AIXTRON'!G10/AVERAGE('Adj AIXTRON'!F47,'Adj AIXTRON'!G47))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AIXTRON'!B49,'Adj AIXTRON'!C49)=0,0,'Adj AIXTRON'!C10/AVERAGE('Adj AIXTRON'!B49,'Adj AIXTRON'!C49))</f>
        <v/>
      </c>
      <c r="D32" s="41">
        <f>IF(AVERAGE('Adj AIXTRON'!C49,'Adj AIXTRON'!D49)=0,0,'Adj AIXTRON'!D10/AVERAGE('Adj AIXTRON'!C49,'Adj AIXTRON'!D49))</f>
        <v/>
      </c>
      <c r="E32" s="41">
        <f>IF(AVERAGE('Adj AIXTRON'!D49,'Adj AIXTRON'!E49)=0,0,'Adj AIXTRON'!E10/AVERAGE('Adj AIXTRON'!D49,'Adj AIXTRON'!E49))</f>
        <v/>
      </c>
      <c r="F32" s="41">
        <f>IF(AVERAGE('Adj AIXTRON'!E49,'Adj AIXTRON'!F49)=0,0,'Adj AIXTRON'!F10/AVERAGE('Adj AIXTRON'!E49,'Adj AIXTRON'!F49))</f>
        <v/>
      </c>
      <c r="G32" s="41">
        <f>IF(AVERAGE('Adj AIXTRON'!F49,'Adj AIXTRON'!G49)=0,0,'Adj AIXTRON'!G10/AVERAGE('Adj AIXTRON'!F49,'Adj AIXTRON'!G49))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AIXTRON'!B9=0,0,'Adj AIXTRON'!B54/'Adj AIXTRON'!B9)</f>
        <v/>
      </c>
      <c r="C36" s="28">
        <f>IF('Adj AIXTRON'!C9=0,0,'Adj AIXTRON'!C54/'Adj AIXTRON'!C9)</f>
        <v/>
      </c>
      <c r="D36" s="28">
        <f>IF('Adj AIXTRON'!D9=0,0,'Adj AIXTRON'!D54/'Adj AIXTRON'!D9)</f>
        <v/>
      </c>
      <c r="E36" s="28">
        <f>IF('Adj AIXTRON'!E9=0,0,'Adj AIXTRON'!E54/'Adj AIXTRON'!E9)</f>
        <v/>
      </c>
      <c r="F36" s="28">
        <f>IF('Adj AIXTRON'!F9=0,0,'Adj AIXTRON'!F54/'Adj AIXTRON'!F9)</f>
        <v/>
      </c>
      <c r="G36" s="28">
        <f>IF('Adj AIXTRON'!G9=0,0,'Adj AIXTRON'!G54/'Adj AIXTRON'!G9)</f>
        <v/>
      </c>
    </row>
    <row r="37">
      <c r="A37" s="11" t="inlineStr">
        <is>
          <t>PP&amp;E / Revenue</t>
        </is>
      </c>
      <c r="B37" s="28">
        <f>IF('Adj AIXTRON'!B9=0,0,'Adj AIXTRON'!B57/'Adj AIXTRON'!B9)</f>
        <v/>
      </c>
      <c r="C37" s="28">
        <f>IF('Adj AIXTRON'!C9=0,0,'Adj AIXTRON'!C57/'Adj AIXTRON'!C9)</f>
        <v/>
      </c>
      <c r="D37" s="28">
        <f>IF('Adj AIXTRON'!D9=0,0,'Adj AIXTRON'!D57/'Adj AIXTRON'!D9)</f>
        <v/>
      </c>
      <c r="E37" s="28">
        <f>IF('Adj AIXTRON'!E9=0,0,'Adj AIXTRON'!E57/'Adj AIXTRON'!E9)</f>
        <v/>
      </c>
      <c r="F37" s="28">
        <f>IF('Adj AIXTRON'!F9=0,0,'Adj AIXTRON'!F57/'Adj AIXTRON'!F9)</f>
        <v/>
      </c>
      <c r="G37" s="28">
        <f>IF('Adj AIXTRON'!G9=0,0,'Adj AIXTRON'!G57/'Adj AIXTRON'!G9)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AIXTRON'!B78=0,0,'Adj AIXTRON'!B79/'Adj AIXTRON'!B78)</f>
        <v/>
      </c>
      <c r="C40" s="41">
        <f>IF('Adj AIXTRON'!C78=0,0,'Adj AIXTRON'!C79/'Adj AIXTRON'!C78)</f>
        <v/>
      </c>
      <c r="D40" s="41">
        <f>IF('Adj AIXTRON'!D78=0,0,'Adj AIXTRON'!D79/'Adj AIXTRON'!D78)</f>
        <v/>
      </c>
      <c r="E40" s="41">
        <f>IF('Adj AIXTRON'!E78=0,0,'Adj AIXTRON'!E79/'Adj AIXTRON'!E78)</f>
        <v/>
      </c>
      <c r="F40" s="41">
        <f>IF('Adj AIXTRON'!F78=0,0,'Adj AIXTRON'!F79/'Adj AIXTRON'!F78)</f>
        <v/>
      </c>
      <c r="G40" s="41">
        <f>IF('Adj AIXTRON'!G78=0,0,'Adj AIXTRON'!G79/'Adj AIXTRON'!G78)</f>
        <v/>
      </c>
    </row>
    <row r="41">
      <c r="A41" s="11" t="inlineStr">
        <is>
          <t>Debt-to-Equity</t>
        </is>
      </c>
      <c r="B41" s="41">
        <f>IF('Adj AIXTRON'!B81=0,0,'Adj AIXTRON'!B78/'Adj AIXTRON'!B81)</f>
        <v/>
      </c>
      <c r="C41" s="41">
        <f>IF('Adj AIXTRON'!C81=0,0,'Adj AIXTRON'!C78/'Adj AIXTRON'!C81)</f>
        <v/>
      </c>
      <c r="D41" s="41">
        <f>IF('Adj AIXTRON'!D81=0,0,'Adj AIXTRON'!D78/'Adj AIXTRON'!D81)</f>
        <v/>
      </c>
      <c r="E41" s="41">
        <f>IF('Adj AIXTRON'!E81=0,0,'Adj AIXTRON'!E78/'Adj AIXTRON'!E81)</f>
        <v/>
      </c>
      <c r="F41" s="41">
        <f>IF('Adj AIXTRON'!F81=0,0,'Adj AIXTRON'!F78/'Adj AIXTRON'!F81)</f>
        <v/>
      </c>
      <c r="G41" s="41">
        <f>IF('Adj AIXTRON'!G81=0,0,'Adj AIXTRON'!G78/'Adj AIXTRON'!G81)</f>
        <v/>
      </c>
    </row>
    <row r="42">
      <c r="A42" s="11" t="inlineStr">
        <is>
          <t>Interest Coverage</t>
        </is>
      </c>
      <c r="B42" s="41">
        <f>IF(ABS('Adj AIXTRON'!B29)=0,0,'Adj AIXTRON'!B25/ABS('Adj AIXTRON'!B29))</f>
        <v/>
      </c>
      <c r="C42" s="41">
        <f>IF(ABS('Adj AIXTRON'!C29)=0,0,'Adj AIXTRON'!C25/ABS('Adj AIXTRON'!C29))</f>
        <v/>
      </c>
      <c r="D42" s="41">
        <f>IF(ABS('Adj AIXTRON'!D29)=0,0,'Adj AIXTRON'!D25/ABS('Adj AIXTRON'!D29))</f>
        <v/>
      </c>
      <c r="E42" s="41">
        <f>IF(ABS('Adj AIXTRON'!E29)=0,0,'Adj AIXTRON'!E25/ABS('Adj AIXTRON'!E29))</f>
        <v/>
      </c>
      <c r="F42" s="41">
        <f>IF(ABS('Adj AIXTRON'!F29)=0,0,'Adj AIXTRON'!F25/ABS('Adj AIXTRON'!F29))</f>
        <v/>
      </c>
      <c r="G42" s="41">
        <f>IF(ABS('Adj AIXTRON'!G29)=0,0,'Adj AIXTRON'!G25/ABS('Adj AIXTRON'!G29))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AIXTRON'!B9=0,0,'Adj AIXTRON'!C9/'Adj AIXTRON'!B9-1)</f>
        <v/>
      </c>
      <c r="D45" s="28">
        <f>IF('Adj AIXTRON'!C9=0,0,'Adj AIXTRON'!D9/'Adj AIXTRON'!C9-1)</f>
        <v/>
      </c>
      <c r="E45" s="28">
        <f>IF('Adj AIXTRON'!D9=0,0,'Adj AIXTRON'!E9/'Adj AIXTRON'!D9-1)</f>
        <v/>
      </c>
      <c r="F45" s="28">
        <f>IF('Adj AIXTRON'!E9=0,0,'Adj AIXTRON'!F9/'Adj AIXTRON'!E9-1)</f>
        <v/>
      </c>
      <c r="G45" s="28">
        <f>IF('Adj AIXTRON'!F9=0,0,'Adj AIXTRON'!G9/'Adj AIXTRON'!F9-1)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AIXTRON'!C33=0,0,(1-'Adj AIXTRON'!C40*'Adj AIXTRON'!C38/1000/'Adj AIXTRON'!C33)*C6)</f>
        <v/>
      </c>
      <c r="D46" s="28">
        <f>IF('Adj AIXTRON'!D33=0,0,(1-'Adj AIXTRON'!D40*'Adj AIXTRON'!D38/1000/'Adj AIXTRON'!D33)*D6)</f>
        <v/>
      </c>
      <c r="E46" s="28">
        <f>IF('Adj AIXTRON'!E33=0,0,(1-'Adj AIXTRON'!E40*'Adj AIXTRON'!E38/1000/'Adj AIXTRON'!E33)*E6)</f>
        <v/>
      </c>
      <c r="F46" s="28">
        <f>IF('Adj AIXTRON'!F33=0,0,(1-'Adj AIXTRON'!F40*'Adj AIXTRON'!F38/1000/'Adj AIXTRON'!F33)*F6)</f>
        <v/>
      </c>
      <c r="G46" s="28">
        <f>IF('Adj AIXTRON'!G33=0,0,(1-'Adj AIXTRON'!G40*'Adj AIXTRON'!G38/1000/'Adj AIXTRON'!G33)*G6)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AMAT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AMAT'!B81,'Adj AMAT'!C81)=0,0,'Adj AMAT'!C33/AVERAGE('Adj AMAT'!B81,'Adj AMAT'!C81))</f>
        <v/>
      </c>
      <c r="D6" s="28">
        <f>IF(AVERAGE('Adj AMAT'!C81,'Adj AMAT'!D81)=0,0,'Adj AMAT'!D33/AVERAGE('Adj AMAT'!C81,'Adj AMAT'!D81))</f>
        <v/>
      </c>
      <c r="E6" s="28">
        <f>IF(AVERAGE('Adj AMAT'!D81,'Adj AMAT'!E81)=0,0,'Adj AMAT'!E33/AVERAGE('Adj AMAT'!D81,'Adj AMAT'!E81))</f>
        <v/>
      </c>
      <c r="F6" s="28">
        <f>IF(AVERAGE('Adj AMAT'!E81,'Adj AMAT'!F81)=0,0,'Adj AMAT'!F33/AVERAGE('Adj AMAT'!E81,'Adj AMAT'!F81))</f>
        <v/>
      </c>
      <c r="G6" s="28">
        <f>IF(AVERAGE('Adj AMAT'!F81,'Adj AMAT'!G81)=0,0,'Adj AMAT'!G33/AVERAGE('Adj AMAT'!F81,'Adj AMAT'!G81))</f>
        <v/>
      </c>
    </row>
    <row r="7">
      <c r="A7" s="11" t="inlineStr">
        <is>
          <t xml:space="preserve">    Net Profit Margin (ROS)</t>
        </is>
      </c>
      <c r="B7" s="28">
        <f>IF('Adj AMAT'!B9=0,0,'Adj AMAT'!B33/'Adj AMAT'!B9)</f>
        <v/>
      </c>
      <c r="C7" s="28">
        <f>IF('Adj AMAT'!C9=0,0,'Adj AMAT'!C33/'Adj AMAT'!C9)</f>
        <v/>
      </c>
      <c r="D7" s="28">
        <f>IF('Adj AMAT'!D9=0,0,'Adj AMAT'!D33/'Adj AMAT'!D9)</f>
        <v/>
      </c>
      <c r="E7" s="28">
        <f>IF('Adj AMAT'!E9=0,0,'Adj AMAT'!E33/'Adj AMAT'!E9)</f>
        <v/>
      </c>
      <c r="F7" s="28">
        <f>IF('Adj AMAT'!F9=0,0,'Adj AMAT'!F33/'Adj AMAT'!F9)</f>
        <v/>
      </c>
      <c r="G7" s="28">
        <f>IF('Adj AMAT'!G9=0,0,'Adj AMAT'!G33/'Adj AMAT'!G9)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AMAT'!B73,'Adj AMAT'!C73)=0,0,'Adj AMAT'!C9/AVERAGE('Adj AMAT'!B73,'Adj AMAT'!C73))</f>
        <v/>
      </c>
      <c r="D8" s="41">
        <f>IF(AVERAGE('Adj AMAT'!C73,'Adj AMAT'!D73)=0,0,'Adj AMAT'!D9/AVERAGE('Adj AMAT'!C73,'Adj AMAT'!D73))</f>
        <v/>
      </c>
      <c r="E8" s="41">
        <f>IF(AVERAGE('Adj AMAT'!D73,'Adj AMAT'!E73)=0,0,'Adj AMAT'!E9/AVERAGE('Adj AMAT'!D73,'Adj AMAT'!E73))</f>
        <v/>
      </c>
      <c r="F8" s="41">
        <f>IF(AVERAGE('Adj AMAT'!E73,'Adj AMAT'!F73)=0,0,'Adj AMAT'!F9/AVERAGE('Adj AMAT'!E73,'Adj AMAT'!F73))</f>
        <v/>
      </c>
      <c r="G8" s="41">
        <f>IF(AVERAGE('Adj AMAT'!F73,'Adj AMAT'!G73)=0,0,'Adj AMAT'!G9/AVERAGE('Adj AMAT'!F73,'Adj AMAT'!G73))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AMAT'!B81,'Adj AMAT'!C81)=0,0,AVERAGE('Adj AMAT'!B73,'Adj AMAT'!C73)/AVERAGE('Adj AMAT'!B81,'Adj AMAT'!C81))</f>
        <v/>
      </c>
      <c r="D10" s="41">
        <f>IF(AVERAGE('Adj AMAT'!C81,'Adj AMAT'!D81)=0,0,AVERAGE('Adj AMAT'!C73,'Adj AMAT'!D73)/AVERAGE('Adj AMAT'!C81,'Adj AMAT'!D81))</f>
        <v/>
      </c>
      <c r="E10" s="41">
        <f>IF(AVERAGE('Adj AMAT'!D81,'Adj AMAT'!E81)=0,0,AVERAGE('Adj AMAT'!D73,'Adj AMAT'!E73)/AVERAGE('Adj AMAT'!D81,'Adj AMAT'!E81))</f>
        <v/>
      </c>
      <c r="F10" s="41">
        <f>IF(AVERAGE('Adj AMAT'!E81,'Adj AMAT'!F81)=0,0,AVERAGE('Adj AMAT'!E73,'Adj AMAT'!F73)/AVERAGE('Adj AMAT'!E81,'Adj AMAT'!F81))</f>
        <v/>
      </c>
      <c r="G10" s="41">
        <f>IF(AVERAGE('Adj AMAT'!F81,'Adj AMAT'!G81)=0,0,AVERAGE('Adj AMAT'!F73,'Adj AMAT'!G73)/AVERAGE('Adj AMAT'!F81,'Adj AMAT'!G81))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AMAT'!B67,'Adj AMAT'!C67)=0,0,'Adj AMAT'!C36/AVERAGE('Adj AMAT'!B67,'Adj AMAT'!C67))</f>
        <v/>
      </c>
      <c r="D13" s="28">
        <f>IF(AVERAGE('Adj AMAT'!C67,'Adj AMAT'!D67)=0,0,'Adj AMAT'!D36/AVERAGE('Adj AMAT'!C67,'Adj AMAT'!D67))</f>
        <v/>
      </c>
      <c r="E13" s="28">
        <f>IF(AVERAGE('Adj AMAT'!D67,'Adj AMAT'!E67)=0,0,'Adj AMAT'!E36/AVERAGE('Adj AMAT'!D67,'Adj AMAT'!E67))</f>
        <v/>
      </c>
      <c r="F13" s="28">
        <f>IF(AVERAGE('Adj AMAT'!E67,'Adj AMAT'!F67)=0,0,'Adj AMAT'!F36/AVERAGE('Adj AMAT'!E67,'Adj AMAT'!F67))</f>
        <v/>
      </c>
      <c r="G13" s="28">
        <f>IF(AVERAGE('Adj AMAT'!F67,'Adj AMAT'!G67)=0,0,'Adj AMAT'!G36/AVERAGE('Adj AMAT'!F67,'Adj AMAT'!G67))</f>
        <v/>
      </c>
    </row>
    <row r="14">
      <c r="A14" s="11" t="inlineStr">
        <is>
          <t xml:space="preserve">    NOPAT Margin</t>
        </is>
      </c>
      <c r="B14" s="28">
        <f>IF('Adj AMAT'!B9=0,0,'Adj AMAT'!B36/'Adj AMAT'!B9)</f>
        <v/>
      </c>
      <c r="C14" s="28">
        <f>IF('Adj AMAT'!C9=0,0,'Adj AMAT'!C36/'Adj AMAT'!C9)</f>
        <v/>
      </c>
      <c r="D14" s="28">
        <f>IF('Adj AMAT'!D9=0,0,'Adj AMAT'!D36/'Adj AMAT'!D9)</f>
        <v/>
      </c>
      <c r="E14" s="28">
        <f>IF('Adj AMAT'!E9=0,0,'Adj AMAT'!E36/'Adj AMAT'!E9)</f>
        <v/>
      </c>
      <c r="F14" s="28">
        <f>IF('Adj AMAT'!F9=0,0,'Adj AMAT'!F36/'Adj AMAT'!F9)</f>
        <v/>
      </c>
      <c r="G14" s="28">
        <f>IF('Adj AMAT'!G9=0,0,'Adj AMAT'!G36/'Adj AMAT'!G9)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AMAT'!B67,'Adj AMAT'!C67)=0,0,'Adj AMAT'!C9/AVERAGE('Adj AMAT'!B67,'Adj AMAT'!C67))</f>
        <v/>
      </c>
      <c r="D15" s="41">
        <f>IF(AVERAGE('Adj AMAT'!C67,'Adj AMAT'!D67)=0,0,'Adj AMAT'!D9/AVERAGE('Adj AMAT'!C67,'Adj AMAT'!D67))</f>
        <v/>
      </c>
      <c r="E15" s="41">
        <f>IF(AVERAGE('Adj AMAT'!D67,'Adj AMAT'!E67)=0,0,'Adj AMAT'!E9/AVERAGE('Adj AMAT'!D67,'Adj AMAT'!E67))</f>
        <v/>
      </c>
      <c r="F15" s="41">
        <f>IF(AVERAGE('Adj AMAT'!E67,'Adj AMAT'!F67)=0,0,'Adj AMAT'!F9/AVERAGE('Adj AMAT'!E67,'Adj AMAT'!F67))</f>
        <v/>
      </c>
      <c r="G15" s="41">
        <f>IF(AVERAGE('Adj AMAT'!F67,'Adj AMAT'!G67)=0,0,'Adj AMAT'!G9/AVERAGE('Adj AMAT'!F67,'Adj AMAT'!G67))</f>
        <v/>
      </c>
    </row>
    <row r="17">
      <c r="A17" s="11" t="inlineStr">
        <is>
          <t>Gross Profit Margin</t>
        </is>
      </c>
      <c r="B17" s="28">
        <f>IF('Adj AMAT'!B9=0,0,'Adj AMAT'!B11/'Adj AMAT'!B9)</f>
        <v/>
      </c>
      <c r="C17" s="28">
        <f>IF('Adj AMAT'!C9=0,0,'Adj AMAT'!C11/'Adj AMAT'!C9)</f>
        <v/>
      </c>
      <c r="D17" s="28">
        <f>IF('Adj AMAT'!D9=0,0,'Adj AMAT'!D11/'Adj AMAT'!D9)</f>
        <v/>
      </c>
      <c r="E17" s="28">
        <f>IF('Adj AMAT'!E9=0,0,'Adj AMAT'!E11/'Adj AMAT'!E9)</f>
        <v/>
      </c>
      <c r="F17" s="28">
        <f>IF('Adj AMAT'!F9=0,0,'Adj AMAT'!F11/'Adj AMAT'!F9)</f>
        <v/>
      </c>
      <c r="G17" s="28">
        <f>IF('Adj AMAT'!G9=0,0,'Adj AMAT'!G11/'Adj AMAT'!G9)</f>
        <v/>
      </c>
    </row>
    <row r="18">
      <c r="A18" s="11" t="inlineStr">
        <is>
          <t>EBIT Margin</t>
        </is>
      </c>
      <c r="B18" s="28">
        <f>IF('Adj AMAT'!B9=0,0,'Adj AMAT'!B25/'Adj AMAT'!B9)</f>
        <v/>
      </c>
      <c r="C18" s="28">
        <f>IF('Adj AMAT'!C9=0,0,'Adj AMAT'!C25/'Adj AMAT'!C9)</f>
        <v/>
      </c>
      <c r="D18" s="28">
        <f>IF('Adj AMAT'!D9=0,0,'Adj AMAT'!D25/'Adj AMAT'!D9)</f>
        <v/>
      </c>
      <c r="E18" s="28">
        <f>IF('Adj AMAT'!E9=0,0,'Adj AMAT'!E25/'Adj AMAT'!E9)</f>
        <v/>
      </c>
      <c r="F18" s="28">
        <f>IF('Adj AMAT'!F9=0,0,'Adj AMAT'!F25/'Adj AMAT'!F9)</f>
        <v/>
      </c>
      <c r="G18" s="28">
        <f>IF('Adj AMAT'!G9=0,0,'Adj AMAT'!G25/'Adj AMAT'!G9)</f>
        <v/>
      </c>
    </row>
    <row r="19">
      <c r="A19" s="11" t="inlineStr">
        <is>
          <t>NOPAT Margin</t>
        </is>
      </c>
      <c r="B19" s="28">
        <f>IF('Adj AMAT'!B9=0,0,'Adj AMAT'!B36/'Adj AMAT'!B9)</f>
        <v/>
      </c>
      <c r="C19" s="28">
        <f>IF('Adj AMAT'!C9=0,0,'Adj AMAT'!C36/'Adj AMAT'!C9)</f>
        <v/>
      </c>
      <c r="D19" s="28">
        <f>IF('Adj AMAT'!D9=0,0,'Adj AMAT'!D36/'Adj AMAT'!D9)</f>
        <v/>
      </c>
      <c r="E19" s="28">
        <f>IF('Adj AMAT'!E9=0,0,'Adj AMAT'!E36/'Adj AMAT'!E9)</f>
        <v/>
      </c>
      <c r="F19" s="28">
        <f>IF('Adj AMAT'!F9=0,0,'Adj AMAT'!F36/'Adj AMAT'!F9)</f>
        <v/>
      </c>
      <c r="G19" s="28">
        <f>IF('Adj AMAT'!G9=0,0,'Adj AMAT'!G36/'Adj AMAT'!G9)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AMAT'!B9=0,0,'Adj AMAT'!B10/'Adj AMAT'!B9)</f>
        <v/>
      </c>
      <c r="C23" s="28">
        <f>IF('Adj AMAT'!C9=0,0,'Adj AMAT'!C10/'Adj AMAT'!C9)</f>
        <v/>
      </c>
      <c r="D23" s="28">
        <f>IF('Adj AMAT'!D9=0,0,'Adj AMAT'!D10/'Adj AMAT'!D9)</f>
        <v/>
      </c>
      <c r="E23" s="28">
        <f>IF('Adj AMAT'!E9=0,0,'Adj AMAT'!E10/'Adj AMAT'!E9)</f>
        <v/>
      </c>
      <c r="F23" s="28">
        <f>IF('Adj AMAT'!F9=0,0,'Adj AMAT'!F10/'Adj AMAT'!F9)</f>
        <v/>
      </c>
      <c r="G23" s="28">
        <f>IF('Adj AMAT'!G9=0,0,'Adj AMAT'!G10/'Adj AMAT'!G9)</f>
        <v/>
      </c>
    </row>
    <row r="24">
      <c r="A24" s="11" t="inlineStr">
        <is>
          <t>SG&amp;A / Revenue</t>
        </is>
      </c>
      <c r="B24" s="28">
        <f>IF('Adj AMAT'!B9=0,0,'Adj AMAT'!B12/'Adj AMAT'!B9)</f>
        <v/>
      </c>
      <c r="C24" s="28">
        <f>IF('Adj AMAT'!C9=0,0,'Adj AMAT'!C12/'Adj AMAT'!C9)</f>
        <v/>
      </c>
      <c r="D24" s="28">
        <f>IF('Adj AMAT'!D9=0,0,'Adj AMAT'!D12/'Adj AMAT'!D9)</f>
        <v/>
      </c>
      <c r="E24" s="28">
        <f>IF('Adj AMAT'!E9=0,0,'Adj AMAT'!E12/'Adj AMAT'!E9)</f>
        <v/>
      </c>
      <c r="F24" s="28">
        <f>IF('Adj AMAT'!F9=0,0,'Adj AMAT'!F12/'Adj AMAT'!F9)</f>
        <v/>
      </c>
      <c r="G24" s="28">
        <f>IF('Adj AMAT'!G9=0,0,'Adj AMAT'!G12/'Adj AMAT'!G9)</f>
        <v/>
      </c>
    </row>
    <row r="25">
      <c r="A25" s="11" t="inlineStr">
        <is>
          <t>R&amp;D / Revenue</t>
        </is>
      </c>
      <c r="B25" s="28">
        <f>IF('Adj AMAT'!B9=0,0,'Adj AMAT'!B13/'Adj AMAT'!B9)</f>
        <v/>
      </c>
      <c r="C25" s="28">
        <f>IF('Adj AMAT'!C9=0,0,'Adj AMAT'!C13/'Adj AMAT'!C9)</f>
        <v/>
      </c>
      <c r="D25" s="28">
        <f>IF('Adj AMAT'!D9=0,0,'Adj AMAT'!D13/'Adj AMAT'!D9)</f>
        <v/>
      </c>
      <c r="E25" s="28">
        <f>IF('Adj AMAT'!E9=0,0,'Adj AMAT'!E13/'Adj AMAT'!E9)</f>
        <v/>
      </c>
      <c r="F25" s="28">
        <f>IF('Adj AMAT'!F9=0,0,'Adj AMAT'!F13/'Adj AMAT'!F9)</f>
        <v/>
      </c>
      <c r="G25" s="28">
        <f>IF('Adj AMAT'!G9=0,0,'Adj AMAT'!G13/'Adj AMAT'!G9)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AMAT'!B45,'Adj AMAT'!C45)=0,0,'Adj AMAT'!C9/AVERAGE('Adj AMAT'!B45,'Adj AMAT'!C45))</f>
        <v/>
      </c>
      <c r="D28" s="41">
        <f>IF(AVERAGE('Adj AMAT'!C45,'Adj AMAT'!D45)=0,0,'Adj AMAT'!D9/AVERAGE('Adj AMAT'!C45,'Adj AMAT'!D45))</f>
        <v/>
      </c>
      <c r="E28" s="41">
        <f>IF(AVERAGE('Adj AMAT'!D45,'Adj AMAT'!E45)=0,0,'Adj AMAT'!E9/AVERAGE('Adj AMAT'!D45,'Adj AMAT'!E45))</f>
        <v/>
      </c>
      <c r="F28" s="41">
        <f>IF(AVERAGE('Adj AMAT'!E45,'Adj AMAT'!F45)=0,0,'Adj AMAT'!F9/AVERAGE('Adj AMAT'!E45,'Adj AMAT'!F45))</f>
        <v/>
      </c>
      <c r="G28" s="41">
        <f>IF(AVERAGE('Adj AMAT'!F45,'Adj AMAT'!G45)=0,0,'Adj AMAT'!G9/AVERAGE('Adj AMAT'!F45,'Adj AMAT'!G45))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AMAT'!B47,'Adj AMAT'!C47)=0,0,'Adj AMAT'!C10/AVERAGE('Adj AMAT'!B47,'Adj AMAT'!C47))</f>
        <v/>
      </c>
      <c r="D30" s="41">
        <f>IF(AVERAGE('Adj AMAT'!C47,'Adj AMAT'!D47)=0,0,'Adj AMAT'!D10/AVERAGE('Adj AMAT'!C47,'Adj AMAT'!D47))</f>
        <v/>
      </c>
      <c r="E30" s="41">
        <f>IF(AVERAGE('Adj AMAT'!D47,'Adj AMAT'!E47)=0,0,'Adj AMAT'!E10/AVERAGE('Adj AMAT'!D47,'Adj AMAT'!E47))</f>
        <v/>
      </c>
      <c r="F30" s="41">
        <f>IF(AVERAGE('Adj AMAT'!E47,'Adj AMAT'!F47)=0,0,'Adj AMAT'!F10/AVERAGE('Adj AMAT'!E47,'Adj AMAT'!F47))</f>
        <v/>
      </c>
      <c r="G30" s="41">
        <f>IF(AVERAGE('Adj AMAT'!F47,'Adj AMAT'!G47)=0,0,'Adj AMAT'!G10/AVERAGE('Adj AMAT'!F47,'Adj AMAT'!G47))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AMAT'!B49,'Adj AMAT'!C49)=0,0,'Adj AMAT'!C10/AVERAGE('Adj AMAT'!B49,'Adj AMAT'!C49))</f>
        <v/>
      </c>
      <c r="D32" s="41">
        <f>IF(AVERAGE('Adj AMAT'!C49,'Adj AMAT'!D49)=0,0,'Adj AMAT'!D10/AVERAGE('Adj AMAT'!C49,'Adj AMAT'!D49))</f>
        <v/>
      </c>
      <c r="E32" s="41">
        <f>IF(AVERAGE('Adj AMAT'!D49,'Adj AMAT'!E49)=0,0,'Adj AMAT'!E10/AVERAGE('Adj AMAT'!D49,'Adj AMAT'!E49))</f>
        <v/>
      </c>
      <c r="F32" s="41">
        <f>IF(AVERAGE('Adj AMAT'!E49,'Adj AMAT'!F49)=0,0,'Adj AMAT'!F10/AVERAGE('Adj AMAT'!E49,'Adj AMAT'!F49))</f>
        <v/>
      </c>
      <c r="G32" s="41">
        <f>IF(AVERAGE('Adj AMAT'!F49,'Adj AMAT'!G49)=0,0,'Adj AMAT'!G10/AVERAGE('Adj AMAT'!F49,'Adj AMAT'!G49))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AMAT'!B9=0,0,'Adj AMAT'!B54/'Adj AMAT'!B9)</f>
        <v/>
      </c>
      <c r="C36" s="28">
        <f>IF('Adj AMAT'!C9=0,0,'Adj AMAT'!C54/'Adj AMAT'!C9)</f>
        <v/>
      </c>
      <c r="D36" s="28">
        <f>IF('Adj AMAT'!D9=0,0,'Adj AMAT'!D54/'Adj AMAT'!D9)</f>
        <v/>
      </c>
      <c r="E36" s="28">
        <f>IF('Adj AMAT'!E9=0,0,'Adj AMAT'!E54/'Adj AMAT'!E9)</f>
        <v/>
      </c>
      <c r="F36" s="28">
        <f>IF('Adj AMAT'!F9=0,0,'Adj AMAT'!F54/'Adj AMAT'!F9)</f>
        <v/>
      </c>
      <c r="G36" s="28">
        <f>IF('Adj AMAT'!G9=0,0,'Adj AMAT'!G54/'Adj AMAT'!G9)</f>
        <v/>
      </c>
    </row>
    <row r="37">
      <c r="A37" s="11" t="inlineStr">
        <is>
          <t>PP&amp;E / Revenue</t>
        </is>
      </c>
      <c r="B37" s="28">
        <f>IF('Adj AMAT'!B9=0,0,'Adj AMAT'!B57/'Adj AMAT'!B9)</f>
        <v/>
      </c>
      <c r="C37" s="28">
        <f>IF('Adj AMAT'!C9=0,0,'Adj AMAT'!C57/'Adj AMAT'!C9)</f>
        <v/>
      </c>
      <c r="D37" s="28">
        <f>IF('Adj AMAT'!D9=0,0,'Adj AMAT'!D57/'Adj AMAT'!D9)</f>
        <v/>
      </c>
      <c r="E37" s="28">
        <f>IF('Adj AMAT'!E9=0,0,'Adj AMAT'!E57/'Adj AMAT'!E9)</f>
        <v/>
      </c>
      <c r="F37" s="28">
        <f>IF('Adj AMAT'!F9=0,0,'Adj AMAT'!F57/'Adj AMAT'!F9)</f>
        <v/>
      </c>
      <c r="G37" s="28">
        <f>IF('Adj AMAT'!G9=0,0,'Adj AMAT'!G57/'Adj AMAT'!G9)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AMAT'!B78=0,0,'Adj AMAT'!B79/'Adj AMAT'!B78)</f>
        <v/>
      </c>
      <c r="C40" s="41">
        <f>IF('Adj AMAT'!C78=0,0,'Adj AMAT'!C79/'Adj AMAT'!C78)</f>
        <v/>
      </c>
      <c r="D40" s="41">
        <f>IF('Adj AMAT'!D78=0,0,'Adj AMAT'!D79/'Adj AMAT'!D78)</f>
        <v/>
      </c>
      <c r="E40" s="41">
        <f>IF('Adj AMAT'!E78=0,0,'Adj AMAT'!E79/'Adj AMAT'!E78)</f>
        <v/>
      </c>
      <c r="F40" s="41">
        <f>IF('Adj AMAT'!F78=0,0,'Adj AMAT'!F79/'Adj AMAT'!F78)</f>
        <v/>
      </c>
      <c r="G40" s="41">
        <f>IF('Adj AMAT'!G78=0,0,'Adj AMAT'!G79/'Adj AMAT'!G78)</f>
        <v/>
      </c>
    </row>
    <row r="41">
      <c r="A41" s="11" t="inlineStr">
        <is>
          <t>Debt-to-Equity</t>
        </is>
      </c>
      <c r="B41" s="41">
        <f>IF('Adj AMAT'!B81=0,0,'Adj AMAT'!B78/'Adj AMAT'!B81)</f>
        <v/>
      </c>
      <c r="C41" s="41">
        <f>IF('Adj AMAT'!C81=0,0,'Adj AMAT'!C78/'Adj AMAT'!C81)</f>
        <v/>
      </c>
      <c r="D41" s="41">
        <f>IF('Adj AMAT'!D81=0,0,'Adj AMAT'!D78/'Adj AMAT'!D81)</f>
        <v/>
      </c>
      <c r="E41" s="41">
        <f>IF('Adj AMAT'!E81=0,0,'Adj AMAT'!E78/'Adj AMAT'!E81)</f>
        <v/>
      </c>
      <c r="F41" s="41">
        <f>IF('Adj AMAT'!F81=0,0,'Adj AMAT'!F78/'Adj AMAT'!F81)</f>
        <v/>
      </c>
      <c r="G41" s="41">
        <f>IF('Adj AMAT'!G81=0,0,'Adj AMAT'!G78/'Adj AMAT'!G81)</f>
        <v/>
      </c>
    </row>
    <row r="42">
      <c r="A42" s="11" t="inlineStr">
        <is>
          <t>Interest Coverage</t>
        </is>
      </c>
      <c r="B42" s="41">
        <f>IF(ABS('Adj AMAT'!B29)=0,0,'Adj AMAT'!B25/ABS('Adj AMAT'!B29))</f>
        <v/>
      </c>
      <c r="C42" s="41">
        <f>IF(ABS('Adj AMAT'!C29)=0,0,'Adj AMAT'!C25/ABS('Adj AMAT'!C29))</f>
        <v/>
      </c>
      <c r="D42" s="41">
        <f>IF(ABS('Adj AMAT'!D29)=0,0,'Adj AMAT'!D25/ABS('Adj AMAT'!D29))</f>
        <v/>
      </c>
      <c r="E42" s="41">
        <f>IF(ABS('Adj AMAT'!E29)=0,0,'Adj AMAT'!E25/ABS('Adj AMAT'!E29))</f>
        <v/>
      </c>
      <c r="F42" s="41">
        <f>IF(ABS('Adj AMAT'!F29)=0,0,'Adj AMAT'!F25/ABS('Adj AMAT'!F29))</f>
        <v/>
      </c>
      <c r="G42" s="41">
        <f>IF(ABS('Adj AMAT'!G29)=0,0,'Adj AMAT'!G25/ABS('Adj AMAT'!G29))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AMAT'!B9=0,0,'Adj AMAT'!C9/'Adj AMAT'!B9-1)</f>
        <v/>
      </c>
      <c r="D45" s="28">
        <f>IF('Adj AMAT'!C9=0,0,'Adj AMAT'!D9/'Adj AMAT'!C9-1)</f>
        <v/>
      </c>
      <c r="E45" s="28">
        <f>IF('Adj AMAT'!D9=0,0,'Adj AMAT'!E9/'Adj AMAT'!D9-1)</f>
        <v/>
      </c>
      <c r="F45" s="28">
        <f>IF('Adj AMAT'!E9=0,0,'Adj AMAT'!F9/'Adj AMAT'!E9-1)</f>
        <v/>
      </c>
      <c r="G45" s="28">
        <f>IF('Adj AMAT'!F9=0,0,'Adj AMAT'!G9/'Adj AMAT'!F9-1)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AMAT'!C33=0,0,(1-'Adj AMAT'!C40*'Adj AMAT'!C38/1000/'Adj AMAT'!C33)*C6)</f>
        <v/>
      </c>
      <c r="D46" s="28">
        <f>IF('Adj AMAT'!D33=0,0,(1-'Adj AMAT'!D40*'Adj AMAT'!D38/1000/'Adj AMAT'!D33)*D6)</f>
        <v/>
      </c>
      <c r="E46" s="28">
        <f>IF('Adj AMAT'!E33=0,0,(1-'Adj AMAT'!E40*'Adj AMAT'!E38/1000/'Adj AMAT'!E33)*E6)</f>
        <v/>
      </c>
      <c r="F46" s="28">
        <f>IF('Adj AMAT'!F33=0,0,(1-'Adj AMAT'!F40*'Adj AMAT'!F38/1000/'Adj AMAT'!F33)*F6)</f>
        <v/>
      </c>
      <c r="G46" s="28">
        <f>IF('Adj AMAT'!G33=0,0,(1-'Adj AMAT'!G40*'Adj AMAT'!G38/1000/'Adj AMAT'!G33)*G6)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LRCX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LRCX'!B81,'Adj LRCX'!C81)=0,0,'Adj LRCX'!C33/AVERAGE('Adj LRCX'!B81,'Adj LRCX'!C81))</f>
        <v/>
      </c>
      <c r="D6" s="28">
        <f>IF(AVERAGE('Adj LRCX'!C81,'Adj LRCX'!D81)=0,0,'Adj LRCX'!D33/AVERAGE('Adj LRCX'!C81,'Adj LRCX'!D81))</f>
        <v/>
      </c>
      <c r="E6" s="28">
        <f>IF(AVERAGE('Adj LRCX'!D81,'Adj LRCX'!E81)=0,0,'Adj LRCX'!E33/AVERAGE('Adj LRCX'!D81,'Adj LRCX'!E81))</f>
        <v/>
      </c>
      <c r="F6" s="28">
        <f>IF(AVERAGE('Adj LRCX'!E81,'Adj LRCX'!F81)=0,0,'Adj LRCX'!F33/AVERAGE('Adj LRCX'!E81,'Adj LRCX'!F81))</f>
        <v/>
      </c>
      <c r="G6" s="28">
        <f>IF(AVERAGE('Adj LRCX'!F81,'Adj LRCX'!G81)=0,0,'Adj LRCX'!G33/AVERAGE('Adj LRCX'!F81,'Adj LRCX'!G81))</f>
        <v/>
      </c>
    </row>
    <row r="7">
      <c r="A7" s="11" t="inlineStr">
        <is>
          <t xml:space="preserve">    Net Profit Margin (ROS)</t>
        </is>
      </c>
      <c r="B7" s="28">
        <f>IF('Adj LRCX'!B9=0,0,'Adj LRCX'!B33/'Adj LRCX'!B9)</f>
        <v/>
      </c>
      <c r="C7" s="28">
        <f>IF('Adj LRCX'!C9=0,0,'Adj LRCX'!C33/'Adj LRCX'!C9)</f>
        <v/>
      </c>
      <c r="D7" s="28">
        <f>IF('Adj LRCX'!D9=0,0,'Adj LRCX'!D33/'Adj LRCX'!D9)</f>
        <v/>
      </c>
      <c r="E7" s="28">
        <f>IF('Adj LRCX'!E9=0,0,'Adj LRCX'!E33/'Adj LRCX'!E9)</f>
        <v/>
      </c>
      <c r="F7" s="28">
        <f>IF('Adj LRCX'!F9=0,0,'Adj LRCX'!F33/'Adj LRCX'!F9)</f>
        <v/>
      </c>
      <c r="G7" s="28">
        <f>IF('Adj LRCX'!G9=0,0,'Adj LRCX'!G33/'Adj LRCX'!G9)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LRCX'!B73,'Adj LRCX'!C73)=0,0,'Adj LRCX'!C9/AVERAGE('Adj LRCX'!B73,'Adj LRCX'!C73))</f>
        <v/>
      </c>
      <c r="D8" s="41">
        <f>IF(AVERAGE('Adj LRCX'!C73,'Adj LRCX'!D73)=0,0,'Adj LRCX'!D9/AVERAGE('Adj LRCX'!C73,'Adj LRCX'!D73))</f>
        <v/>
      </c>
      <c r="E8" s="41">
        <f>IF(AVERAGE('Adj LRCX'!D73,'Adj LRCX'!E73)=0,0,'Adj LRCX'!E9/AVERAGE('Adj LRCX'!D73,'Adj LRCX'!E73))</f>
        <v/>
      </c>
      <c r="F8" s="41">
        <f>IF(AVERAGE('Adj LRCX'!E73,'Adj LRCX'!F73)=0,0,'Adj LRCX'!F9/AVERAGE('Adj LRCX'!E73,'Adj LRCX'!F73))</f>
        <v/>
      </c>
      <c r="G8" s="41">
        <f>IF(AVERAGE('Adj LRCX'!F73,'Adj LRCX'!G73)=0,0,'Adj LRCX'!G9/AVERAGE('Adj LRCX'!F73,'Adj LRCX'!G73))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LRCX'!B81,'Adj LRCX'!C81)=0,0,AVERAGE('Adj LRCX'!B73,'Adj LRCX'!C73)/AVERAGE('Adj LRCX'!B81,'Adj LRCX'!C81))</f>
        <v/>
      </c>
      <c r="D10" s="41">
        <f>IF(AVERAGE('Adj LRCX'!C81,'Adj LRCX'!D81)=0,0,AVERAGE('Adj LRCX'!C73,'Adj LRCX'!D73)/AVERAGE('Adj LRCX'!C81,'Adj LRCX'!D81))</f>
        <v/>
      </c>
      <c r="E10" s="41">
        <f>IF(AVERAGE('Adj LRCX'!D81,'Adj LRCX'!E81)=0,0,AVERAGE('Adj LRCX'!D73,'Adj LRCX'!E73)/AVERAGE('Adj LRCX'!D81,'Adj LRCX'!E81))</f>
        <v/>
      </c>
      <c r="F10" s="41">
        <f>IF(AVERAGE('Adj LRCX'!E81,'Adj LRCX'!F81)=0,0,AVERAGE('Adj LRCX'!E73,'Adj LRCX'!F73)/AVERAGE('Adj LRCX'!E81,'Adj LRCX'!F81))</f>
        <v/>
      </c>
      <c r="G10" s="41">
        <f>IF(AVERAGE('Adj LRCX'!F81,'Adj LRCX'!G81)=0,0,AVERAGE('Adj LRCX'!F73,'Adj LRCX'!G73)/AVERAGE('Adj LRCX'!F81,'Adj LRCX'!G81))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LRCX'!B67,'Adj LRCX'!C67)=0,0,'Adj LRCX'!C36/AVERAGE('Adj LRCX'!B67,'Adj LRCX'!C67))</f>
        <v/>
      </c>
      <c r="D13" s="28">
        <f>IF(AVERAGE('Adj LRCX'!C67,'Adj LRCX'!D67)=0,0,'Adj LRCX'!D36/AVERAGE('Adj LRCX'!C67,'Adj LRCX'!D67))</f>
        <v/>
      </c>
      <c r="E13" s="28">
        <f>IF(AVERAGE('Adj LRCX'!D67,'Adj LRCX'!E67)=0,0,'Adj LRCX'!E36/AVERAGE('Adj LRCX'!D67,'Adj LRCX'!E67))</f>
        <v/>
      </c>
      <c r="F13" s="28">
        <f>IF(AVERAGE('Adj LRCX'!E67,'Adj LRCX'!F67)=0,0,'Adj LRCX'!F36/AVERAGE('Adj LRCX'!E67,'Adj LRCX'!F67))</f>
        <v/>
      </c>
      <c r="G13" s="28">
        <f>IF(AVERAGE('Adj LRCX'!F67,'Adj LRCX'!G67)=0,0,'Adj LRCX'!G36/AVERAGE('Adj LRCX'!F67,'Adj LRCX'!G67))</f>
        <v/>
      </c>
    </row>
    <row r="14">
      <c r="A14" s="11" t="inlineStr">
        <is>
          <t xml:space="preserve">    NOPAT Margin</t>
        </is>
      </c>
      <c r="B14" s="28">
        <f>IF('Adj LRCX'!B9=0,0,'Adj LRCX'!B36/'Adj LRCX'!B9)</f>
        <v/>
      </c>
      <c r="C14" s="28">
        <f>IF('Adj LRCX'!C9=0,0,'Adj LRCX'!C36/'Adj LRCX'!C9)</f>
        <v/>
      </c>
      <c r="D14" s="28">
        <f>IF('Adj LRCX'!D9=0,0,'Adj LRCX'!D36/'Adj LRCX'!D9)</f>
        <v/>
      </c>
      <c r="E14" s="28">
        <f>IF('Adj LRCX'!E9=0,0,'Adj LRCX'!E36/'Adj LRCX'!E9)</f>
        <v/>
      </c>
      <c r="F14" s="28">
        <f>IF('Adj LRCX'!F9=0,0,'Adj LRCX'!F36/'Adj LRCX'!F9)</f>
        <v/>
      </c>
      <c r="G14" s="28">
        <f>IF('Adj LRCX'!G9=0,0,'Adj LRCX'!G36/'Adj LRCX'!G9)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LRCX'!B67,'Adj LRCX'!C67)=0,0,'Adj LRCX'!C9/AVERAGE('Adj LRCX'!B67,'Adj LRCX'!C67))</f>
        <v/>
      </c>
      <c r="D15" s="41">
        <f>IF(AVERAGE('Adj LRCX'!C67,'Adj LRCX'!D67)=0,0,'Adj LRCX'!D9/AVERAGE('Adj LRCX'!C67,'Adj LRCX'!D67))</f>
        <v/>
      </c>
      <c r="E15" s="41">
        <f>IF(AVERAGE('Adj LRCX'!D67,'Adj LRCX'!E67)=0,0,'Adj LRCX'!E9/AVERAGE('Adj LRCX'!D67,'Adj LRCX'!E67))</f>
        <v/>
      </c>
      <c r="F15" s="41">
        <f>IF(AVERAGE('Adj LRCX'!E67,'Adj LRCX'!F67)=0,0,'Adj LRCX'!F9/AVERAGE('Adj LRCX'!E67,'Adj LRCX'!F67))</f>
        <v/>
      </c>
      <c r="G15" s="41">
        <f>IF(AVERAGE('Adj LRCX'!F67,'Adj LRCX'!G67)=0,0,'Adj LRCX'!G9/AVERAGE('Adj LRCX'!F67,'Adj LRCX'!G67))</f>
        <v/>
      </c>
    </row>
    <row r="17">
      <c r="A17" s="11" t="inlineStr">
        <is>
          <t>Gross Profit Margin</t>
        </is>
      </c>
      <c r="B17" s="28">
        <f>IF('Adj LRCX'!B9=0,0,'Adj LRCX'!B11/'Adj LRCX'!B9)</f>
        <v/>
      </c>
      <c r="C17" s="28">
        <f>IF('Adj LRCX'!C9=0,0,'Adj LRCX'!C11/'Adj LRCX'!C9)</f>
        <v/>
      </c>
      <c r="D17" s="28">
        <f>IF('Adj LRCX'!D9=0,0,'Adj LRCX'!D11/'Adj LRCX'!D9)</f>
        <v/>
      </c>
      <c r="E17" s="28">
        <f>IF('Adj LRCX'!E9=0,0,'Adj LRCX'!E11/'Adj LRCX'!E9)</f>
        <v/>
      </c>
      <c r="F17" s="28">
        <f>IF('Adj LRCX'!F9=0,0,'Adj LRCX'!F11/'Adj LRCX'!F9)</f>
        <v/>
      </c>
      <c r="G17" s="28">
        <f>IF('Adj LRCX'!G9=0,0,'Adj LRCX'!G11/'Adj LRCX'!G9)</f>
        <v/>
      </c>
    </row>
    <row r="18">
      <c r="A18" s="11" t="inlineStr">
        <is>
          <t>EBIT Margin</t>
        </is>
      </c>
      <c r="B18" s="28">
        <f>IF('Adj LRCX'!B9=0,0,'Adj LRCX'!B25/'Adj LRCX'!B9)</f>
        <v/>
      </c>
      <c r="C18" s="28">
        <f>IF('Adj LRCX'!C9=0,0,'Adj LRCX'!C25/'Adj LRCX'!C9)</f>
        <v/>
      </c>
      <c r="D18" s="28">
        <f>IF('Adj LRCX'!D9=0,0,'Adj LRCX'!D25/'Adj LRCX'!D9)</f>
        <v/>
      </c>
      <c r="E18" s="28">
        <f>IF('Adj LRCX'!E9=0,0,'Adj LRCX'!E25/'Adj LRCX'!E9)</f>
        <v/>
      </c>
      <c r="F18" s="28">
        <f>IF('Adj LRCX'!F9=0,0,'Adj LRCX'!F25/'Adj LRCX'!F9)</f>
        <v/>
      </c>
      <c r="G18" s="28">
        <f>IF('Adj LRCX'!G9=0,0,'Adj LRCX'!G25/'Adj LRCX'!G9)</f>
        <v/>
      </c>
    </row>
    <row r="19">
      <c r="A19" s="11" t="inlineStr">
        <is>
          <t>NOPAT Margin</t>
        </is>
      </c>
      <c r="B19" s="28">
        <f>IF('Adj LRCX'!B9=0,0,'Adj LRCX'!B36/'Adj LRCX'!B9)</f>
        <v/>
      </c>
      <c r="C19" s="28">
        <f>IF('Adj LRCX'!C9=0,0,'Adj LRCX'!C36/'Adj LRCX'!C9)</f>
        <v/>
      </c>
      <c r="D19" s="28">
        <f>IF('Adj LRCX'!D9=0,0,'Adj LRCX'!D36/'Adj LRCX'!D9)</f>
        <v/>
      </c>
      <c r="E19" s="28">
        <f>IF('Adj LRCX'!E9=0,0,'Adj LRCX'!E36/'Adj LRCX'!E9)</f>
        <v/>
      </c>
      <c r="F19" s="28">
        <f>IF('Adj LRCX'!F9=0,0,'Adj LRCX'!F36/'Adj LRCX'!F9)</f>
        <v/>
      </c>
      <c r="G19" s="28">
        <f>IF('Adj LRCX'!G9=0,0,'Adj LRCX'!G36/'Adj LRCX'!G9)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LRCX'!B9=0,0,'Adj LRCX'!B10/'Adj LRCX'!B9)</f>
        <v/>
      </c>
      <c r="C23" s="28">
        <f>IF('Adj LRCX'!C9=0,0,'Adj LRCX'!C10/'Adj LRCX'!C9)</f>
        <v/>
      </c>
      <c r="D23" s="28">
        <f>IF('Adj LRCX'!D9=0,0,'Adj LRCX'!D10/'Adj LRCX'!D9)</f>
        <v/>
      </c>
      <c r="E23" s="28">
        <f>IF('Adj LRCX'!E9=0,0,'Adj LRCX'!E10/'Adj LRCX'!E9)</f>
        <v/>
      </c>
      <c r="F23" s="28">
        <f>IF('Adj LRCX'!F9=0,0,'Adj LRCX'!F10/'Adj LRCX'!F9)</f>
        <v/>
      </c>
      <c r="G23" s="28">
        <f>IF('Adj LRCX'!G9=0,0,'Adj LRCX'!G10/'Adj LRCX'!G9)</f>
        <v/>
      </c>
    </row>
    <row r="24">
      <c r="A24" s="11" t="inlineStr">
        <is>
          <t>SG&amp;A / Revenue</t>
        </is>
      </c>
      <c r="B24" s="28">
        <f>IF('Adj LRCX'!B9=0,0,'Adj LRCX'!B12/'Adj LRCX'!B9)</f>
        <v/>
      </c>
      <c r="C24" s="28">
        <f>IF('Adj LRCX'!C9=0,0,'Adj LRCX'!C12/'Adj LRCX'!C9)</f>
        <v/>
      </c>
      <c r="D24" s="28">
        <f>IF('Adj LRCX'!D9=0,0,'Adj LRCX'!D12/'Adj LRCX'!D9)</f>
        <v/>
      </c>
      <c r="E24" s="28">
        <f>IF('Adj LRCX'!E9=0,0,'Adj LRCX'!E12/'Adj LRCX'!E9)</f>
        <v/>
      </c>
      <c r="F24" s="28">
        <f>IF('Adj LRCX'!F9=0,0,'Adj LRCX'!F12/'Adj LRCX'!F9)</f>
        <v/>
      </c>
      <c r="G24" s="28">
        <f>IF('Adj LRCX'!G9=0,0,'Adj LRCX'!G12/'Adj LRCX'!G9)</f>
        <v/>
      </c>
    </row>
    <row r="25">
      <c r="A25" s="11" t="inlineStr">
        <is>
          <t>R&amp;D / Revenue</t>
        </is>
      </c>
      <c r="B25" s="28">
        <f>IF('Adj LRCX'!B9=0,0,'Adj LRCX'!B13/'Adj LRCX'!B9)</f>
        <v/>
      </c>
      <c r="C25" s="28">
        <f>IF('Adj LRCX'!C9=0,0,'Adj LRCX'!C13/'Adj LRCX'!C9)</f>
        <v/>
      </c>
      <c r="D25" s="28">
        <f>IF('Adj LRCX'!D9=0,0,'Adj LRCX'!D13/'Adj LRCX'!D9)</f>
        <v/>
      </c>
      <c r="E25" s="28">
        <f>IF('Adj LRCX'!E9=0,0,'Adj LRCX'!E13/'Adj LRCX'!E9)</f>
        <v/>
      </c>
      <c r="F25" s="28">
        <f>IF('Adj LRCX'!F9=0,0,'Adj LRCX'!F13/'Adj LRCX'!F9)</f>
        <v/>
      </c>
      <c r="G25" s="28">
        <f>IF('Adj LRCX'!G9=0,0,'Adj LRCX'!G13/'Adj LRCX'!G9)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LRCX'!B45,'Adj LRCX'!C45)=0,0,'Adj LRCX'!C9/AVERAGE('Adj LRCX'!B45,'Adj LRCX'!C45))</f>
        <v/>
      </c>
      <c r="D28" s="41">
        <f>IF(AVERAGE('Adj LRCX'!C45,'Adj LRCX'!D45)=0,0,'Adj LRCX'!D9/AVERAGE('Adj LRCX'!C45,'Adj LRCX'!D45))</f>
        <v/>
      </c>
      <c r="E28" s="41">
        <f>IF(AVERAGE('Adj LRCX'!D45,'Adj LRCX'!E45)=0,0,'Adj LRCX'!E9/AVERAGE('Adj LRCX'!D45,'Adj LRCX'!E45))</f>
        <v/>
      </c>
      <c r="F28" s="41">
        <f>IF(AVERAGE('Adj LRCX'!E45,'Adj LRCX'!F45)=0,0,'Adj LRCX'!F9/AVERAGE('Adj LRCX'!E45,'Adj LRCX'!F45))</f>
        <v/>
      </c>
      <c r="G28" s="41">
        <f>IF(AVERAGE('Adj LRCX'!F45,'Adj LRCX'!G45)=0,0,'Adj LRCX'!G9/AVERAGE('Adj LRCX'!F45,'Adj LRCX'!G45))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LRCX'!B47,'Adj LRCX'!C47)=0,0,'Adj LRCX'!C10/AVERAGE('Adj LRCX'!B47,'Adj LRCX'!C47))</f>
        <v/>
      </c>
      <c r="D30" s="41">
        <f>IF(AVERAGE('Adj LRCX'!C47,'Adj LRCX'!D47)=0,0,'Adj LRCX'!D10/AVERAGE('Adj LRCX'!C47,'Adj LRCX'!D47))</f>
        <v/>
      </c>
      <c r="E30" s="41">
        <f>IF(AVERAGE('Adj LRCX'!D47,'Adj LRCX'!E47)=0,0,'Adj LRCX'!E10/AVERAGE('Adj LRCX'!D47,'Adj LRCX'!E47))</f>
        <v/>
      </c>
      <c r="F30" s="41">
        <f>IF(AVERAGE('Adj LRCX'!E47,'Adj LRCX'!F47)=0,0,'Adj LRCX'!F10/AVERAGE('Adj LRCX'!E47,'Adj LRCX'!F47))</f>
        <v/>
      </c>
      <c r="G30" s="41">
        <f>IF(AVERAGE('Adj LRCX'!F47,'Adj LRCX'!G47)=0,0,'Adj LRCX'!G10/AVERAGE('Adj LRCX'!F47,'Adj LRCX'!G47))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LRCX'!B49,'Adj LRCX'!C49)=0,0,'Adj LRCX'!C10/AVERAGE('Adj LRCX'!B49,'Adj LRCX'!C49))</f>
        <v/>
      </c>
      <c r="D32" s="41">
        <f>IF(AVERAGE('Adj LRCX'!C49,'Adj LRCX'!D49)=0,0,'Adj LRCX'!D10/AVERAGE('Adj LRCX'!C49,'Adj LRCX'!D49))</f>
        <v/>
      </c>
      <c r="E32" s="41">
        <f>IF(AVERAGE('Adj LRCX'!D49,'Adj LRCX'!E49)=0,0,'Adj LRCX'!E10/AVERAGE('Adj LRCX'!D49,'Adj LRCX'!E49))</f>
        <v/>
      </c>
      <c r="F32" s="41">
        <f>IF(AVERAGE('Adj LRCX'!E49,'Adj LRCX'!F49)=0,0,'Adj LRCX'!F10/AVERAGE('Adj LRCX'!E49,'Adj LRCX'!F49))</f>
        <v/>
      </c>
      <c r="G32" s="41">
        <f>IF(AVERAGE('Adj LRCX'!F49,'Adj LRCX'!G49)=0,0,'Adj LRCX'!G10/AVERAGE('Adj LRCX'!F49,'Adj LRCX'!G49))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LRCX'!B9=0,0,'Adj LRCX'!B54/'Adj LRCX'!B9)</f>
        <v/>
      </c>
      <c r="C36" s="28">
        <f>IF('Adj LRCX'!C9=0,0,'Adj LRCX'!C54/'Adj LRCX'!C9)</f>
        <v/>
      </c>
      <c r="D36" s="28">
        <f>IF('Adj LRCX'!D9=0,0,'Adj LRCX'!D54/'Adj LRCX'!D9)</f>
        <v/>
      </c>
      <c r="E36" s="28">
        <f>IF('Adj LRCX'!E9=0,0,'Adj LRCX'!E54/'Adj LRCX'!E9)</f>
        <v/>
      </c>
      <c r="F36" s="28">
        <f>IF('Adj LRCX'!F9=0,0,'Adj LRCX'!F54/'Adj LRCX'!F9)</f>
        <v/>
      </c>
      <c r="G36" s="28">
        <f>IF('Adj LRCX'!G9=0,0,'Adj LRCX'!G54/'Adj LRCX'!G9)</f>
        <v/>
      </c>
    </row>
    <row r="37">
      <c r="A37" s="11" t="inlineStr">
        <is>
          <t>PP&amp;E / Revenue</t>
        </is>
      </c>
      <c r="B37" s="28">
        <f>IF('Adj LRCX'!B9=0,0,'Adj LRCX'!B57/'Adj LRCX'!B9)</f>
        <v/>
      </c>
      <c r="C37" s="28">
        <f>IF('Adj LRCX'!C9=0,0,'Adj LRCX'!C57/'Adj LRCX'!C9)</f>
        <v/>
      </c>
      <c r="D37" s="28">
        <f>IF('Adj LRCX'!D9=0,0,'Adj LRCX'!D57/'Adj LRCX'!D9)</f>
        <v/>
      </c>
      <c r="E37" s="28">
        <f>IF('Adj LRCX'!E9=0,0,'Adj LRCX'!E57/'Adj LRCX'!E9)</f>
        <v/>
      </c>
      <c r="F37" s="28">
        <f>IF('Adj LRCX'!F9=0,0,'Adj LRCX'!F57/'Adj LRCX'!F9)</f>
        <v/>
      </c>
      <c r="G37" s="28">
        <f>IF('Adj LRCX'!G9=0,0,'Adj LRCX'!G57/'Adj LRCX'!G9)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LRCX'!B78=0,0,'Adj LRCX'!B79/'Adj LRCX'!B78)</f>
        <v/>
      </c>
      <c r="C40" s="41">
        <f>IF('Adj LRCX'!C78=0,0,'Adj LRCX'!C79/'Adj LRCX'!C78)</f>
        <v/>
      </c>
      <c r="D40" s="41">
        <f>IF('Adj LRCX'!D78=0,0,'Adj LRCX'!D79/'Adj LRCX'!D78)</f>
        <v/>
      </c>
      <c r="E40" s="41">
        <f>IF('Adj LRCX'!E78=0,0,'Adj LRCX'!E79/'Adj LRCX'!E78)</f>
        <v/>
      </c>
      <c r="F40" s="41">
        <f>IF('Adj LRCX'!F78=0,0,'Adj LRCX'!F79/'Adj LRCX'!F78)</f>
        <v/>
      </c>
      <c r="G40" s="41">
        <f>IF('Adj LRCX'!G78=0,0,'Adj LRCX'!G79/'Adj LRCX'!G78)</f>
        <v/>
      </c>
    </row>
    <row r="41">
      <c r="A41" s="11" t="inlineStr">
        <is>
          <t>Debt-to-Equity</t>
        </is>
      </c>
      <c r="B41" s="41">
        <f>IF('Adj LRCX'!B81=0,0,'Adj LRCX'!B78/'Adj LRCX'!B81)</f>
        <v/>
      </c>
      <c r="C41" s="41">
        <f>IF('Adj LRCX'!C81=0,0,'Adj LRCX'!C78/'Adj LRCX'!C81)</f>
        <v/>
      </c>
      <c r="D41" s="41">
        <f>IF('Adj LRCX'!D81=0,0,'Adj LRCX'!D78/'Adj LRCX'!D81)</f>
        <v/>
      </c>
      <c r="E41" s="41">
        <f>IF('Adj LRCX'!E81=0,0,'Adj LRCX'!E78/'Adj LRCX'!E81)</f>
        <v/>
      </c>
      <c r="F41" s="41">
        <f>IF('Adj LRCX'!F81=0,0,'Adj LRCX'!F78/'Adj LRCX'!F81)</f>
        <v/>
      </c>
      <c r="G41" s="41">
        <f>IF('Adj LRCX'!G81=0,0,'Adj LRCX'!G78/'Adj LRCX'!G81)</f>
        <v/>
      </c>
    </row>
    <row r="42">
      <c r="A42" s="11" t="inlineStr">
        <is>
          <t>Interest Coverage</t>
        </is>
      </c>
      <c r="B42" s="41">
        <f>IF(ABS('Adj LRCX'!B29)=0,0,'Adj LRCX'!B25/ABS('Adj LRCX'!B29))</f>
        <v/>
      </c>
      <c r="C42" s="41">
        <f>IF(ABS('Adj LRCX'!C29)=0,0,'Adj LRCX'!C25/ABS('Adj LRCX'!C29))</f>
        <v/>
      </c>
      <c r="D42" s="41">
        <f>IF(ABS('Adj LRCX'!D29)=0,0,'Adj LRCX'!D25/ABS('Adj LRCX'!D29))</f>
        <v/>
      </c>
      <c r="E42" s="41">
        <f>IF(ABS('Adj LRCX'!E29)=0,0,'Adj LRCX'!E25/ABS('Adj LRCX'!E29))</f>
        <v/>
      </c>
      <c r="F42" s="41">
        <f>IF(ABS('Adj LRCX'!F29)=0,0,'Adj LRCX'!F25/ABS('Adj LRCX'!F29))</f>
        <v/>
      </c>
      <c r="G42" s="41">
        <f>IF(ABS('Adj LRCX'!G29)=0,0,'Adj LRCX'!G25/ABS('Adj LRCX'!G29))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LRCX'!B9=0,0,'Adj LRCX'!C9/'Adj LRCX'!B9-1)</f>
        <v/>
      </c>
      <c r="D45" s="28">
        <f>IF('Adj LRCX'!C9=0,0,'Adj LRCX'!D9/'Adj LRCX'!C9-1)</f>
        <v/>
      </c>
      <c r="E45" s="28">
        <f>IF('Adj LRCX'!D9=0,0,'Adj LRCX'!E9/'Adj LRCX'!D9-1)</f>
        <v/>
      </c>
      <c r="F45" s="28">
        <f>IF('Adj LRCX'!E9=0,0,'Adj LRCX'!F9/'Adj LRCX'!E9-1)</f>
        <v/>
      </c>
      <c r="G45" s="28">
        <f>IF('Adj LRCX'!F9=0,0,'Adj LRCX'!G9/'Adj LRCX'!F9-1)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LRCX'!C33=0,0,(1-'Adj LRCX'!C40*'Adj LRCX'!C38/1000/'Adj LRCX'!C33)*C6)</f>
        <v/>
      </c>
      <c r="D46" s="28">
        <f>IF('Adj LRCX'!D33=0,0,(1-'Adj LRCX'!D40*'Adj LRCX'!D38/1000/'Adj LRCX'!D33)*D6)</f>
        <v/>
      </c>
      <c r="E46" s="28">
        <f>IF('Adj LRCX'!E33=0,0,(1-'Adj LRCX'!E40*'Adj LRCX'!E38/1000/'Adj LRCX'!E33)*E6)</f>
        <v/>
      </c>
      <c r="F46" s="28">
        <f>IF('Adj LRCX'!F33=0,0,(1-'Adj LRCX'!F40*'Adj LRCX'!F38/1000/'Adj LRCX'!F33)*F6)</f>
        <v/>
      </c>
      <c r="G46" s="28">
        <f>IF('Adj LRCX'!G33=0,0,(1-'Adj LRCX'!G40*'Adj LRCX'!G38/1000/'Adj LRCX'!G33)*G6)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Comparison - Peer Analysis</t>
        </is>
      </c>
    </row>
    <row r="2">
      <c r="A2" s="15" t="inlineStr">
        <is>
          <t>(key ratios side-by-side)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ROE</t>
        </is>
      </c>
      <c r="B5" s="20" t="n"/>
      <c r="C5" s="20" t="n"/>
      <c r="D5" s="20" t="n"/>
      <c r="E5" s="20" t="n"/>
      <c r="F5" s="20" t="n"/>
      <c r="G5" s="20" t="n"/>
    </row>
    <row r="6">
      <c r="A6" s="11" t="inlineStr">
        <is>
          <t xml:space="preserve">    ASM</t>
        </is>
      </c>
      <c r="B6" s="18">
        <f>'Ratios ASM'!B6</f>
        <v/>
      </c>
      <c r="C6" s="18">
        <f>'Ratios ASM'!C6</f>
        <v/>
      </c>
      <c r="D6" s="18">
        <f>'Ratios ASM'!D6</f>
        <v/>
      </c>
      <c r="E6" s="18">
        <f>'Ratios ASM'!E6</f>
        <v/>
      </c>
      <c r="F6" s="18">
        <f>'Ratios ASM'!F6</f>
        <v/>
      </c>
      <c r="G6" s="18">
        <f>'Ratios ASM'!G6</f>
        <v/>
      </c>
    </row>
    <row r="7">
      <c r="A7" s="11" t="inlineStr">
        <is>
          <t xml:space="preserve">    AIXTRON</t>
        </is>
      </c>
      <c r="B7" s="18">
        <f>'Ratios AIXTRON'!B6</f>
        <v/>
      </c>
      <c r="C7" s="18">
        <f>'Ratios AIXTRON'!C6</f>
        <v/>
      </c>
      <c r="D7" s="18">
        <f>'Ratios AIXTRON'!D6</f>
        <v/>
      </c>
      <c r="E7" s="18">
        <f>'Ratios AIXTRON'!E6</f>
        <v/>
      </c>
      <c r="F7" s="18">
        <f>'Ratios AIXTRON'!F6</f>
        <v/>
      </c>
      <c r="G7" s="18">
        <f>'Ratios AIXTRON'!G6</f>
        <v/>
      </c>
    </row>
    <row r="8">
      <c r="A8" s="11" t="inlineStr">
        <is>
          <t xml:space="preserve">    AMAT</t>
        </is>
      </c>
      <c r="B8" s="18">
        <f>'Ratios AMAT'!B6</f>
        <v/>
      </c>
      <c r="C8" s="18">
        <f>'Ratios AMAT'!C6</f>
        <v/>
      </c>
      <c r="D8" s="18">
        <f>'Ratios AMAT'!D6</f>
        <v/>
      </c>
      <c r="E8" s="18">
        <f>'Ratios AMAT'!E6</f>
        <v/>
      </c>
      <c r="F8" s="18">
        <f>'Ratios AMAT'!F6</f>
        <v/>
      </c>
      <c r="G8" s="18">
        <f>'Ratios AMAT'!G6</f>
        <v/>
      </c>
    </row>
    <row r="9">
      <c r="A9" s="11" t="inlineStr">
        <is>
          <t xml:space="preserve">    LRCX</t>
        </is>
      </c>
      <c r="B9" s="18">
        <f>'Ratios LRCX'!B6</f>
        <v/>
      </c>
      <c r="C9" s="18">
        <f>'Ratios LRCX'!C6</f>
        <v/>
      </c>
      <c r="D9" s="18">
        <f>'Ratios LRCX'!D6</f>
        <v/>
      </c>
      <c r="E9" s="18">
        <f>'Ratios LRCX'!E6</f>
        <v/>
      </c>
      <c r="F9" s="18">
        <f>'Ratios LRCX'!F6</f>
        <v/>
      </c>
      <c r="G9" s="18">
        <f>'Ratios LRCX'!G6</f>
        <v/>
      </c>
    </row>
    <row r="11">
      <c r="A11" s="19" t="inlineStr">
        <is>
          <t>RNOA</t>
        </is>
      </c>
      <c r="B11" s="20" t="n"/>
      <c r="C11" s="20" t="n"/>
      <c r="D11" s="20" t="n"/>
      <c r="E11" s="20" t="n"/>
      <c r="F11" s="20" t="n"/>
      <c r="G11" s="20" t="n"/>
    </row>
    <row r="12">
      <c r="A12" s="11" t="inlineStr">
        <is>
          <t xml:space="preserve">    ASM</t>
        </is>
      </c>
      <c r="B12" s="18">
        <f>'Ratios ASM'!B13</f>
        <v/>
      </c>
      <c r="C12" s="18">
        <f>'Ratios ASM'!C13</f>
        <v/>
      </c>
      <c r="D12" s="18">
        <f>'Ratios ASM'!D13</f>
        <v/>
      </c>
      <c r="E12" s="18">
        <f>'Ratios ASM'!E13</f>
        <v/>
      </c>
      <c r="F12" s="18">
        <f>'Ratios ASM'!F13</f>
        <v/>
      </c>
      <c r="G12" s="18">
        <f>'Ratios ASM'!G13</f>
        <v/>
      </c>
    </row>
    <row r="13">
      <c r="A13" s="11" t="inlineStr">
        <is>
          <t xml:space="preserve">    AIXTRON</t>
        </is>
      </c>
      <c r="B13" s="18">
        <f>'Ratios AIXTRON'!B13</f>
        <v/>
      </c>
      <c r="C13" s="18">
        <f>'Ratios AIXTRON'!C13</f>
        <v/>
      </c>
      <c r="D13" s="18">
        <f>'Ratios AIXTRON'!D13</f>
        <v/>
      </c>
      <c r="E13" s="18">
        <f>'Ratios AIXTRON'!E13</f>
        <v/>
      </c>
      <c r="F13" s="18">
        <f>'Ratios AIXTRON'!F13</f>
        <v/>
      </c>
      <c r="G13" s="18">
        <f>'Ratios AIXTRON'!G13</f>
        <v/>
      </c>
    </row>
    <row r="14">
      <c r="A14" s="11" t="inlineStr">
        <is>
          <t xml:space="preserve">    AMAT</t>
        </is>
      </c>
      <c r="B14" s="18">
        <f>'Ratios AMAT'!B13</f>
        <v/>
      </c>
      <c r="C14" s="18">
        <f>'Ratios AMAT'!C13</f>
        <v/>
      </c>
      <c r="D14" s="18">
        <f>'Ratios AMAT'!D13</f>
        <v/>
      </c>
      <c r="E14" s="18">
        <f>'Ratios AMAT'!E13</f>
        <v/>
      </c>
      <c r="F14" s="18">
        <f>'Ratios AMAT'!F13</f>
        <v/>
      </c>
      <c r="G14" s="18">
        <f>'Ratios AMAT'!G13</f>
        <v/>
      </c>
    </row>
    <row r="15">
      <c r="A15" s="11" t="inlineStr">
        <is>
          <t xml:space="preserve">    LRCX</t>
        </is>
      </c>
      <c r="B15" s="18">
        <f>'Ratios LRCX'!B13</f>
        <v/>
      </c>
      <c r="C15" s="18">
        <f>'Ratios LRCX'!C13</f>
        <v/>
      </c>
      <c r="D15" s="18">
        <f>'Ratios LRCX'!D13</f>
        <v/>
      </c>
      <c r="E15" s="18">
        <f>'Ratios LRCX'!E13</f>
        <v/>
      </c>
      <c r="F15" s="18">
        <f>'Ratios LRCX'!F13</f>
        <v/>
      </c>
      <c r="G15" s="18">
        <f>'Ratios LRCX'!G13</f>
        <v/>
      </c>
    </row>
    <row r="17">
      <c r="A17" s="19" t="inlineStr">
        <is>
          <t>NOPAT Margin</t>
        </is>
      </c>
      <c r="B17" s="20" t="n"/>
      <c r="C17" s="20" t="n"/>
      <c r="D17" s="20" t="n"/>
      <c r="E17" s="20" t="n"/>
      <c r="F17" s="20" t="n"/>
      <c r="G17" s="20" t="n"/>
    </row>
    <row r="18">
      <c r="A18" s="11" t="inlineStr">
        <is>
          <t xml:space="preserve">    ASM</t>
        </is>
      </c>
      <c r="B18" s="18">
        <f>'Ratios ASM'!B19</f>
        <v/>
      </c>
      <c r="C18" s="18">
        <f>'Ratios ASM'!C19</f>
        <v/>
      </c>
      <c r="D18" s="18">
        <f>'Ratios ASM'!D19</f>
        <v/>
      </c>
      <c r="E18" s="18">
        <f>'Ratios ASM'!E19</f>
        <v/>
      </c>
      <c r="F18" s="18">
        <f>'Ratios ASM'!F19</f>
        <v/>
      </c>
      <c r="G18" s="18">
        <f>'Ratios ASM'!G19</f>
        <v/>
      </c>
    </row>
    <row r="19">
      <c r="A19" s="11" t="inlineStr">
        <is>
          <t xml:space="preserve">    AIXTRON</t>
        </is>
      </c>
      <c r="B19" s="18">
        <f>'Ratios AIXTRON'!B19</f>
        <v/>
      </c>
      <c r="C19" s="18">
        <f>'Ratios AIXTRON'!C19</f>
        <v/>
      </c>
      <c r="D19" s="18">
        <f>'Ratios AIXTRON'!D19</f>
        <v/>
      </c>
      <c r="E19" s="18">
        <f>'Ratios AIXTRON'!E19</f>
        <v/>
      </c>
      <c r="F19" s="18">
        <f>'Ratios AIXTRON'!F19</f>
        <v/>
      </c>
      <c r="G19" s="18">
        <f>'Ratios AIXTRON'!G19</f>
        <v/>
      </c>
    </row>
    <row r="20">
      <c r="A20" s="11" t="inlineStr">
        <is>
          <t xml:space="preserve">    AMAT</t>
        </is>
      </c>
      <c r="B20" s="18">
        <f>'Ratios AMAT'!B19</f>
        <v/>
      </c>
      <c r="C20" s="18">
        <f>'Ratios AMAT'!C19</f>
        <v/>
      </c>
      <c r="D20" s="18">
        <f>'Ratios AMAT'!D19</f>
        <v/>
      </c>
      <c r="E20" s="18">
        <f>'Ratios AMAT'!E19</f>
        <v/>
      </c>
      <c r="F20" s="18">
        <f>'Ratios AMAT'!F19</f>
        <v/>
      </c>
      <c r="G20" s="18">
        <f>'Ratios AMAT'!G19</f>
        <v/>
      </c>
    </row>
    <row r="21">
      <c r="A21" s="11" t="inlineStr">
        <is>
          <t xml:space="preserve">    LRCX</t>
        </is>
      </c>
      <c r="B21" s="18">
        <f>'Ratios LRCX'!B19</f>
        <v/>
      </c>
      <c r="C21" s="18">
        <f>'Ratios LRCX'!C19</f>
        <v/>
      </c>
      <c r="D21" s="18">
        <f>'Ratios LRCX'!D19</f>
        <v/>
      </c>
      <c r="E21" s="18">
        <f>'Ratios LRCX'!E19</f>
        <v/>
      </c>
      <c r="F21" s="18">
        <f>'Ratios LRCX'!F19</f>
        <v/>
      </c>
      <c r="G21" s="18">
        <f>'Ratios LRCX'!G19</f>
        <v/>
      </c>
    </row>
    <row r="23">
      <c r="A23" s="19" t="inlineStr">
        <is>
          <t>Gross Profit Margin</t>
        </is>
      </c>
      <c r="B23" s="20" t="n"/>
      <c r="C23" s="20" t="n"/>
      <c r="D23" s="20" t="n"/>
      <c r="E23" s="20" t="n"/>
      <c r="F23" s="20" t="n"/>
      <c r="G23" s="20" t="n"/>
    </row>
    <row r="24">
      <c r="A24" s="11" t="inlineStr">
        <is>
          <t xml:space="preserve">    ASM</t>
        </is>
      </c>
      <c r="B24" s="18">
        <f>'Ratios ASM'!B17</f>
        <v/>
      </c>
      <c r="C24" s="18">
        <f>'Ratios ASM'!C17</f>
        <v/>
      </c>
      <c r="D24" s="18">
        <f>'Ratios ASM'!D17</f>
        <v/>
      </c>
      <c r="E24" s="18">
        <f>'Ratios ASM'!E17</f>
        <v/>
      </c>
      <c r="F24" s="18">
        <f>'Ratios ASM'!F17</f>
        <v/>
      </c>
      <c r="G24" s="18">
        <f>'Ratios ASM'!G17</f>
        <v/>
      </c>
    </row>
    <row r="25">
      <c r="A25" s="11" t="inlineStr">
        <is>
          <t xml:space="preserve">    AIXTRON</t>
        </is>
      </c>
      <c r="B25" s="18">
        <f>'Ratios AIXTRON'!B17</f>
        <v/>
      </c>
      <c r="C25" s="18">
        <f>'Ratios AIXTRON'!C17</f>
        <v/>
      </c>
      <c r="D25" s="18">
        <f>'Ratios AIXTRON'!D17</f>
        <v/>
      </c>
      <c r="E25" s="18">
        <f>'Ratios AIXTRON'!E17</f>
        <v/>
      </c>
      <c r="F25" s="18">
        <f>'Ratios AIXTRON'!F17</f>
        <v/>
      </c>
      <c r="G25" s="18">
        <f>'Ratios AIXTRON'!G17</f>
        <v/>
      </c>
    </row>
    <row r="26">
      <c r="A26" s="11" t="inlineStr">
        <is>
          <t xml:space="preserve">    AMAT</t>
        </is>
      </c>
      <c r="B26" s="18">
        <f>'Ratios AMAT'!B17</f>
        <v/>
      </c>
      <c r="C26" s="18">
        <f>'Ratios AMAT'!C17</f>
        <v/>
      </c>
      <c r="D26" s="18">
        <f>'Ratios AMAT'!D17</f>
        <v/>
      </c>
      <c r="E26" s="18">
        <f>'Ratios AMAT'!E17</f>
        <v/>
      </c>
      <c r="F26" s="18">
        <f>'Ratios AMAT'!F17</f>
        <v/>
      </c>
      <c r="G26" s="18">
        <f>'Ratios AMAT'!G17</f>
        <v/>
      </c>
    </row>
    <row r="27">
      <c r="A27" s="11" t="inlineStr">
        <is>
          <t xml:space="preserve">    LRCX</t>
        </is>
      </c>
      <c r="B27" s="18">
        <f>'Ratios LRCX'!B17</f>
        <v/>
      </c>
      <c r="C27" s="18">
        <f>'Ratios LRCX'!C17</f>
        <v/>
      </c>
      <c r="D27" s="18">
        <f>'Ratios LRCX'!D17</f>
        <v/>
      </c>
      <c r="E27" s="18">
        <f>'Ratios LRCX'!E17</f>
        <v/>
      </c>
      <c r="F27" s="18">
        <f>'Ratios LRCX'!F17</f>
        <v/>
      </c>
      <c r="G27" s="18">
        <f>'Ratios LRCX'!G17</f>
        <v/>
      </c>
    </row>
    <row r="29">
      <c r="A29" s="19" t="inlineStr">
        <is>
          <t>Revenue Growth</t>
        </is>
      </c>
      <c r="B29" s="20" t="n"/>
      <c r="C29" s="20" t="n"/>
      <c r="D29" s="20" t="n"/>
      <c r="E29" s="20" t="n"/>
      <c r="F29" s="20" t="n"/>
      <c r="G29" s="20" t="n"/>
    </row>
    <row r="30">
      <c r="A30" s="11" t="inlineStr">
        <is>
          <t xml:space="preserve">    ASM</t>
        </is>
      </c>
      <c r="B30" s="18">
        <f>'Ratios ASM'!B45</f>
        <v/>
      </c>
      <c r="C30" s="18">
        <f>'Ratios ASM'!C45</f>
        <v/>
      </c>
      <c r="D30" s="18">
        <f>'Ratios ASM'!D45</f>
        <v/>
      </c>
      <c r="E30" s="18">
        <f>'Ratios ASM'!E45</f>
        <v/>
      </c>
      <c r="F30" s="18">
        <f>'Ratios ASM'!F45</f>
        <v/>
      </c>
      <c r="G30" s="18">
        <f>'Ratios ASM'!G45</f>
        <v/>
      </c>
    </row>
    <row r="31">
      <c r="A31" s="11" t="inlineStr">
        <is>
          <t xml:space="preserve">    AIXTRON</t>
        </is>
      </c>
      <c r="B31" s="18">
        <f>'Ratios AIXTRON'!B45</f>
        <v/>
      </c>
      <c r="C31" s="18">
        <f>'Ratios AIXTRON'!C45</f>
        <v/>
      </c>
      <c r="D31" s="18">
        <f>'Ratios AIXTRON'!D45</f>
        <v/>
      </c>
      <c r="E31" s="18">
        <f>'Ratios AIXTRON'!E45</f>
        <v/>
      </c>
      <c r="F31" s="18">
        <f>'Ratios AIXTRON'!F45</f>
        <v/>
      </c>
      <c r="G31" s="18">
        <f>'Ratios AIXTRON'!G45</f>
        <v/>
      </c>
    </row>
    <row r="32">
      <c r="A32" s="11" t="inlineStr">
        <is>
          <t xml:space="preserve">    AMAT</t>
        </is>
      </c>
      <c r="B32" s="18">
        <f>'Ratios AMAT'!B45</f>
        <v/>
      </c>
      <c r="C32" s="18">
        <f>'Ratios AMAT'!C45</f>
        <v/>
      </c>
      <c r="D32" s="18">
        <f>'Ratios AMAT'!D45</f>
        <v/>
      </c>
      <c r="E32" s="18">
        <f>'Ratios AMAT'!E45</f>
        <v/>
      </c>
      <c r="F32" s="18">
        <f>'Ratios AMAT'!F45</f>
        <v/>
      </c>
      <c r="G32" s="18">
        <f>'Ratios AMAT'!G45</f>
        <v/>
      </c>
    </row>
    <row r="33">
      <c r="A33" s="11" t="inlineStr">
        <is>
          <t xml:space="preserve">    LRCX</t>
        </is>
      </c>
      <c r="B33" s="18">
        <f>'Ratios LRCX'!B45</f>
        <v/>
      </c>
      <c r="C33" s="18">
        <f>'Ratios LRCX'!C45</f>
        <v/>
      </c>
      <c r="D33" s="18">
        <f>'Ratios LRCX'!D45</f>
        <v/>
      </c>
      <c r="E33" s="18">
        <f>'Ratios LRCX'!E45</f>
        <v/>
      </c>
      <c r="F33" s="18">
        <f>'Ratios LRCX'!F45</f>
        <v/>
      </c>
      <c r="G33" s="18">
        <f>'Ratios LRCX'!G45</f>
        <v/>
      </c>
    </row>
    <row r="35">
      <c r="A35" s="19" t="inlineStr">
        <is>
          <t>OWC / Revenue</t>
        </is>
      </c>
      <c r="B35" s="20" t="n"/>
      <c r="C35" s="20" t="n"/>
      <c r="D35" s="20" t="n"/>
      <c r="E35" s="20" t="n"/>
      <c r="F35" s="20" t="n"/>
      <c r="G35" s="20" t="n"/>
    </row>
    <row r="36">
      <c r="A36" s="11" t="inlineStr">
        <is>
          <t xml:space="preserve">    ASM</t>
        </is>
      </c>
      <c r="B36" s="18">
        <f>'Ratios ASM'!B36</f>
        <v/>
      </c>
      <c r="C36" s="18">
        <f>'Ratios ASM'!C36</f>
        <v/>
      </c>
      <c r="D36" s="18">
        <f>'Ratios ASM'!D36</f>
        <v/>
      </c>
      <c r="E36" s="18">
        <f>'Ratios ASM'!E36</f>
        <v/>
      </c>
      <c r="F36" s="18">
        <f>'Ratios ASM'!F36</f>
        <v/>
      </c>
      <c r="G36" s="18">
        <f>'Ratios ASM'!G36</f>
        <v/>
      </c>
    </row>
    <row r="37">
      <c r="A37" s="11" t="inlineStr">
        <is>
          <t xml:space="preserve">    AIXTRON</t>
        </is>
      </c>
      <c r="B37" s="18">
        <f>'Ratios AIXTRON'!B36</f>
        <v/>
      </c>
      <c r="C37" s="18">
        <f>'Ratios AIXTRON'!C36</f>
        <v/>
      </c>
      <c r="D37" s="18">
        <f>'Ratios AIXTRON'!D36</f>
        <v/>
      </c>
      <c r="E37" s="18">
        <f>'Ratios AIXTRON'!E36</f>
        <v/>
      </c>
      <c r="F37" s="18">
        <f>'Ratios AIXTRON'!F36</f>
        <v/>
      </c>
      <c r="G37" s="18">
        <f>'Ratios AIXTRON'!G36</f>
        <v/>
      </c>
    </row>
    <row r="38">
      <c r="A38" s="11" t="inlineStr">
        <is>
          <t xml:space="preserve">    AMAT</t>
        </is>
      </c>
      <c r="B38" s="18">
        <f>'Ratios AMAT'!B36</f>
        <v/>
      </c>
      <c r="C38" s="18">
        <f>'Ratios AMAT'!C36</f>
        <v/>
      </c>
      <c r="D38" s="18">
        <f>'Ratios AMAT'!D36</f>
        <v/>
      </c>
      <c r="E38" s="18">
        <f>'Ratios AMAT'!E36</f>
        <v/>
      </c>
      <c r="F38" s="18">
        <f>'Ratios AMAT'!F36</f>
        <v/>
      </c>
      <c r="G38" s="18">
        <f>'Ratios AMAT'!G36</f>
        <v/>
      </c>
    </row>
    <row r="39">
      <c r="A39" s="11" t="inlineStr">
        <is>
          <t xml:space="preserve">    LRCX</t>
        </is>
      </c>
      <c r="B39" s="18">
        <f>'Ratios LRCX'!B36</f>
        <v/>
      </c>
      <c r="C39" s="18">
        <f>'Ratios LRCX'!C36</f>
        <v/>
      </c>
      <c r="D39" s="18">
        <f>'Ratios LRCX'!D36</f>
        <v/>
      </c>
      <c r="E39" s="18">
        <f>'Ratios LRCX'!E36</f>
        <v/>
      </c>
      <c r="F39" s="18">
        <f>'Ratios LRCX'!F36</f>
        <v/>
      </c>
      <c r="G39" s="18">
        <f>'Ratios LRCX'!G36</f>
        <v/>
      </c>
    </row>
    <row r="41">
      <c r="A41" s="19" t="inlineStr">
        <is>
          <t>Days Receivable</t>
        </is>
      </c>
      <c r="B41" s="20" t="n"/>
      <c r="C41" s="20" t="n"/>
      <c r="D41" s="20" t="n"/>
      <c r="E41" s="20" t="n"/>
      <c r="F41" s="20" t="n"/>
      <c r="G41" s="20" t="n"/>
    </row>
    <row r="42">
      <c r="A42" s="11" t="inlineStr">
        <is>
          <t xml:space="preserve">    ASM</t>
        </is>
      </c>
      <c r="B42" s="42">
        <f>'Ratios ASM'!B29</f>
        <v/>
      </c>
      <c r="C42" s="42">
        <f>'Ratios ASM'!C29</f>
        <v/>
      </c>
      <c r="D42" s="42">
        <f>'Ratios ASM'!D29</f>
        <v/>
      </c>
      <c r="E42" s="42">
        <f>'Ratios ASM'!E29</f>
        <v/>
      </c>
      <c r="F42" s="42">
        <f>'Ratios ASM'!F29</f>
        <v/>
      </c>
      <c r="G42" s="42">
        <f>'Ratios ASM'!G29</f>
        <v/>
      </c>
    </row>
    <row r="43">
      <c r="A43" s="11" t="inlineStr">
        <is>
          <t xml:space="preserve">    AIXTRON</t>
        </is>
      </c>
      <c r="B43" s="42">
        <f>'Ratios AIXTRON'!B29</f>
        <v/>
      </c>
      <c r="C43" s="42">
        <f>'Ratios AIXTRON'!C29</f>
        <v/>
      </c>
      <c r="D43" s="42">
        <f>'Ratios AIXTRON'!D29</f>
        <v/>
      </c>
      <c r="E43" s="42">
        <f>'Ratios AIXTRON'!E29</f>
        <v/>
      </c>
      <c r="F43" s="42">
        <f>'Ratios AIXTRON'!F29</f>
        <v/>
      </c>
      <c r="G43" s="42">
        <f>'Ratios AIXTRON'!G29</f>
        <v/>
      </c>
    </row>
    <row r="44">
      <c r="A44" s="11" t="inlineStr">
        <is>
          <t xml:space="preserve">    AMAT</t>
        </is>
      </c>
      <c r="B44" s="42">
        <f>'Ratios AMAT'!B29</f>
        <v/>
      </c>
      <c r="C44" s="42">
        <f>'Ratios AMAT'!C29</f>
        <v/>
      </c>
      <c r="D44" s="42">
        <f>'Ratios AMAT'!D29</f>
        <v/>
      </c>
      <c r="E44" s="42">
        <f>'Ratios AMAT'!E29</f>
        <v/>
      </c>
      <c r="F44" s="42">
        <f>'Ratios AMAT'!F29</f>
        <v/>
      </c>
      <c r="G44" s="42">
        <f>'Ratios AMAT'!G29</f>
        <v/>
      </c>
    </row>
    <row r="45">
      <c r="A45" s="11" t="inlineStr">
        <is>
          <t xml:space="preserve">    LRCX</t>
        </is>
      </c>
      <c r="B45" s="42">
        <f>'Ratios LRCX'!B29</f>
        <v/>
      </c>
      <c r="C45" s="42">
        <f>'Ratios LRCX'!C29</f>
        <v/>
      </c>
      <c r="D45" s="42">
        <f>'Ratios LRCX'!D29</f>
        <v/>
      </c>
      <c r="E45" s="42">
        <f>'Ratios LRCX'!E29</f>
        <v/>
      </c>
      <c r="F45" s="42">
        <f>'Ratios LRCX'!F29</f>
        <v/>
      </c>
      <c r="G45" s="42">
        <f>'Ratios LRCX'!G29</f>
        <v/>
      </c>
    </row>
    <row r="47">
      <c r="A47" s="19" t="inlineStr">
        <is>
          <t>Debt-to-Equity</t>
        </is>
      </c>
      <c r="B47" s="20" t="n"/>
      <c r="C47" s="20" t="n"/>
      <c r="D47" s="20" t="n"/>
      <c r="E47" s="20" t="n"/>
      <c r="F47" s="20" t="n"/>
      <c r="G47" s="20" t="n"/>
    </row>
    <row r="48">
      <c r="A48" s="11" t="inlineStr">
        <is>
          <t xml:space="preserve">    ASM</t>
        </is>
      </c>
      <c r="B48" s="42">
        <f>'Ratios ASM'!B41</f>
        <v/>
      </c>
      <c r="C48" s="42">
        <f>'Ratios ASM'!C41</f>
        <v/>
      </c>
      <c r="D48" s="42">
        <f>'Ratios ASM'!D41</f>
        <v/>
      </c>
      <c r="E48" s="42">
        <f>'Ratios ASM'!E41</f>
        <v/>
      </c>
      <c r="F48" s="42">
        <f>'Ratios ASM'!F41</f>
        <v/>
      </c>
      <c r="G48" s="42">
        <f>'Ratios ASM'!G41</f>
        <v/>
      </c>
    </row>
    <row r="49">
      <c r="A49" s="11" t="inlineStr">
        <is>
          <t xml:space="preserve">    AIXTRON</t>
        </is>
      </c>
      <c r="B49" s="42">
        <f>'Ratios AIXTRON'!B41</f>
        <v/>
      </c>
      <c r="C49" s="42">
        <f>'Ratios AIXTRON'!C41</f>
        <v/>
      </c>
      <c r="D49" s="42">
        <f>'Ratios AIXTRON'!D41</f>
        <v/>
      </c>
      <c r="E49" s="42">
        <f>'Ratios AIXTRON'!E41</f>
        <v/>
      </c>
      <c r="F49" s="42">
        <f>'Ratios AIXTRON'!F41</f>
        <v/>
      </c>
      <c r="G49" s="42">
        <f>'Ratios AIXTRON'!G41</f>
        <v/>
      </c>
    </row>
    <row r="50">
      <c r="A50" s="11" t="inlineStr">
        <is>
          <t xml:space="preserve">    AMAT</t>
        </is>
      </c>
      <c r="B50" s="42">
        <f>'Ratios AMAT'!B41</f>
        <v/>
      </c>
      <c r="C50" s="42">
        <f>'Ratios AMAT'!C41</f>
        <v/>
      </c>
      <c r="D50" s="42">
        <f>'Ratios AMAT'!D41</f>
        <v/>
      </c>
      <c r="E50" s="42">
        <f>'Ratios AMAT'!E41</f>
        <v/>
      </c>
      <c r="F50" s="42">
        <f>'Ratios AMAT'!F41</f>
        <v/>
      </c>
      <c r="G50" s="42">
        <f>'Ratios AMAT'!G41</f>
        <v/>
      </c>
    </row>
    <row r="51">
      <c r="A51" s="11" t="inlineStr">
        <is>
          <t xml:space="preserve">    LRCX</t>
        </is>
      </c>
      <c r="B51" s="42">
        <f>'Ratios LRCX'!B41</f>
        <v/>
      </c>
      <c r="C51" s="42">
        <f>'Ratios LRCX'!C41</f>
        <v/>
      </c>
      <c r="D51" s="42">
        <f>'Ratios LRCX'!D41</f>
        <v/>
      </c>
      <c r="E51" s="42">
        <f>'Ratios LRCX'!E41</f>
        <v/>
      </c>
      <c r="F51" s="42">
        <f>'Ratios LRCX'!F41</f>
        <v/>
      </c>
      <c r="G51" s="42">
        <f>'Ratios LRCX'!G41</f>
        <v/>
      </c>
    </row>
    <row r="53">
      <c r="A53" s="19" t="inlineStr">
        <is>
          <t>Interest Coverage</t>
        </is>
      </c>
      <c r="B53" s="20" t="n"/>
      <c r="C53" s="20" t="n"/>
      <c r="D53" s="20" t="n"/>
      <c r="E53" s="20" t="n"/>
      <c r="F53" s="20" t="n"/>
      <c r="G53" s="20" t="n"/>
    </row>
    <row r="54">
      <c r="A54" s="11" t="inlineStr">
        <is>
          <t xml:space="preserve">    ASM</t>
        </is>
      </c>
      <c r="B54" s="42">
        <f>'Ratios ASM'!B42</f>
        <v/>
      </c>
      <c r="C54" s="42">
        <f>'Ratios ASM'!C42</f>
        <v/>
      </c>
      <c r="D54" s="42">
        <f>'Ratios ASM'!D42</f>
        <v/>
      </c>
      <c r="E54" s="42">
        <f>'Ratios ASM'!E42</f>
        <v/>
      </c>
      <c r="F54" s="42">
        <f>'Ratios ASM'!F42</f>
        <v/>
      </c>
      <c r="G54" s="42">
        <f>'Ratios ASM'!G42</f>
        <v/>
      </c>
    </row>
    <row r="55">
      <c r="A55" s="11" t="inlineStr">
        <is>
          <t xml:space="preserve">    AIXTRON</t>
        </is>
      </c>
      <c r="B55" s="42">
        <f>'Ratios AIXTRON'!B42</f>
        <v/>
      </c>
      <c r="C55" s="42">
        <f>'Ratios AIXTRON'!C42</f>
        <v/>
      </c>
      <c r="D55" s="42">
        <f>'Ratios AIXTRON'!D42</f>
        <v/>
      </c>
      <c r="E55" s="42">
        <f>'Ratios AIXTRON'!E42</f>
        <v/>
      </c>
      <c r="F55" s="42">
        <f>'Ratios AIXTRON'!F42</f>
        <v/>
      </c>
      <c r="G55" s="42">
        <f>'Ratios AIXTRON'!G42</f>
        <v/>
      </c>
    </row>
    <row r="56">
      <c r="A56" s="11" t="inlineStr">
        <is>
          <t xml:space="preserve">    AMAT</t>
        </is>
      </c>
      <c r="B56" s="42">
        <f>'Ratios AMAT'!B42</f>
        <v/>
      </c>
      <c r="C56" s="42">
        <f>'Ratios AMAT'!C42</f>
        <v/>
      </c>
      <c r="D56" s="42">
        <f>'Ratios AMAT'!D42</f>
        <v/>
      </c>
      <c r="E56" s="42">
        <f>'Ratios AMAT'!E42</f>
        <v/>
      </c>
      <c r="F56" s="42">
        <f>'Ratios AMAT'!F42</f>
        <v/>
      </c>
      <c r="G56" s="42">
        <f>'Ratios AMAT'!G42</f>
        <v/>
      </c>
    </row>
    <row r="57">
      <c r="A57" s="11" t="inlineStr">
        <is>
          <t xml:space="preserve">    LRCX</t>
        </is>
      </c>
      <c r="B57" s="42">
        <f>'Ratios LRCX'!B42</f>
        <v/>
      </c>
      <c r="C57" s="42">
        <f>'Ratios LRCX'!C42</f>
        <v/>
      </c>
      <c r="D57" s="42">
        <f>'Ratios LRCX'!D42</f>
        <v/>
      </c>
      <c r="E57" s="42">
        <f>'Ratios LRCX'!E42</f>
        <v/>
      </c>
      <c r="F57" s="42">
        <f>'Ratios LRCX'!F42</f>
        <v/>
      </c>
      <c r="G57" s="42">
        <f>'Ratios LRCX'!G42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Financial Forecast</t>
        </is>
      </c>
    </row>
    <row r="2">
      <c r="A2" s="15" t="inlineStr">
        <is>
          <t>(EUR 000)</t>
        </is>
      </c>
    </row>
    <row r="3">
      <c r="A3" s="22" t="n"/>
      <c r="B3" s="16" t="n">
        <v>2022</v>
      </c>
      <c r="C3" s="16" t="n">
        <v>2023</v>
      </c>
      <c r="D3" s="16" t="n">
        <v>2024</v>
      </c>
      <c r="E3" s="16" t="inlineStr">
        <is>
          <t>2025E</t>
        </is>
      </c>
      <c r="F3" s="16" t="inlineStr">
        <is>
          <t>2026E</t>
        </is>
      </c>
      <c r="G3" s="16" t="inlineStr">
        <is>
          <t>2027E</t>
        </is>
      </c>
      <c r="H3" s="16" t="inlineStr">
        <is>
          <t>2028E</t>
        </is>
      </c>
      <c r="I3" s="16" t="inlineStr">
        <is>
          <t>2029E</t>
        </is>
      </c>
      <c r="J3" s="16" t="inlineStr">
        <is>
          <t>2030E</t>
        </is>
      </c>
    </row>
    <row r="4"/>
    <row r="5">
      <c r="A5" s="19" t="inlineStr">
        <is>
          <t>FORECAST ASSUMPTIONS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</row>
    <row r="6">
      <c r="A6" s="11" t="inlineStr">
        <is>
          <t>Revenue Growth Rate</t>
        </is>
      </c>
      <c r="B6" s="28">
        <f>IF('Adj ASM'!D9&lt;&gt;0,'Adj ASM'!E9/'Adj ASM'!D9-1,0)</f>
        <v/>
      </c>
      <c r="C6" s="28">
        <f>IF('Adj ASM'!E9&lt;&gt;0,'Adj ASM'!F9/'Adj ASM'!E9-1,0)</f>
        <v/>
      </c>
      <c r="D6" s="28">
        <f>IF('Adj ASM'!F9&lt;&gt;0,'Adj ASM'!G9/'Adj ASM'!F9-1,0)</f>
        <v/>
      </c>
      <c r="E6" s="17" t="n">
        <v>0.12</v>
      </c>
      <c r="F6" s="17" t="n">
        <v>0.1</v>
      </c>
      <c r="G6" s="17" t="n">
        <v>0.08</v>
      </c>
      <c r="H6" s="17" t="n">
        <v>0.06</v>
      </c>
      <c r="I6" s="17" t="n">
        <v>0.04</v>
      </c>
      <c r="J6" s="17" t="n">
        <v>0.03</v>
      </c>
    </row>
    <row r="7">
      <c r="A7" s="11" t="inlineStr">
        <is>
          <t>Gross Profit Margin</t>
        </is>
      </c>
      <c r="B7" s="28">
        <f>IF('Adj ASM'!E9&lt;&gt;0,'Adj ASM'!E11/'Adj ASM'!E9,0)</f>
        <v/>
      </c>
      <c r="C7" s="28">
        <f>IF('Adj ASM'!F9&lt;&gt;0,'Adj ASM'!F11/'Adj ASM'!F9,0)</f>
        <v/>
      </c>
      <c r="D7" s="28">
        <f>IF('Adj ASM'!G9&lt;&gt;0,'Adj ASM'!G11/'Adj ASM'!G9,0)</f>
        <v/>
      </c>
      <c r="E7" s="17" t="n">
        <v>0.505</v>
      </c>
      <c r="F7" s="17" t="n">
        <v>0.505</v>
      </c>
      <c r="G7" s="17" t="n">
        <v>0.51</v>
      </c>
      <c r="H7" s="17" t="n">
        <v>0.51</v>
      </c>
      <c r="I7" s="17" t="n">
        <v>0.51</v>
      </c>
      <c r="J7" s="17" t="n">
        <v>0.51</v>
      </c>
    </row>
    <row r="8">
      <c r="A8" s="11" t="inlineStr">
        <is>
          <t>SG&amp;A / Revenue</t>
        </is>
      </c>
      <c r="B8" s="28">
        <f>IF('Adj ASM'!E9&lt;&gt;0,'Adj ASM'!E12/'Adj ASM'!E9,0)</f>
        <v/>
      </c>
      <c r="C8" s="28">
        <f>IF('Adj ASM'!F9&lt;&gt;0,'Adj ASM'!F12/'Adj ASM'!F9,0)</f>
        <v/>
      </c>
      <c r="D8" s="28">
        <f>IF('Adj ASM'!G9&lt;&gt;0,'Adj ASM'!G12/'Adj ASM'!G9,0)</f>
        <v/>
      </c>
      <c r="E8" s="17" t="n">
        <v>0.108</v>
      </c>
      <c r="F8" s="17" t="n">
        <v>0.105</v>
      </c>
      <c r="G8" s="17" t="n">
        <v>0.102</v>
      </c>
      <c r="H8" s="17" t="n">
        <v>0.1</v>
      </c>
      <c r="I8" s="17" t="n">
        <v>0.1</v>
      </c>
      <c r="J8" s="17" t="n">
        <v>0.1</v>
      </c>
    </row>
    <row r="9">
      <c r="A9" s="11" t="inlineStr">
        <is>
          <t>R&amp;D / Revenue</t>
        </is>
      </c>
      <c r="B9" s="28">
        <f>IF('Adj ASM'!E9&lt;&gt;0,'Adj ASM'!E13/'Adj ASM'!E9,0)</f>
        <v/>
      </c>
      <c r="C9" s="28">
        <f>IF('Adj ASM'!F9&lt;&gt;0,'Adj ASM'!F13/'Adj ASM'!F9,0)</f>
        <v/>
      </c>
      <c r="D9" s="28">
        <f>IF('Adj ASM'!G9&lt;&gt;0,'Adj ASM'!G13/'Adj ASM'!G9,0)</f>
        <v/>
      </c>
      <c r="E9" s="17" t="n">
        <v>0.126</v>
      </c>
      <c r="F9" s="17" t="n">
        <v>0.125</v>
      </c>
      <c r="G9" s="17" t="n">
        <v>0.123</v>
      </c>
      <c r="H9" s="17" t="n">
        <v>0.12</v>
      </c>
      <c r="I9" s="17" t="n">
        <v>0.12</v>
      </c>
      <c r="J9" s="17" t="n">
        <v>0.12</v>
      </c>
    </row>
    <row r="10">
      <c r="A10" s="11" t="inlineStr">
        <is>
          <t>D&amp;A / Revenue</t>
        </is>
      </c>
      <c r="B10" s="28">
        <f>IF('Adj ASM'!E9&lt;&gt;0,'Adj ASM'!E14/'Adj ASM'!E9,0)</f>
        <v/>
      </c>
      <c r="C10" s="28">
        <f>IF('Adj ASM'!F9&lt;&gt;0,'Adj ASM'!F14/'Adj ASM'!F9,0)</f>
        <v/>
      </c>
      <c r="D10" s="28">
        <f>IF('Adj ASM'!G9&lt;&gt;0,'Adj ASM'!G14/'Adj ASM'!G9,0)</f>
        <v/>
      </c>
      <c r="E10" s="17" t="n">
        <v>0.037</v>
      </c>
      <c r="F10" s="17" t="n">
        <v>0.037</v>
      </c>
      <c r="G10" s="17" t="n">
        <v>0.037</v>
      </c>
      <c r="H10" s="17" t="n">
        <v>0.035</v>
      </c>
      <c r="I10" s="17" t="n">
        <v>0.035</v>
      </c>
      <c r="J10" s="17" t="n">
        <v>0.035</v>
      </c>
    </row>
    <row r="11">
      <c r="A11" s="11" t="inlineStr">
        <is>
          <t>Tax Rate</t>
        </is>
      </c>
      <c r="B11" s="28">
        <f>'Adj ASM'!E35</f>
        <v/>
      </c>
      <c r="C11" s="28">
        <f>'Adj ASM'!F35</f>
        <v/>
      </c>
      <c r="D11" s="28">
        <f>'Adj ASM'!G35</f>
        <v/>
      </c>
      <c r="E11" s="17" t="n">
        <v>0.21</v>
      </c>
      <c r="F11" s="17" t="n">
        <v>0.21</v>
      </c>
      <c r="G11" s="17" t="n">
        <v>0.21</v>
      </c>
      <c r="H11" s="17" t="n">
        <v>0.21</v>
      </c>
      <c r="I11" s="17" t="n">
        <v>0.21</v>
      </c>
      <c r="J11" s="17" t="n">
        <v>0.21</v>
      </c>
    </row>
    <row r="12">
      <c r="A12" s="11" t="inlineStr">
        <is>
          <t>OWC / Revenue</t>
        </is>
      </c>
      <c r="B12" s="28">
        <f>IF('Adj ASM'!E9&lt;&gt;0,'Adj ASM'!E54/'Adj ASM'!E9,0)</f>
        <v/>
      </c>
      <c r="C12" s="28">
        <f>IF('Adj ASM'!F9&lt;&gt;0,'Adj ASM'!F54/'Adj ASM'!F9,0)</f>
        <v/>
      </c>
      <c r="D12" s="28">
        <f>IF('Adj ASM'!G9&lt;&gt;0,'Adj ASM'!G54/'Adj ASM'!G9,0)</f>
        <v/>
      </c>
      <c r="E12" s="17" t="n">
        <v>0.05</v>
      </c>
      <c r="F12" s="17" t="n">
        <v>0.05</v>
      </c>
      <c r="G12" s="17" t="n">
        <v>0.05</v>
      </c>
      <c r="H12" s="17" t="n">
        <v>0.05</v>
      </c>
      <c r="I12" s="17" t="n">
        <v>0.05</v>
      </c>
      <c r="J12" s="17" t="n">
        <v>0.05</v>
      </c>
    </row>
    <row r="13">
      <c r="A13" s="11" t="inlineStr">
        <is>
          <t>Net NCA / Revenue</t>
        </is>
      </c>
      <c r="B13" s="28">
        <f>IF('Adj ASM'!E9&lt;&gt;0,'Adj ASM'!E65/'Adj ASM'!E9,0)</f>
        <v/>
      </c>
      <c r="C13" s="28">
        <f>IF('Adj ASM'!F9&lt;&gt;0,'Adj ASM'!F65/'Adj ASM'!F9,0)</f>
        <v/>
      </c>
      <c r="D13" s="28">
        <f>IF('Adj ASM'!G9&lt;&gt;0,'Adj ASM'!G65/'Adj ASM'!G9,0)</f>
        <v/>
      </c>
      <c r="E13" s="17" t="n">
        <v>0.4</v>
      </c>
      <c r="F13" s="17" t="n">
        <v>0.4</v>
      </c>
      <c r="G13" s="17" t="n">
        <v>0.39</v>
      </c>
      <c r="H13" s="17" t="n">
        <v>0.38</v>
      </c>
      <c r="I13" s="17" t="n">
        <v>0.37</v>
      </c>
      <c r="J13" s="17" t="n">
        <v>0.36</v>
      </c>
    </row>
    <row r="14">
      <c r="A14" s="11" t="inlineStr">
        <is>
          <t>Investment Assets / Revenue</t>
        </is>
      </c>
      <c r="B14" s="28">
        <f>IF('Adj ASM'!E9&lt;&gt;0,'Adj ASM'!E71/'Adj ASM'!E9,0)</f>
        <v/>
      </c>
      <c r="C14" s="28">
        <f>IF('Adj ASM'!F9&lt;&gt;0,'Adj ASM'!F71/'Adj ASM'!F9,0)</f>
        <v/>
      </c>
      <c r="D14" s="28">
        <f>IF('Adj ASM'!G9&lt;&gt;0,'Adj ASM'!G71/'Adj ASM'!G9,0)</f>
        <v/>
      </c>
      <c r="E14" s="17" t="n">
        <v>0.3</v>
      </c>
      <c r="F14" s="17" t="n">
        <v>0.29</v>
      </c>
      <c r="G14" s="17" t="n">
        <v>0.28</v>
      </c>
      <c r="H14" s="17" t="n">
        <v>0.27</v>
      </c>
      <c r="I14" s="17" t="n">
        <v>0.26</v>
      </c>
      <c r="J14" s="17" t="n">
        <v>0.25</v>
      </c>
    </row>
    <row r="15">
      <c r="A15" s="11" t="inlineStr">
        <is>
          <t>Debt / Capital</t>
        </is>
      </c>
      <c r="B15" s="28">
        <f>IF('Adj ASM'!E82&lt;&gt;0,'Adj ASM'!E78/'Adj ASM'!E82,0)</f>
        <v/>
      </c>
      <c r="C15" s="28">
        <f>IF('Adj ASM'!F82&lt;&gt;0,'Adj ASM'!F78/'Adj ASM'!F82,0)</f>
        <v/>
      </c>
      <c r="D15" s="28">
        <f>IF('Adj ASM'!G82&lt;&gt;0,'Adj ASM'!G78/'Adj ASM'!G82,0)</f>
        <v/>
      </c>
      <c r="E15" s="17" t="n">
        <v>0.01</v>
      </c>
      <c r="F15" s="17" t="n">
        <v>0.01</v>
      </c>
      <c r="G15" s="17" t="n">
        <v>0.01</v>
      </c>
      <c r="H15" s="17" t="n">
        <v>0.01</v>
      </c>
      <c r="I15" s="17" t="n">
        <v>0.01</v>
      </c>
      <c r="J15" s="17" t="n">
        <v>0.01</v>
      </c>
    </row>
    <row r="16">
      <c r="A16" s="11" t="inlineStr">
        <is>
          <t>Terminal Growth Rate</t>
        </is>
      </c>
      <c r="J16" s="17" t="n">
        <v>0.025</v>
      </c>
    </row>
    <row r="18">
      <c r="A18" s="19" t="inlineStr">
        <is>
          <t>CONDENSED INCOME STATEMENT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</row>
    <row r="19">
      <c r="A19" s="22" t="inlineStr">
        <is>
          <t>Revenue</t>
        </is>
      </c>
      <c r="B19" s="21">
        <f>'Adj ASM'!E9</f>
        <v/>
      </c>
      <c r="C19" s="21">
        <f>'Adj ASM'!F9</f>
        <v/>
      </c>
      <c r="D19" s="21">
        <f>'Adj ASM'!G9</f>
        <v/>
      </c>
      <c r="E19" s="23">
        <f>D19*(1+E6)</f>
        <v/>
      </c>
      <c r="F19" s="23">
        <f>E19*(1+F6)</f>
        <v/>
      </c>
      <c r="G19" s="23">
        <f>F19*(1+G6)</f>
        <v/>
      </c>
      <c r="H19" s="23">
        <f>G19*(1+H6)</f>
        <v/>
      </c>
      <c r="I19" s="23">
        <f>H19*(1+I6)</f>
        <v/>
      </c>
      <c r="J19" s="23">
        <f>I19*(1+J6)</f>
        <v/>
      </c>
    </row>
    <row r="20">
      <c r="A20" s="11" t="inlineStr">
        <is>
          <t xml:space="preserve">  Revenue Growth</t>
        </is>
      </c>
      <c r="B20" s="28">
        <f>B6</f>
        <v/>
      </c>
      <c r="C20" s="28">
        <f>C6</f>
        <v/>
      </c>
      <c r="D20" s="28">
        <f>D6</f>
        <v/>
      </c>
      <c r="E20" s="28">
        <f>E6</f>
        <v/>
      </c>
      <c r="F20" s="28">
        <f>F6</f>
        <v/>
      </c>
      <c r="G20" s="28">
        <f>G6</f>
        <v/>
      </c>
      <c r="H20" s="28">
        <f>H6</f>
        <v/>
      </c>
      <c r="I20" s="28">
        <f>I6</f>
        <v/>
      </c>
      <c r="J20" s="28">
        <f>J6</f>
        <v/>
      </c>
    </row>
    <row r="22">
      <c r="A22" s="22" t="inlineStr">
        <is>
          <t>Gross Profit</t>
        </is>
      </c>
      <c r="B22" s="21">
        <f>'Adj ASM'!E11</f>
        <v/>
      </c>
      <c r="C22" s="21">
        <f>'Adj ASM'!F11</f>
        <v/>
      </c>
      <c r="D22" s="21">
        <f>'Adj ASM'!G11</f>
        <v/>
      </c>
      <c r="E22" s="23">
        <f>E19*E7</f>
        <v/>
      </c>
      <c r="F22" s="23">
        <f>F19*F7</f>
        <v/>
      </c>
      <c r="G22" s="23">
        <f>G19*G7</f>
        <v/>
      </c>
      <c r="H22" s="23">
        <f>H19*H7</f>
        <v/>
      </c>
      <c r="I22" s="23">
        <f>I19*I7</f>
        <v/>
      </c>
      <c r="J22" s="23">
        <f>J19*J7</f>
        <v/>
      </c>
    </row>
    <row r="23">
      <c r="A23" s="11" t="inlineStr">
        <is>
          <t xml:space="preserve">  Gross Margin</t>
        </is>
      </c>
      <c r="B23" s="28">
        <f>IF(B19&lt;&gt;0,B22/B19,0)</f>
        <v/>
      </c>
      <c r="C23" s="28">
        <f>IF(C19&lt;&gt;0,C22/C19,0)</f>
        <v/>
      </c>
      <c r="D23" s="28">
        <f>IF(D19&lt;&gt;0,D22/D19,0)</f>
        <v/>
      </c>
      <c r="E23" s="28">
        <f>E7</f>
        <v/>
      </c>
      <c r="F23" s="28">
        <f>F7</f>
        <v/>
      </c>
      <c r="G23" s="28">
        <f>G7</f>
        <v/>
      </c>
      <c r="H23" s="28">
        <f>H7</f>
        <v/>
      </c>
      <c r="I23" s="28">
        <f>I7</f>
        <v/>
      </c>
      <c r="J23" s="28">
        <f>J7</f>
        <v/>
      </c>
    </row>
    <row r="24">
      <c r="A24" s="11" t="inlineStr">
        <is>
          <t xml:space="preserve">  SG&amp;A</t>
        </is>
      </c>
      <c r="B24" s="21">
        <f>'Adj ASM'!E12</f>
        <v/>
      </c>
      <c r="C24" s="21">
        <f>'Adj ASM'!F12</f>
        <v/>
      </c>
      <c r="D24" s="21">
        <f>'Adj ASM'!G12</f>
        <v/>
      </c>
      <c r="E24" s="31">
        <f>E19*E8</f>
        <v/>
      </c>
      <c r="F24" s="31">
        <f>F19*F8</f>
        <v/>
      </c>
      <c r="G24" s="31">
        <f>G19*G8</f>
        <v/>
      </c>
      <c r="H24" s="31">
        <f>H19*H8</f>
        <v/>
      </c>
      <c r="I24" s="31">
        <f>I19*I8</f>
        <v/>
      </c>
      <c r="J24" s="31">
        <f>J19*J8</f>
        <v/>
      </c>
    </row>
    <row r="25">
      <c r="A25" s="11" t="inlineStr">
        <is>
          <t xml:space="preserve">  R&amp;D</t>
        </is>
      </c>
      <c r="B25" s="21">
        <f>'Adj ASM'!E13</f>
        <v/>
      </c>
      <c r="C25" s="21">
        <f>'Adj ASM'!F13</f>
        <v/>
      </c>
      <c r="D25" s="21">
        <f>'Adj ASM'!G13</f>
        <v/>
      </c>
      <c r="E25" s="31">
        <f>E19*E9</f>
        <v/>
      </c>
      <c r="F25" s="31">
        <f>F19*F9</f>
        <v/>
      </c>
      <c r="G25" s="31">
        <f>G19*G9</f>
        <v/>
      </c>
      <c r="H25" s="31">
        <f>H19*H9</f>
        <v/>
      </c>
      <c r="I25" s="31">
        <f>I19*I9</f>
        <v/>
      </c>
      <c r="J25" s="31">
        <f>J19*J9</f>
        <v/>
      </c>
    </row>
    <row r="26">
      <c r="A26" s="11" t="inlineStr">
        <is>
          <t xml:space="preserve">  D&amp;A</t>
        </is>
      </c>
      <c r="B26" s="21">
        <f>'Adj ASM'!E14</f>
        <v/>
      </c>
      <c r="C26" s="21">
        <f>'Adj ASM'!F14</f>
        <v/>
      </c>
      <c r="D26" s="21">
        <f>'Adj ASM'!G14</f>
        <v/>
      </c>
      <c r="E26" s="31">
        <f>E19*E10</f>
        <v/>
      </c>
      <c r="F26" s="31">
        <f>F19*F10</f>
        <v/>
      </c>
      <c r="G26" s="31">
        <f>G19*G10</f>
        <v/>
      </c>
      <c r="H26" s="31">
        <f>H19*H10</f>
        <v/>
      </c>
      <c r="I26" s="31">
        <f>I19*I10</f>
        <v/>
      </c>
      <c r="J26" s="31">
        <f>J19*J10</f>
        <v/>
      </c>
    </row>
    <row r="27">
      <c r="A27" s="24" t="inlineStr">
        <is>
          <t>EBIT</t>
        </is>
      </c>
      <c r="B27" s="25">
        <f>'Adj ASM'!E25</f>
        <v/>
      </c>
      <c r="C27" s="25">
        <f>'Adj ASM'!F25</f>
        <v/>
      </c>
      <c r="D27" s="25">
        <f>'Adj ASM'!G25</f>
        <v/>
      </c>
      <c r="E27" s="25">
        <f>E22-E24-E25-E26</f>
        <v/>
      </c>
      <c r="F27" s="25">
        <f>F22-F24-F25-F26</f>
        <v/>
      </c>
      <c r="G27" s="25">
        <f>G22-G24-G25-G26</f>
        <v/>
      </c>
      <c r="H27" s="25">
        <f>H22-H24-H25-H26</f>
        <v/>
      </c>
      <c r="I27" s="25">
        <f>I22-I24-I25-I26</f>
        <v/>
      </c>
      <c r="J27" s="25">
        <f>J22-J24-J25-J26</f>
        <v/>
      </c>
    </row>
    <row r="28">
      <c r="A28" s="11" t="inlineStr">
        <is>
          <t xml:space="preserve">  EBIT Margin</t>
        </is>
      </c>
      <c r="B28" s="28">
        <f>IF(B19&lt;&gt;0,B27/B19,0)</f>
        <v/>
      </c>
      <c r="C28" s="28">
        <f>IF(C19&lt;&gt;0,C27/C19,0)</f>
        <v/>
      </c>
      <c r="D28" s="28">
        <f>IF(D19&lt;&gt;0,D27/D19,0)</f>
        <v/>
      </c>
      <c r="E28" s="28">
        <f>IF(E19&lt;&gt;0,E27/E19,0)</f>
        <v/>
      </c>
      <c r="F28" s="28">
        <f>IF(F19&lt;&gt;0,F27/F19,0)</f>
        <v/>
      </c>
      <c r="G28" s="28">
        <f>IF(G19&lt;&gt;0,G27/G19,0)</f>
        <v/>
      </c>
      <c r="H28" s="28">
        <f>IF(H19&lt;&gt;0,H27/H19,0)</f>
        <v/>
      </c>
      <c r="I28" s="28">
        <f>IF(I19&lt;&gt;0,I27/I19,0)</f>
        <v/>
      </c>
      <c r="J28" s="28">
        <f>IF(J19&lt;&gt;0,J27/J19,0)</f>
        <v/>
      </c>
    </row>
    <row r="29">
      <c r="A29" s="11" t="inlineStr">
        <is>
          <t xml:space="preserve">  Tax on EBIT</t>
        </is>
      </c>
      <c r="B29" s="31">
        <f>B27*B11</f>
        <v/>
      </c>
      <c r="C29" s="31">
        <f>C27*C11</f>
        <v/>
      </c>
      <c r="D29" s="31">
        <f>D27*D11</f>
        <v/>
      </c>
      <c r="E29" s="31">
        <f>E27*E11</f>
        <v/>
      </c>
      <c r="F29" s="31">
        <f>F27*F11</f>
        <v/>
      </c>
      <c r="G29" s="31">
        <f>G27*G11</f>
        <v/>
      </c>
      <c r="H29" s="31">
        <f>H27*H11</f>
        <v/>
      </c>
      <c r="I29" s="31">
        <f>I27*I11</f>
        <v/>
      </c>
      <c r="J29" s="31">
        <f>J27*J11</f>
        <v/>
      </c>
    </row>
    <row r="30">
      <c r="A30" s="24" t="inlineStr">
        <is>
          <t>NOPAT</t>
        </is>
      </c>
      <c r="B30" s="25">
        <f>'Adj ASM'!E36</f>
        <v/>
      </c>
      <c r="C30" s="25">
        <f>'Adj ASM'!F36</f>
        <v/>
      </c>
      <c r="D30" s="25">
        <f>'Adj ASM'!G36</f>
        <v/>
      </c>
      <c r="E30" s="25">
        <f>E27-E29</f>
        <v/>
      </c>
      <c r="F30" s="25">
        <f>F27-F29</f>
        <v/>
      </c>
      <c r="G30" s="25">
        <f>G27-G29</f>
        <v/>
      </c>
      <c r="H30" s="25">
        <f>H27-H29</f>
        <v/>
      </c>
      <c r="I30" s="25">
        <f>I27-I29</f>
        <v/>
      </c>
      <c r="J30" s="25">
        <f>J27-J29</f>
        <v/>
      </c>
    </row>
    <row r="31">
      <c r="A31" s="11" t="inlineStr">
        <is>
          <t xml:space="preserve">  NOPAT Margin</t>
        </is>
      </c>
      <c r="B31" s="28">
        <f>IF(B19&lt;&gt;0,B30/B19,0)</f>
        <v/>
      </c>
      <c r="C31" s="28">
        <f>IF(C19&lt;&gt;0,C30/C19,0)</f>
        <v/>
      </c>
      <c r="D31" s="28">
        <f>IF(D19&lt;&gt;0,D30/D19,0)</f>
        <v/>
      </c>
      <c r="E31" s="28">
        <f>IF(E19&lt;&gt;0,E30/E19,0)</f>
        <v/>
      </c>
      <c r="F31" s="28">
        <f>IF(F19&lt;&gt;0,F30/F19,0)</f>
        <v/>
      </c>
      <c r="G31" s="28">
        <f>IF(G19&lt;&gt;0,G30/G19,0)</f>
        <v/>
      </c>
      <c r="H31" s="28">
        <f>IF(H19&lt;&gt;0,H30/H19,0)</f>
        <v/>
      </c>
      <c r="I31" s="28">
        <f>IF(I19&lt;&gt;0,I30/I19,0)</f>
        <v/>
      </c>
      <c r="J31" s="28">
        <f>IF(J19&lt;&gt;0,J30/J19,0)</f>
        <v/>
      </c>
    </row>
    <row r="33">
      <c r="A33" s="11" t="inlineStr">
        <is>
          <t xml:space="preserve">  Investment Income</t>
        </is>
      </c>
      <c r="B33" s="21">
        <f>'Adj ASM'!E27</f>
        <v/>
      </c>
      <c r="C33" s="21">
        <f>'Adj ASM'!F27</f>
        <v/>
      </c>
      <c r="D33" s="21">
        <f>'Adj ASM'!G27</f>
        <v/>
      </c>
      <c r="E33" s="31">
        <f>D33</f>
        <v/>
      </c>
      <c r="F33" s="31">
        <f>D33</f>
        <v/>
      </c>
      <c r="G33" s="31">
        <f>D33</f>
        <v/>
      </c>
      <c r="H33" s="31">
        <f>D33</f>
        <v/>
      </c>
      <c r="I33" s="31">
        <f>D33</f>
        <v/>
      </c>
      <c r="J33" s="31">
        <f>D33</f>
        <v/>
      </c>
    </row>
    <row r="34">
      <c r="A34" s="11" t="inlineStr">
        <is>
          <t xml:space="preserve">  Interest Expense</t>
        </is>
      </c>
      <c r="B34" s="21">
        <f>'Adj ASM'!E29</f>
        <v/>
      </c>
      <c r="C34" s="21">
        <f>'Adj ASM'!F29</f>
        <v/>
      </c>
      <c r="D34" s="21">
        <f>'Adj ASM'!G29</f>
        <v/>
      </c>
      <c r="E34" s="31">
        <f>D34</f>
        <v/>
      </c>
      <c r="F34" s="31">
        <f>D34</f>
        <v/>
      </c>
      <c r="G34" s="31">
        <f>D34</f>
        <v/>
      </c>
      <c r="H34" s="31">
        <f>D34</f>
        <v/>
      </c>
      <c r="I34" s="31">
        <f>D34</f>
        <v/>
      </c>
      <c r="J34" s="31">
        <f>D34</f>
        <v/>
      </c>
    </row>
    <row r="35">
      <c r="A35" s="26" t="inlineStr">
        <is>
          <t>Net Income</t>
        </is>
      </c>
      <c r="B35" s="43">
        <f>'Adj ASM'!E33</f>
        <v/>
      </c>
      <c r="C35" s="43">
        <f>'Adj ASM'!F33</f>
        <v/>
      </c>
      <c r="D35" s="43">
        <f>'Adj ASM'!G33</f>
        <v/>
      </c>
      <c r="E35" s="27">
        <f>E30+E33+E34</f>
        <v/>
      </c>
      <c r="F35" s="27">
        <f>F30+F33+F34</f>
        <v/>
      </c>
      <c r="G35" s="27">
        <f>G30+G33+G34</f>
        <v/>
      </c>
      <c r="H35" s="27">
        <f>H30+H33+H34</f>
        <v/>
      </c>
      <c r="I35" s="27">
        <f>I30+I33+I34</f>
        <v/>
      </c>
      <c r="J35" s="27">
        <f>J30+J33+J34</f>
        <v/>
      </c>
    </row>
    <row r="37">
      <c r="A37" s="19" t="inlineStr">
        <is>
          <t>CONDENSED BALANCE SHEET</t>
        </is>
      </c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</row>
    <row r="38">
      <c r="A38" s="11" t="inlineStr">
        <is>
          <t>Operating Working Capital</t>
        </is>
      </c>
      <c r="B38" s="21">
        <f>'Adj ASM'!E54</f>
        <v/>
      </c>
      <c r="C38" s="21">
        <f>'Adj ASM'!F54</f>
        <v/>
      </c>
      <c r="D38" s="21">
        <f>'Adj ASM'!G54</f>
        <v/>
      </c>
      <c r="E38" s="31">
        <f>E19*E12</f>
        <v/>
      </c>
      <c r="F38" s="31">
        <f>F19*F12</f>
        <v/>
      </c>
      <c r="G38" s="31">
        <f>G19*G12</f>
        <v/>
      </c>
      <c r="H38" s="31">
        <f>H19*H12</f>
        <v/>
      </c>
      <c r="I38" s="31">
        <f>I19*I12</f>
        <v/>
      </c>
      <c r="J38" s="31">
        <f>J19*J12</f>
        <v/>
      </c>
    </row>
    <row r="39">
      <c r="A39" s="11" t="inlineStr">
        <is>
          <t>+ Net Non-Current Operating Assets</t>
        </is>
      </c>
      <c r="B39" s="21">
        <f>'Adj ASM'!E65</f>
        <v/>
      </c>
      <c r="C39" s="21">
        <f>'Adj ASM'!F65</f>
        <v/>
      </c>
      <c r="D39" s="21">
        <f>'Adj ASM'!G65</f>
        <v/>
      </c>
      <c r="E39" s="31">
        <f>E19*E13</f>
        <v/>
      </c>
      <c r="F39" s="31">
        <f>F19*F13</f>
        <v/>
      </c>
      <c r="G39" s="31">
        <f>G19*G13</f>
        <v/>
      </c>
      <c r="H39" s="31">
        <f>H19*H13</f>
        <v/>
      </c>
      <c r="I39" s="31">
        <f>I19*I13</f>
        <v/>
      </c>
      <c r="J39" s="31">
        <f>J19*J13</f>
        <v/>
      </c>
    </row>
    <row r="40">
      <c r="A40" s="24">
        <f> Net Operating Assets</f>
        <v/>
      </c>
      <c r="B40" s="25">
        <f>'Adj ASM'!E67</f>
        <v/>
      </c>
      <c r="C40" s="25">
        <f>'Adj ASM'!F67</f>
        <v/>
      </c>
      <c r="D40" s="25">
        <f>'Adj ASM'!G67</f>
        <v/>
      </c>
      <c r="E40" s="25">
        <f>E38+E39</f>
        <v/>
      </c>
      <c r="F40" s="25">
        <f>F38+F39</f>
        <v/>
      </c>
      <c r="G40" s="25">
        <f>G38+G39</f>
        <v/>
      </c>
      <c r="H40" s="25">
        <f>H38+H39</f>
        <v/>
      </c>
      <c r="I40" s="25">
        <f>I38+I39</f>
        <v/>
      </c>
      <c r="J40" s="25">
        <f>J38+J39</f>
        <v/>
      </c>
    </row>
    <row r="42">
      <c r="A42" s="11" t="inlineStr">
        <is>
          <t>+ Investment Assets</t>
        </is>
      </c>
      <c r="B42" s="21">
        <f>'Adj ASM'!E71</f>
        <v/>
      </c>
      <c r="C42" s="21">
        <f>'Adj ASM'!F71</f>
        <v/>
      </c>
      <c r="D42" s="21">
        <f>'Adj ASM'!G71</f>
        <v/>
      </c>
      <c r="E42" s="31">
        <f>E19*E14</f>
        <v/>
      </c>
      <c r="F42" s="31">
        <f>F19*F14</f>
        <v/>
      </c>
      <c r="G42" s="31">
        <f>G19*G14</f>
        <v/>
      </c>
      <c r="H42" s="31">
        <f>H19*H14</f>
        <v/>
      </c>
      <c r="I42" s="31">
        <f>I19*I14</f>
        <v/>
      </c>
      <c r="J42" s="31">
        <f>J19*J14</f>
        <v/>
      </c>
    </row>
    <row r="43">
      <c r="A43" s="26">
        <f> Business Assets</f>
        <v/>
      </c>
      <c r="B43" s="43">
        <f>'Adj ASM'!E73</f>
        <v/>
      </c>
      <c r="C43" s="43">
        <f>'Adj ASM'!F73</f>
        <v/>
      </c>
      <c r="D43" s="43">
        <f>'Adj ASM'!G73</f>
        <v/>
      </c>
      <c r="E43" s="27">
        <f>E40+E42</f>
        <v/>
      </c>
      <c r="F43" s="27">
        <f>F40+F42</f>
        <v/>
      </c>
      <c r="G43" s="27">
        <f>G40+G42</f>
        <v/>
      </c>
      <c r="H43" s="27">
        <f>H40+H42</f>
        <v/>
      </c>
      <c r="I43" s="27">
        <f>I40+I42</f>
        <v/>
      </c>
      <c r="J43" s="27">
        <f>J40+J42</f>
        <v/>
      </c>
    </row>
    <row r="45">
      <c r="A45" s="22">
        <f> Invested Capital</f>
        <v/>
      </c>
      <c r="B45" s="21">
        <f>'Adj ASM'!E82</f>
        <v/>
      </c>
      <c r="C45" s="21">
        <f>'Adj ASM'!F82</f>
        <v/>
      </c>
      <c r="D45" s="21">
        <f>'Adj ASM'!G82</f>
        <v/>
      </c>
      <c r="E45" s="23">
        <f>E43</f>
        <v/>
      </c>
      <c r="F45" s="23">
        <f>F43</f>
        <v/>
      </c>
      <c r="G45" s="23">
        <f>G43</f>
        <v/>
      </c>
      <c r="H45" s="23">
        <f>H43</f>
        <v/>
      </c>
      <c r="I45" s="23">
        <f>I43</f>
        <v/>
      </c>
      <c r="J45" s="23">
        <f>J43</f>
        <v/>
      </c>
    </row>
    <row r="46">
      <c r="A46" s="11" t="inlineStr">
        <is>
          <t xml:space="preserve">  Debt</t>
        </is>
      </c>
      <c r="B46" s="21">
        <f>'Adj ASM'!E78</f>
        <v/>
      </c>
      <c r="C46" s="21">
        <f>'Adj ASM'!F78</f>
        <v/>
      </c>
      <c r="D46" s="21">
        <f>'Adj ASM'!G78</f>
        <v/>
      </c>
      <c r="E46" s="31">
        <f>E45*E15</f>
        <v/>
      </c>
      <c r="F46" s="31">
        <f>F45*F15</f>
        <v/>
      </c>
      <c r="G46" s="31">
        <f>G45*G15</f>
        <v/>
      </c>
      <c r="H46" s="31">
        <f>H45*H15</f>
        <v/>
      </c>
      <c r="I46" s="31">
        <f>I45*I15</f>
        <v/>
      </c>
      <c r="J46" s="31">
        <f>J45*J15</f>
        <v/>
      </c>
    </row>
    <row r="47">
      <c r="A47" s="11" t="inlineStr">
        <is>
          <t xml:space="preserve">  Group Equity</t>
        </is>
      </c>
      <c r="B47" s="21">
        <f>'Adj ASM'!E81</f>
        <v/>
      </c>
      <c r="C47" s="21">
        <f>'Adj ASM'!F81</f>
        <v/>
      </c>
      <c r="D47" s="21">
        <f>'Adj ASM'!G81</f>
        <v/>
      </c>
      <c r="E47" s="31">
        <f>E45-E46</f>
        <v/>
      </c>
      <c r="F47" s="31">
        <f>F45-F46</f>
        <v/>
      </c>
      <c r="G47" s="31">
        <f>G45-G46</f>
        <v/>
      </c>
      <c r="H47" s="31">
        <f>H45-H46</f>
        <v/>
      </c>
      <c r="I47" s="31">
        <f>I45-I46</f>
        <v/>
      </c>
      <c r="J47" s="31">
        <f>J45-J46</f>
        <v/>
      </c>
    </row>
    <row r="48">
      <c r="A48" s="22" t="inlineStr">
        <is>
          <t>BS Check (should = 0)</t>
        </is>
      </c>
      <c r="B48" s="23">
        <f>B43-B45</f>
        <v/>
      </c>
      <c r="C48" s="23">
        <f>C43-C45</f>
        <v/>
      </c>
      <c r="D48" s="23">
        <f>D43-D45</f>
        <v/>
      </c>
      <c r="E48" s="23">
        <f>E43-E45</f>
        <v/>
      </c>
      <c r="F48" s="23">
        <f>F43-F45</f>
        <v/>
      </c>
      <c r="G48" s="23">
        <f>G43-G45</f>
        <v/>
      </c>
      <c r="H48" s="23">
        <f>H43-H45</f>
        <v/>
      </c>
      <c r="I48" s="23">
        <f>I43-I45</f>
        <v/>
      </c>
      <c r="J48" s="23">
        <f>J43-J45</f>
        <v/>
      </c>
    </row>
    <row r="50">
      <c r="A50" s="19" t="inlineStr">
        <is>
          <t>FREE CASH FLOW</t>
        </is>
      </c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</row>
    <row r="51">
      <c r="A51" s="11" t="inlineStr">
        <is>
          <t>NOPAT</t>
        </is>
      </c>
      <c r="B51" s="31">
        <f>B30</f>
        <v/>
      </c>
      <c r="C51" s="31">
        <f>C30</f>
        <v/>
      </c>
      <c r="D51" s="31">
        <f>D30</f>
        <v/>
      </c>
      <c r="E51" s="31">
        <f>E30</f>
        <v/>
      </c>
      <c r="F51" s="31">
        <f>F30</f>
        <v/>
      </c>
      <c r="G51" s="31">
        <f>G30</f>
        <v/>
      </c>
      <c r="H51" s="31">
        <f>H30</f>
        <v/>
      </c>
      <c r="I51" s="31">
        <f>I30</f>
        <v/>
      </c>
      <c r="J51" s="31">
        <f>J30</f>
        <v/>
      </c>
    </row>
    <row r="52">
      <c r="A52" s="11" t="inlineStr">
        <is>
          <t>+ D&amp;A</t>
        </is>
      </c>
      <c r="B52" s="31">
        <f>B26</f>
        <v/>
      </c>
      <c r="C52" s="31">
        <f>C26</f>
        <v/>
      </c>
      <c r="D52" s="31">
        <f>D26</f>
        <v/>
      </c>
      <c r="E52" s="31">
        <f>E26</f>
        <v/>
      </c>
      <c r="F52" s="31">
        <f>F26</f>
        <v/>
      </c>
      <c r="G52" s="31">
        <f>G26</f>
        <v/>
      </c>
      <c r="H52" s="31">
        <f>H26</f>
        <v/>
      </c>
      <c r="I52" s="31">
        <f>I26</f>
        <v/>
      </c>
      <c r="J52" s="31">
        <f>J26</f>
        <v/>
      </c>
    </row>
    <row r="53">
      <c r="A53" s="11" t="inlineStr">
        <is>
          <t>- Change in OWC</t>
        </is>
      </c>
      <c r="B53" s="31">
        <f>B38-'Adj ASM'!D54</f>
        <v/>
      </c>
      <c r="C53" s="31">
        <f>C38-B38</f>
        <v/>
      </c>
      <c r="D53" s="31">
        <f>D38-C38</f>
        <v/>
      </c>
      <c r="E53" s="31">
        <f>E38-D38</f>
        <v/>
      </c>
      <c r="F53" s="31">
        <f>F38-E38</f>
        <v/>
      </c>
      <c r="G53" s="31">
        <f>G38-F38</f>
        <v/>
      </c>
      <c r="H53" s="31">
        <f>H38-G38</f>
        <v/>
      </c>
      <c r="I53" s="31">
        <f>I38-H38</f>
        <v/>
      </c>
      <c r="J53" s="31">
        <f>J38-I38</f>
        <v/>
      </c>
    </row>
    <row r="54">
      <c r="A54" s="11" t="inlineStr">
        <is>
          <t>- Change in Net NCA</t>
        </is>
      </c>
      <c r="B54" s="31">
        <f>B39-'Adj ASM'!D65</f>
        <v/>
      </c>
      <c r="C54" s="31">
        <f>C39-B39</f>
        <v/>
      </c>
      <c r="D54" s="31">
        <f>D39-C39</f>
        <v/>
      </c>
      <c r="E54" s="31">
        <f>E39-D39</f>
        <v/>
      </c>
      <c r="F54" s="31">
        <f>F39-E39</f>
        <v/>
      </c>
      <c r="G54" s="31">
        <f>G39-F39</f>
        <v/>
      </c>
      <c r="H54" s="31">
        <f>H39-G39</f>
        <v/>
      </c>
      <c r="I54" s="31">
        <f>I39-H39</f>
        <v/>
      </c>
      <c r="J54" s="31">
        <f>J39-I39</f>
        <v/>
      </c>
    </row>
    <row r="55">
      <c r="A55" s="24">
        <f> Oper CF after investment</f>
        <v/>
      </c>
      <c r="B55" s="25">
        <f>B51+B52-B53-B54</f>
        <v/>
      </c>
      <c r="C55" s="25">
        <f>C51+C52-C53-C54</f>
        <v/>
      </c>
      <c r="D55" s="25">
        <f>D51+D52-D53-D54</f>
        <v/>
      </c>
      <c r="E55" s="25">
        <f>E51+E52-E53-E54</f>
        <v/>
      </c>
      <c r="F55" s="25">
        <f>F51+F52-F53-F54</f>
        <v/>
      </c>
      <c r="G55" s="25">
        <f>G51+G52-G53-G54</f>
        <v/>
      </c>
      <c r="H55" s="25">
        <f>H51+H52-H53-H54</f>
        <v/>
      </c>
      <c r="I55" s="25">
        <f>I51+I52-I53-I54</f>
        <v/>
      </c>
      <c r="J55" s="25">
        <f>J51+J52-J53-J54</f>
        <v/>
      </c>
    </row>
    <row r="57">
      <c r="A57" s="11" t="inlineStr">
        <is>
          <t>+ Net Inv Profit after tax</t>
        </is>
      </c>
      <c r="B57" s="31">
        <f>B33*(1-B11)</f>
        <v/>
      </c>
      <c r="C57" s="31">
        <f>C33*(1-C11)</f>
        <v/>
      </c>
      <c r="D57" s="31">
        <f>D33*(1-D11)</f>
        <v/>
      </c>
      <c r="E57" s="31">
        <f>E33*(1-E11)</f>
        <v/>
      </c>
      <c r="F57" s="31">
        <f>F33*(1-F11)</f>
        <v/>
      </c>
      <c r="G57" s="31">
        <f>G33*(1-G11)</f>
        <v/>
      </c>
      <c r="H57" s="31">
        <f>H33*(1-H11)</f>
        <v/>
      </c>
      <c r="I57" s="31">
        <f>I33*(1-I11)</f>
        <v/>
      </c>
      <c r="J57" s="31">
        <f>J33*(1-J11)</f>
        <v/>
      </c>
    </row>
    <row r="58">
      <c r="A58" s="11" t="inlineStr">
        <is>
          <t>- Change in Inv Assets</t>
        </is>
      </c>
      <c r="B58" s="31">
        <f>B42-'Adj ASM'!D71</f>
        <v/>
      </c>
      <c r="C58" s="31">
        <f>C42-B42</f>
        <v/>
      </c>
      <c r="D58" s="31">
        <f>D42-C42</f>
        <v/>
      </c>
      <c r="E58" s="31">
        <f>E42-D42</f>
        <v/>
      </c>
      <c r="F58" s="31">
        <f>F42-E42</f>
        <v/>
      </c>
      <c r="G58" s="31">
        <f>G42-F42</f>
        <v/>
      </c>
      <c r="H58" s="31">
        <f>H42-G42</f>
        <v/>
      </c>
      <c r="I58" s="31">
        <f>I42-H42</f>
        <v/>
      </c>
      <c r="J58" s="31">
        <f>J42-I42</f>
        <v/>
      </c>
    </row>
    <row r="59">
      <c r="A59" s="24">
        <f> FCF to Debt &amp; Equity</f>
        <v/>
      </c>
      <c r="B59" s="25">
        <f>B55+B57-B58</f>
        <v/>
      </c>
      <c r="C59" s="25">
        <f>C55+C57-C58</f>
        <v/>
      </c>
      <c r="D59" s="25">
        <f>D55+D57-D58</f>
        <v/>
      </c>
      <c r="E59" s="25">
        <f>E55+E57-E58</f>
        <v/>
      </c>
      <c r="F59" s="25">
        <f>F55+F57-F58</f>
        <v/>
      </c>
      <c r="G59" s="25">
        <f>G55+G57-G58</f>
        <v/>
      </c>
      <c r="H59" s="25">
        <f>H55+H57-H58</f>
        <v/>
      </c>
      <c r="I59" s="25">
        <f>I55+I57-I58</f>
        <v/>
      </c>
      <c r="J59" s="25">
        <f>J55+J57-J58</f>
        <v/>
      </c>
    </row>
    <row r="60">
      <c r="A60" s="11" t="inlineStr">
        <is>
          <t>- Interest after tax</t>
        </is>
      </c>
      <c r="B60" s="31">
        <f>B34*(1-B11)</f>
        <v/>
      </c>
      <c r="C60" s="31">
        <f>C34*(1-C11)</f>
        <v/>
      </c>
      <c r="D60" s="31">
        <f>D34*(1-D11)</f>
        <v/>
      </c>
      <c r="E60" s="31">
        <f>E34*(1-E11)</f>
        <v/>
      </c>
      <c r="F60" s="31">
        <f>F34*(1-F11)</f>
        <v/>
      </c>
      <c r="G60" s="31">
        <f>G34*(1-G11)</f>
        <v/>
      </c>
      <c r="H60" s="31">
        <f>H34*(1-H11)</f>
        <v/>
      </c>
      <c r="I60" s="31">
        <f>I34*(1-I11)</f>
        <v/>
      </c>
      <c r="J60" s="31">
        <f>J34*(1-J11)</f>
        <v/>
      </c>
    </row>
    <row r="61">
      <c r="A61" s="11" t="inlineStr">
        <is>
          <t>+ Change in Debt</t>
        </is>
      </c>
      <c r="B61" s="31">
        <f>B46-'Adj ASM'!D78</f>
        <v/>
      </c>
      <c r="C61" s="31">
        <f>C46-B46</f>
        <v/>
      </c>
      <c r="D61" s="31">
        <f>D46-C46</f>
        <v/>
      </c>
      <c r="E61" s="31">
        <f>E46-D46</f>
        <v/>
      </c>
      <c r="F61" s="31">
        <f>F46-E46</f>
        <v/>
      </c>
      <c r="G61" s="31">
        <f>G46-F46</f>
        <v/>
      </c>
      <c r="H61" s="31">
        <f>H46-G46</f>
        <v/>
      </c>
      <c r="I61" s="31">
        <f>I46-H46</f>
        <v/>
      </c>
      <c r="J61" s="31">
        <f>J46-I46</f>
        <v/>
      </c>
    </row>
    <row r="62">
      <c r="A62" s="26">
        <f> FCF to Equity</f>
        <v/>
      </c>
      <c r="B62" s="27">
        <f>B59-B60+B61</f>
        <v/>
      </c>
      <c r="C62" s="27">
        <f>C59-C60+C61</f>
        <v/>
      </c>
      <c r="D62" s="27">
        <f>D59-D60+D61</f>
        <v/>
      </c>
      <c r="E62" s="27">
        <f>E59-E60+E61</f>
        <v/>
      </c>
      <c r="F62" s="27">
        <f>F59-F60+F61</f>
        <v/>
      </c>
      <c r="G62" s="27">
        <f>G59-G60+G61</f>
        <v/>
      </c>
      <c r="H62" s="27">
        <f>H59-H60+H61</f>
        <v/>
      </c>
      <c r="I62" s="27">
        <f>I59-I60+I61</f>
        <v/>
      </c>
      <c r="J62" s="27">
        <f>J59-J60+J61</f>
        <v/>
      </c>
    </row>
    <row r="64">
      <c r="A64" s="19" t="inlineStr">
        <is>
          <t>KEY METRICS</t>
        </is>
      </c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</row>
    <row r="65">
      <c r="A65" s="11" t="inlineStr">
        <is>
          <t>NOPAT Margin</t>
        </is>
      </c>
      <c r="B65" s="28">
        <f>IF(B19&lt;&gt;0,B30/B19,0)</f>
        <v/>
      </c>
      <c r="C65" s="28">
        <f>IF(C19&lt;&gt;0,C30/C19,0)</f>
        <v/>
      </c>
      <c r="D65" s="28">
        <f>IF(D19&lt;&gt;0,D30/D19,0)</f>
        <v/>
      </c>
      <c r="E65" s="28">
        <f>IF(E19&lt;&gt;0,E30/E19,0)</f>
        <v/>
      </c>
      <c r="F65" s="28">
        <f>IF(F19&lt;&gt;0,F30/F19,0)</f>
        <v/>
      </c>
      <c r="G65" s="28">
        <f>IF(G19&lt;&gt;0,G30/G19,0)</f>
        <v/>
      </c>
      <c r="H65" s="28">
        <f>IF(H19&lt;&gt;0,H30/H19,0)</f>
        <v/>
      </c>
      <c r="I65" s="28">
        <f>IF(I19&lt;&gt;0,I30/I19,0)</f>
        <v/>
      </c>
      <c r="J65" s="28">
        <f>IF(J19&lt;&gt;0,J30/J19,0)</f>
        <v/>
      </c>
    </row>
    <row r="66">
      <c r="A66" s="11" t="inlineStr">
        <is>
          <t>ROE</t>
        </is>
      </c>
      <c r="B66" s="28">
        <f>IF((B47+'Adj ASM'!D81)/2&lt;&gt;0,B35/((B47+'Adj ASM'!D81)/2),0)</f>
        <v/>
      </c>
      <c r="C66" s="28">
        <f>IF((C47+B47)/2&lt;&gt;0,C35/((C47+B47)/2),0)</f>
        <v/>
      </c>
      <c r="D66" s="28">
        <f>IF((D47+C47)/2&lt;&gt;0,D35/((D47+C47)/2),0)</f>
        <v/>
      </c>
      <c r="E66" s="28">
        <f>IF((E47+D47)/2&lt;&gt;0,E35/((E47+D47)/2),0)</f>
        <v/>
      </c>
      <c r="F66" s="28">
        <f>IF((F47+E47)/2&lt;&gt;0,F35/((F47+E47)/2),0)</f>
        <v/>
      </c>
      <c r="G66" s="28">
        <f>IF((G47+F47)/2&lt;&gt;0,G35/((G47+F47)/2),0)</f>
        <v/>
      </c>
      <c r="H66" s="28">
        <f>IF((H47+G47)/2&lt;&gt;0,H35/((H47+G47)/2),0)</f>
        <v/>
      </c>
      <c r="I66" s="28">
        <f>IF((I47+H47)/2&lt;&gt;0,I35/((I47+H47)/2),0)</f>
        <v/>
      </c>
      <c r="J66" s="28">
        <f>IF((J47+I47)/2&lt;&gt;0,J35/((J47+I47)/2),0)</f>
        <v/>
      </c>
    </row>
    <row r="67">
      <c r="A67" s="11" t="inlineStr">
        <is>
          <t>RNOA</t>
        </is>
      </c>
      <c r="B67" s="28">
        <f>IF((B40+'Adj ASM'!D67)/2&lt;&gt;0,B30/((B40+'Adj ASM'!D67)/2),0)</f>
        <v/>
      </c>
      <c r="C67" s="28">
        <f>IF((C40+B40)/2&lt;&gt;0,C30/((C40+B40)/2),0)</f>
        <v/>
      </c>
      <c r="D67" s="28">
        <f>IF((D40+C40)/2&lt;&gt;0,D30/((D40+C40)/2),0)</f>
        <v/>
      </c>
      <c r="E67" s="28">
        <f>IF((E40+D40)/2&lt;&gt;0,E30/((E40+D40)/2),0)</f>
        <v/>
      </c>
      <c r="F67" s="28">
        <f>IF((F40+E40)/2&lt;&gt;0,F30/((F40+E40)/2),0)</f>
        <v/>
      </c>
      <c r="G67" s="28">
        <f>IF((G40+F40)/2&lt;&gt;0,G30/((G40+F40)/2),0)</f>
        <v/>
      </c>
      <c r="H67" s="28">
        <f>IF((H40+G40)/2&lt;&gt;0,H30/((H40+G40)/2),0)</f>
        <v/>
      </c>
      <c r="I67" s="28">
        <f>IF((I40+H40)/2&lt;&gt;0,I30/((I40+H40)/2),0)</f>
        <v/>
      </c>
      <c r="J67" s="28">
        <f>IF((J40+I40)/2&lt;&gt;0,J30/((J40+I40)/2),0)</f>
        <v/>
      </c>
    </row>
    <row r="68">
      <c r="A68" s="11" t="inlineStr">
        <is>
          <t>FCF to Equity</t>
        </is>
      </c>
      <c r="B68" s="31">
        <f>B62</f>
        <v/>
      </c>
      <c r="C68" s="31">
        <f>C62</f>
        <v/>
      </c>
      <c r="D68" s="31">
        <f>D62</f>
        <v/>
      </c>
      <c r="E68" s="31">
        <f>E62</f>
        <v/>
      </c>
      <c r="F68" s="31">
        <f>F62</f>
        <v/>
      </c>
      <c r="G68" s="31">
        <f>G62</f>
        <v/>
      </c>
      <c r="H68" s="31">
        <f>H62</f>
        <v/>
      </c>
      <c r="I68" s="31">
        <f>I62</f>
        <v/>
      </c>
      <c r="J68" s="31">
        <f>J62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Valuation Analysis</t>
        </is>
      </c>
    </row>
    <row r="2">
      <c r="A2" s="15" t="inlineStr">
        <is>
          <t>(EUR 000)</t>
        </is>
      </c>
    </row>
    <row r="3">
      <c r="A3" s="19" t="inlineStr">
        <is>
          <t>COST OF CAPITAL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5">
      <c r="A5" s="11" t="inlineStr">
        <is>
          <t>Risk-free Rate</t>
        </is>
      </c>
      <c r="B5" s="17" t="n">
        <v>0.025</v>
      </c>
    </row>
    <row r="6">
      <c r="A6" s="11" t="inlineStr">
        <is>
          <t>Equity Beta</t>
        </is>
      </c>
      <c r="B6" s="44" t="n">
        <v>1.3</v>
      </c>
    </row>
    <row r="7">
      <c r="A7" s="11" t="inlineStr">
        <is>
          <t>Equity Risk Premium</t>
        </is>
      </c>
      <c r="B7" s="17" t="n">
        <v>0.05</v>
      </c>
    </row>
    <row r="8">
      <c r="A8" s="22" t="inlineStr">
        <is>
          <t>Cost of Equity (Re)</t>
        </is>
      </c>
      <c r="B8" s="28">
        <f>B5+B6*B7</f>
        <v/>
      </c>
    </row>
    <row r="10">
      <c r="A10" s="11" t="inlineStr">
        <is>
          <t>Cost of Debt (pre-tax)</t>
        </is>
      </c>
      <c r="B10" s="28">
        <f>IF('Adj ASM'!G78&lt;&gt;0,ABS('Adj ASM'!G29)/'Adj ASM'!G78,0)</f>
        <v/>
      </c>
    </row>
    <row r="11">
      <c r="A11" s="11" t="inlineStr">
        <is>
          <t>Tax Rate</t>
        </is>
      </c>
      <c r="B11" s="18">
        <f>'Forecast'!G11</f>
        <v/>
      </c>
    </row>
    <row r="12">
      <c r="A12" s="11" t="inlineStr">
        <is>
          <t>Cost of Debt (after-tax)</t>
        </is>
      </c>
      <c r="B12" s="28">
        <f>B10*(1-B11)</f>
        <v/>
      </c>
    </row>
    <row r="14">
      <c r="A14" s="11" t="inlineStr">
        <is>
          <t>Market Cap (EUR 000)</t>
        </is>
      </c>
      <c r="B14" s="45" t="n">
        <v>25000000</v>
      </c>
    </row>
    <row r="15">
      <c r="A15" s="11" t="inlineStr">
        <is>
          <t>Net Debt</t>
        </is>
      </c>
      <c r="B15" s="21">
        <f>'Adj ASM'!G80</f>
        <v/>
      </c>
    </row>
    <row r="16">
      <c r="A16" s="11" t="inlineStr">
        <is>
          <t>E/V</t>
        </is>
      </c>
      <c r="B16" s="28">
        <f>IF((B14+B15)&lt;&gt;0,B14/(B14+B15),0)</f>
        <v/>
      </c>
    </row>
    <row r="17">
      <c r="A17" s="11" t="inlineStr">
        <is>
          <t>D/V</t>
        </is>
      </c>
      <c r="B17" s="28">
        <f>1-B16</f>
        <v/>
      </c>
    </row>
    <row r="18">
      <c r="A18" s="22" t="inlineStr">
        <is>
          <t>WACC</t>
        </is>
      </c>
      <c r="B18" s="46">
        <f>B16*B8+B17*B12</f>
        <v/>
      </c>
    </row>
    <row r="20">
      <c r="A20" s="11" t="inlineStr">
        <is>
          <t>Shares Outstanding (diluted)</t>
        </is>
      </c>
      <c r="B20" s="21">
        <f>'Adj ASM'!G38</f>
        <v/>
      </c>
    </row>
    <row r="21">
      <c r="A21" s="11" t="inlineStr">
        <is>
          <t>Current Share Price (EUR)</t>
        </is>
      </c>
      <c r="B21" s="47" t="n">
        <v>450</v>
      </c>
    </row>
    <row r="22">
      <c r="A22" s="11" t="inlineStr">
        <is>
          <t>Terminal Growth Rate</t>
        </is>
      </c>
      <c r="B22" s="18">
        <f>'Forecast'!J16</f>
        <v/>
      </c>
    </row>
    <row r="25">
      <c r="A25" s="19" t="inlineStr">
        <is>
          <t>DCF - FREE CASH FLOW TO DEBT &amp; EQUITY</t>
        </is>
      </c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</row>
    <row r="27">
      <c r="E27" s="16" t="inlineStr">
        <is>
          <t>2025E</t>
        </is>
      </c>
      <c r="F27" s="16" t="inlineStr">
        <is>
          <t>2026E</t>
        </is>
      </c>
      <c r="G27" s="16" t="inlineStr">
        <is>
          <t>2027E</t>
        </is>
      </c>
      <c r="H27" s="16" t="inlineStr">
        <is>
          <t>2028E</t>
        </is>
      </c>
      <c r="I27" s="16" t="inlineStr">
        <is>
          <t>2029E</t>
        </is>
      </c>
      <c r="J27" s="16" t="inlineStr">
        <is>
          <t>2030E</t>
        </is>
      </c>
    </row>
    <row r="28">
      <c r="A28" s="11" t="inlineStr">
        <is>
          <t>FCF to Debt &amp; Equity</t>
        </is>
      </c>
      <c r="E28" s="21">
        <f>'Forecast'!E59</f>
        <v/>
      </c>
      <c r="F28" s="21">
        <f>'Forecast'!F59</f>
        <v/>
      </c>
      <c r="G28" s="21">
        <f>'Forecast'!G59</f>
        <v/>
      </c>
      <c r="H28" s="21">
        <f>'Forecast'!H59</f>
        <v/>
      </c>
      <c r="I28" s="21">
        <f>'Forecast'!I59</f>
        <v/>
      </c>
      <c r="J28" s="21">
        <f>'Forecast'!J59</f>
        <v/>
      </c>
    </row>
    <row r="29">
      <c r="A29" s="11" t="inlineStr">
        <is>
          <t>Terminal Value</t>
        </is>
      </c>
      <c r="J29" s="31">
        <f>J28*(1+$B$22)/($B$18-$B$22)</f>
        <v/>
      </c>
    </row>
    <row r="30">
      <c r="A30" s="11" t="inlineStr">
        <is>
          <t>Total Cash Flow</t>
        </is>
      </c>
      <c r="E30" s="31">
        <f>E28</f>
        <v/>
      </c>
      <c r="F30" s="31">
        <f>F28</f>
        <v/>
      </c>
      <c r="G30" s="31">
        <f>G28</f>
        <v/>
      </c>
      <c r="H30" s="31">
        <f>H28</f>
        <v/>
      </c>
      <c r="I30" s="31">
        <f>I28</f>
        <v/>
      </c>
      <c r="J30" s="31">
        <f>J28+J29</f>
        <v/>
      </c>
    </row>
    <row r="31">
      <c r="A31" s="11" t="inlineStr">
        <is>
          <t>Discount Factor</t>
        </is>
      </c>
      <c r="E31" s="48">
        <f>1/(1+$B$18)^1</f>
        <v/>
      </c>
      <c r="F31" s="48">
        <f>1/(1+$B$18)^2</f>
        <v/>
      </c>
      <c r="G31" s="48">
        <f>1/(1+$B$18)^3</f>
        <v/>
      </c>
      <c r="H31" s="48">
        <f>1/(1+$B$18)^4</f>
        <v/>
      </c>
      <c r="I31" s="48">
        <f>1/(1+$B$18)^5</f>
        <v/>
      </c>
      <c r="J31" s="48">
        <f>1/(1+$B$18)^6</f>
        <v/>
      </c>
    </row>
    <row r="32">
      <c r="A32" s="11" t="inlineStr">
        <is>
          <t>PV of Cash Flow</t>
        </is>
      </c>
      <c r="E32" s="31">
        <f>E30*E31</f>
        <v/>
      </c>
      <c r="F32" s="31">
        <f>F30*F31</f>
        <v/>
      </c>
      <c r="G32" s="31">
        <f>G30*G31</f>
        <v/>
      </c>
      <c r="H32" s="31">
        <f>H30*H31</f>
        <v/>
      </c>
      <c r="I32" s="31">
        <f>I30*I31</f>
        <v/>
      </c>
      <c r="J32" s="31">
        <f>J30*J31</f>
        <v/>
      </c>
    </row>
    <row r="34">
      <c r="A34" s="22" t="inlineStr">
        <is>
          <t>Sum of PV of Cash Flows</t>
        </is>
      </c>
      <c r="B34" s="23">
        <f>SUM(E32:J32)</f>
        <v/>
      </c>
    </row>
    <row r="35">
      <c r="A35" s="11" t="inlineStr">
        <is>
          <t>Enterprise Value</t>
        </is>
      </c>
      <c r="B35" s="31">
        <f>B34</f>
        <v/>
      </c>
    </row>
    <row r="36">
      <c r="A36" s="11" t="inlineStr">
        <is>
          <t>- Net Debt</t>
        </is>
      </c>
      <c r="B36" s="31">
        <f>B15</f>
        <v/>
      </c>
    </row>
    <row r="37">
      <c r="A37" s="22">
        <f> Equity Value</f>
        <v/>
      </c>
      <c r="B37" s="23">
        <f>B35-B36</f>
        <v/>
      </c>
    </row>
    <row r="38">
      <c r="A38" s="11" t="inlineStr">
        <is>
          <t>/ Shares Outstanding</t>
        </is>
      </c>
      <c r="B38" s="31">
        <f>B20</f>
        <v/>
      </c>
    </row>
    <row r="39">
      <c r="A39" s="26" t="inlineStr">
        <is>
          <t>Implied Price (DCF FCFF)</t>
        </is>
      </c>
      <c r="B39" s="49">
        <f>IF(B38&lt;&gt;0,B37/B38*1000,0)</f>
        <v/>
      </c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2">
      <c r="A42" s="19" t="inlineStr">
        <is>
          <t>DCF - FREE CASH FLOW TO EQUITY</t>
        </is>
      </c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</row>
    <row r="44">
      <c r="E44" s="16" t="inlineStr">
        <is>
          <t>2025E</t>
        </is>
      </c>
      <c r="F44" s="16" t="inlineStr">
        <is>
          <t>2026E</t>
        </is>
      </c>
      <c r="G44" s="16" t="inlineStr">
        <is>
          <t>2027E</t>
        </is>
      </c>
      <c r="H44" s="16" t="inlineStr">
        <is>
          <t>2028E</t>
        </is>
      </c>
      <c r="I44" s="16" t="inlineStr">
        <is>
          <t>2029E</t>
        </is>
      </c>
      <c r="J44" s="16" t="inlineStr">
        <is>
          <t>2030E</t>
        </is>
      </c>
    </row>
    <row r="45">
      <c r="A45" s="11" t="inlineStr">
        <is>
          <t>FCF to Equity</t>
        </is>
      </c>
      <c r="E45" s="21">
        <f>'Forecast'!E62</f>
        <v/>
      </c>
      <c r="F45" s="21">
        <f>'Forecast'!F62</f>
        <v/>
      </c>
      <c r="G45" s="21">
        <f>'Forecast'!G62</f>
        <v/>
      </c>
      <c r="H45" s="21">
        <f>'Forecast'!H62</f>
        <v/>
      </c>
      <c r="I45" s="21">
        <f>'Forecast'!I62</f>
        <v/>
      </c>
      <c r="J45" s="21">
        <f>'Forecast'!J62</f>
        <v/>
      </c>
    </row>
    <row r="46">
      <c r="A46" s="11" t="inlineStr">
        <is>
          <t>Terminal Value</t>
        </is>
      </c>
      <c r="J46" s="31">
        <f>J45*(1+$B$22)/($B$8-$B$22)</f>
        <v/>
      </c>
    </row>
    <row r="47">
      <c r="A47" s="11" t="inlineStr">
        <is>
          <t>Total Cash Flow</t>
        </is>
      </c>
      <c r="E47" s="31">
        <f>E45</f>
        <v/>
      </c>
      <c r="F47" s="31">
        <f>F45</f>
        <v/>
      </c>
      <c r="G47" s="31">
        <f>G45</f>
        <v/>
      </c>
      <c r="H47" s="31">
        <f>H45</f>
        <v/>
      </c>
      <c r="I47" s="31">
        <f>I45</f>
        <v/>
      </c>
      <c r="J47" s="31">
        <f>J45+J46</f>
        <v/>
      </c>
    </row>
    <row r="48">
      <c r="A48" s="11" t="inlineStr">
        <is>
          <t>Discount Factor</t>
        </is>
      </c>
      <c r="E48" s="48">
        <f>1/(1+$B$8)^1</f>
        <v/>
      </c>
      <c r="F48" s="48">
        <f>1/(1+$B$8)^2</f>
        <v/>
      </c>
      <c r="G48" s="48">
        <f>1/(1+$B$8)^3</f>
        <v/>
      </c>
      <c r="H48" s="48">
        <f>1/(1+$B$8)^4</f>
        <v/>
      </c>
      <c r="I48" s="48">
        <f>1/(1+$B$8)^5</f>
        <v/>
      </c>
      <c r="J48" s="48">
        <f>1/(1+$B$8)^6</f>
        <v/>
      </c>
    </row>
    <row r="49">
      <c r="A49" s="11" t="inlineStr">
        <is>
          <t>PV of Cash Flow</t>
        </is>
      </c>
      <c r="E49" s="31">
        <f>E47*E48</f>
        <v/>
      </c>
      <c r="F49" s="31">
        <f>F47*F48</f>
        <v/>
      </c>
      <c r="G49" s="31">
        <f>G47*G48</f>
        <v/>
      </c>
      <c r="H49" s="31">
        <f>H47*H48</f>
        <v/>
      </c>
      <c r="I49" s="31">
        <f>I47*I48</f>
        <v/>
      </c>
      <c r="J49" s="31">
        <f>J47*J48</f>
        <v/>
      </c>
    </row>
    <row r="51">
      <c r="A51" s="22" t="inlineStr">
        <is>
          <t>Equity Value (Sum of PV)</t>
        </is>
      </c>
      <c r="B51" s="23">
        <f>SUM(E49:J49)</f>
        <v/>
      </c>
    </row>
    <row r="52">
      <c r="A52" s="11" t="inlineStr">
        <is>
          <t>/ Shares Outstanding</t>
        </is>
      </c>
      <c r="B52" s="31">
        <f>B20</f>
        <v/>
      </c>
    </row>
    <row r="53">
      <c r="A53" s="26" t="inlineStr">
        <is>
          <t>Implied Price (DCF FCFE)</t>
        </is>
      </c>
      <c r="B53" s="49">
        <f>IF(B52&lt;&gt;0,B51/B52*1000,0)</f>
        <v/>
      </c>
      <c r="C53" s="50" t="n"/>
      <c r="D53" s="50" t="n"/>
      <c r="E53" s="50" t="n"/>
      <c r="F53" s="50" t="n"/>
      <c r="G53" s="50" t="n"/>
      <c r="H53" s="50" t="n"/>
      <c r="I53" s="50" t="n"/>
      <c r="J53" s="50" t="n"/>
    </row>
    <row r="56">
      <c r="A56" s="19" t="inlineStr">
        <is>
          <t>PV OF ABNORMAL OPERATING INCOME (PVAOI)</t>
        </is>
      </c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</row>
    <row r="58">
      <c r="E58" s="16" t="inlineStr">
        <is>
          <t>2025E</t>
        </is>
      </c>
      <c r="F58" s="16" t="inlineStr">
        <is>
          <t>2026E</t>
        </is>
      </c>
      <c r="G58" s="16" t="inlineStr">
        <is>
          <t>2027E</t>
        </is>
      </c>
      <c r="H58" s="16" t="inlineStr">
        <is>
          <t>2028E</t>
        </is>
      </c>
      <c r="I58" s="16" t="inlineStr">
        <is>
          <t>2029E</t>
        </is>
      </c>
      <c r="J58" s="16" t="inlineStr">
        <is>
          <t>2030E</t>
        </is>
      </c>
    </row>
    <row r="59">
      <c r="A59" s="11" t="inlineStr">
        <is>
          <t>NOPAT</t>
        </is>
      </c>
      <c r="E59" s="21">
        <f>'Forecast'!E30</f>
        <v/>
      </c>
      <c r="F59" s="21">
        <f>'Forecast'!F30</f>
        <v/>
      </c>
      <c r="G59" s="21">
        <f>'Forecast'!G30</f>
        <v/>
      </c>
      <c r="H59" s="21">
        <f>'Forecast'!H30</f>
        <v/>
      </c>
      <c r="I59" s="21">
        <f>'Forecast'!I30</f>
        <v/>
      </c>
      <c r="J59" s="21">
        <f>'Forecast'!J30</f>
        <v/>
      </c>
    </row>
    <row r="60">
      <c r="A60" s="11" t="inlineStr">
        <is>
          <t>Beg BV of NOA</t>
        </is>
      </c>
      <c r="E60" s="21">
        <f>'Forecast'!D40</f>
        <v/>
      </c>
      <c r="F60" s="21">
        <f>'Forecast'!E40</f>
        <v/>
      </c>
      <c r="G60" s="21">
        <f>'Forecast'!F40</f>
        <v/>
      </c>
      <c r="H60" s="21">
        <f>'Forecast'!G40</f>
        <v/>
      </c>
      <c r="I60" s="21">
        <f>'Forecast'!H40</f>
        <v/>
      </c>
      <c r="J60" s="21">
        <f>'Forecast'!I40</f>
        <v/>
      </c>
    </row>
    <row r="61">
      <c r="A61" s="11" t="inlineStr">
        <is>
          <t>Normal Earnings (WACC x Beg NOA)</t>
        </is>
      </c>
      <c r="E61" s="31">
        <f>$B$18*E60</f>
        <v/>
      </c>
      <c r="F61" s="31">
        <f>$B$18*F60</f>
        <v/>
      </c>
      <c r="G61" s="31">
        <f>$B$18*G60</f>
        <v/>
      </c>
      <c r="H61" s="31">
        <f>$B$18*H60</f>
        <v/>
      </c>
      <c r="I61" s="31">
        <f>$B$18*I60</f>
        <v/>
      </c>
      <c r="J61" s="31">
        <f>$B$18*J60</f>
        <v/>
      </c>
    </row>
    <row r="62">
      <c r="A62" s="11" t="inlineStr">
        <is>
          <t>Abnormal NOPAT</t>
        </is>
      </c>
      <c r="E62" s="31">
        <f>E59-E61</f>
        <v/>
      </c>
      <c r="F62" s="31">
        <f>F59-F61</f>
        <v/>
      </c>
      <c r="G62" s="31">
        <f>G59-G61</f>
        <v/>
      </c>
      <c r="H62" s="31">
        <f>H59-H61</f>
        <v/>
      </c>
      <c r="I62" s="31">
        <f>I59-I61</f>
        <v/>
      </c>
      <c r="J62" s="31">
        <f>J59-J61</f>
        <v/>
      </c>
    </row>
    <row r="63">
      <c r="A63" s="11" t="inlineStr">
        <is>
          <t>Terminal Value</t>
        </is>
      </c>
      <c r="J63" s="31">
        <f>J62*(1+$B$22)/($B$18-$B$22)</f>
        <v/>
      </c>
    </row>
    <row r="64">
      <c r="A64" s="11" t="inlineStr">
        <is>
          <t>Discount Factor</t>
        </is>
      </c>
      <c r="E64" s="48">
        <f>1/(1+$B$18)^1</f>
        <v/>
      </c>
      <c r="F64" s="48">
        <f>1/(1+$B$18)^2</f>
        <v/>
      </c>
      <c r="G64" s="48">
        <f>1/(1+$B$18)^3</f>
        <v/>
      </c>
      <c r="H64" s="48">
        <f>1/(1+$B$18)^4</f>
        <v/>
      </c>
      <c r="I64" s="48">
        <f>1/(1+$B$18)^5</f>
        <v/>
      </c>
      <c r="J64" s="48">
        <f>1/(1+$B$18)^6</f>
        <v/>
      </c>
    </row>
    <row r="65">
      <c r="A65" s="11" t="inlineStr">
        <is>
          <t>PV of Abnormal NOPAT</t>
        </is>
      </c>
      <c r="E65" s="31">
        <f>E62*E64</f>
        <v/>
      </c>
      <c r="F65" s="31">
        <f>F62*F64</f>
        <v/>
      </c>
      <c r="G65" s="31">
        <f>G62*G64</f>
        <v/>
      </c>
      <c r="H65" s="31">
        <f>H62*H64</f>
        <v/>
      </c>
      <c r="I65" s="31">
        <f>I62*I64</f>
        <v/>
      </c>
      <c r="J65" s="31">
        <f>(J62+J63)*J64</f>
        <v/>
      </c>
    </row>
    <row r="67">
      <c r="A67" s="22" t="inlineStr">
        <is>
          <t>Sum PV of Abnormal NOPAT</t>
        </is>
      </c>
      <c r="B67" s="23">
        <f>SUM(E65:J65)</f>
        <v/>
      </c>
    </row>
    <row r="68">
      <c r="A68" s="11" t="inlineStr">
        <is>
          <t>+ Beg BV of NOA (2024)</t>
        </is>
      </c>
      <c r="B68" s="21">
        <f>'Forecast'!D40</f>
        <v/>
      </c>
    </row>
    <row r="69">
      <c r="A69" s="22">
        <f> Enterprise Value</f>
        <v/>
      </c>
      <c r="B69" s="23">
        <f>B67+B68</f>
        <v/>
      </c>
    </row>
    <row r="70">
      <c r="A70" s="11" t="inlineStr">
        <is>
          <t>- Net Debt</t>
        </is>
      </c>
      <c r="B70" s="31">
        <f>B15</f>
        <v/>
      </c>
    </row>
    <row r="71">
      <c r="A71" s="22">
        <f> Equity Value</f>
        <v/>
      </c>
      <c r="B71" s="23">
        <f>B69-B70</f>
        <v/>
      </c>
    </row>
    <row r="72">
      <c r="A72" s="11" t="inlineStr">
        <is>
          <t>/ Shares Outstanding</t>
        </is>
      </c>
      <c r="B72" s="31">
        <f>B20</f>
        <v/>
      </c>
    </row>
    <row r="73">
      <c r="A73" s="26" t="inlineStr">
        <is>
          <t>Implied Price (PVAOI)</t>
        </is>
      </c>
      <c r="B73" s="49">
        <f>IF(B72&lt;&gt;0,B71/B72*1000,0)</f>
        <v/>
      </c>
      <c r="C73" s="50" t="n"/>
      <c r="D73" s="50" t="n"/>
      <c r="E73" s="50" t="n"/>
      <c r="F73" s="50" t="n"/>
      <c r="G73" s="50" t="n"/>
      <c r="H73" s="50" t="n"/>
      <c r="I73" s="50" t="n"/>
      <c r="J73" s="50" t="n"/>
    </row>
    <row r="76">
      <c r="A76" s="19" t="inlineStr">
        <is>
          <t>PV OF ABNORMAL EARNINGS (PVAE)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</row>
    <row r="78">
      <c r="E78" s="16" t="inlineStr">
        <is>
          <t>2025E</t>
        </is>
      </c>
      <c r="F78" s="16" t="inlineStr">
        <is>
          <t>2026E</t>
        </is>
      </c>
      <c r="G78" s="16" t="inlineStr">
        <is>
          <t>2027E</t>
        </is>
      </c>
      <c r="H78" s="16" t="inlineStr">
        <is>
          <t>2028E</t>
        </is>
      </c>
      <c r="I78" s="16" t="inlineStr">
        <is>
          <t>2029E</t>
        </is>
      </c>
      <c r="J78" s="16" t="inlineStr">
        <is>
          <t>2030E</t>
        </is>
      </c>
    </row>
    <row r="79">
      <c r="A79" s="11" t="inlineStr">
        <is>
          <t>Net Income</t>
        </is>
      </c>
      <c r="E79" s="21">
        <f>'Forecast'!E35</f>
        <v/>
      </c>
      <c r="F79" s="21">
        <f>'Forecast'!F35</f>
        <v/>
      </c>
      <c r="G79" s="21">
        <f>'Forecast'!G35</f>
        <v/>
      </c>
      <c r="H79" s="21">
        <f>'Forecast'!H35</f>
        <v/>
      </c>
      <c r="I79" s="21">
        <f>'Forecast'!I35</f>
        <v/>
      </c>
      <c r="J79" s="21">
        <f>'Forecast'!J35</f>
        <v/>
      </c>
    </row>
    <row r="80">
      <c r="A80" s="11" t="inlineStr">
        <is>
          <t>Beg BV of Equity</t>
        </is>
      </c>
      <c r="E80" s="21">
        <f>'Forecast'!D47</f>
        <v/>
      </c>
      <c r="F80" s="21">
        <f>'Forecast'!E47</f>
        <v/>
      </c>
      <c r="G80" s="21">
        <f>'Forecast'!F47</f>
        <v/>
      </c>
      <c r="H80" s="21">
        <f>'Forecast'!G47</f>
        <v/>
      </c>
      <c r="I80" s="21">
        <f>'Forecast'!H47</f>
        <v/>
      </c>
      <c r="J80" s="21">
        <f>'Forecast'!I47</f>
        <v/>
      </c>
    </row>
    <row r="81">
      <c r="A81" s="11" t="inlineStr">
        <is>
          <t>Normal Earnings (Re x Beg Equity)</t>
        </is>
      </c>
      <c r="E81" s="31">
        <f>$B$8*E80</f>
        <v/>
      </c>
      <c r="F81" s="31">
        <f>$B$8*F80</f>
        <v/>
      </c>
      <c r="G81" s="31">
        <f>$B$8*G80</f>
        <v/>
      </c>
      <c r="H81" s="31">
        <f>$B$8*H80</f>
        <v/>
      </c>
      <c r="I81" s="31">
        <f>$B$8*I80</f>
        <v/>
      </c>
      <c r="J81" s="31">
        <f>$B$8*J80</f>
        <v/>
      </c>
    </row>
    <row r="82">
      <c r="A82" s="11" t="inlineStr">
        <is>
          <t>Abnormal Earnings</t>
        </is>
      </c>
      <c r="E82" s="31">
        <f>E79-E81</f>
        <v/>
      </c>
      <c r="F82" s="31">
        <f>F79-F81</f>
        <v/>
      </c>
      <c r="G82" s="31">
        <f>G79-G81</f>
        <v/>
      </c>
      <c r="H82" s="31">
        <f>H79-H81</f>
        <v/>
      </c>
      <c r="I82" s="31">
        <f>I79-I81</f>
        <v/>
      </c>
      <c r="J82" s="31">
        <f>J79-J81</f>
        <v/>
      </c>
    </row>
    <row r="83">
      <c r="A83" s="11" t="inlineStr">
        <is>
          <t>Terminal Value</t>
        </is>
      </c>
      <c r="J83" s="31">
        <f>J82*(1+$B$22)/($B$8-$B$22)</f>
        <v/>
      </c>
    </row>
    <row r="84">
      <c r="A84" s="11" t="inlineStr">
        <is>
          <t>Discount Factor</t>
        </is>
      </c>
      <c r="E84" s="48">
        <f>1/(1+$B$8)^1</f>
        <v/>
      </c>
      <c r="F84" s="48">
        <f>1/(1+$B$8)^2</f>
        <v/>
      </c>
      <c r="G84" s="48">
        <f>1/(1+$B$8)^3</f>
        <v/>
      </c>
      <c r="H84" s="48">
        <f>1/(1+$B$8)^4</f>
        <v/>
      </c>
      <c r="I84" s="48">
        <f>1/(1+$B$8)^5</f>
        <v/>
      </c>
      <c r="J84" s="48">
        <f>1/(1+$B$8)^6</f>
        <v/>
      </c>
    </row>
    <row r="85">
      <c r="A85" s="11" t="inlineStr">
        <is>
          <t>PV of Abnormal Earnings</t>
        </is>
      </c>
      <c r="E85" s="31">
        <f>E82*E84</f>
        <v/>
      </c>
      <c r="F85" s="31">
        <f>F82*F84</f>
        <v/>
      </c>
      <c r="G85" s="31">
        <f>G82*G84</f>
        <v/>
      </c>
      <c r="H85" s="31">
        <f>H82*H84</f>
        <v/>
      </c>
      <c r="I85" s="31">
        <f>I82*I84</f>
        <v/>
      </c>
      <c r="J85" s="31">
        <f>(J82+J83)*J84</f>
        <v/>
      </c>
    </row>
    <row r="87">
      <c r="A87" s="22" t="inlineStr">
        <is>
          <t>Sum PV of Abnormal Earnings</t>
        </is>
      </c>
      <c r="B87" s="23">
        <f>SUM(E85:J85)</f>
        <v/>
      </c>
    </row>
    <row r="88">
      <c r="A88" s="11" t="inlineStr">
        <is>
          <t>+ Current BV Equity (2024)</t>
        </is>
      </c>
      <c r="B88" s="21">
        <f>'Adj ASM'!G81</f>
        <v/>
      </c>
    </row>
    <row r="89">
      <c r="A89" s="22">
        <f> Equity Value</f>
        <v/>
      </c>
      <c r="B89" s="23">
        <f>B87+B88</f>
        <v/>
      </c>
    </row>
    <row r="90">
      <c r="A90" s="11" t="inlineStr">
        <is>
          <t>/ Shares Outstanding</t>
        </is>
      </c>
      <c r="B90" s="31">
        <f>B20</f>
        <v/>
      </c>
    </row>
    <row r="91">
      <c r="A91" s="26" t="inlineStr">
        <is>
          <t>Implied Price (PVAE)</t>
        </is>
      </c>
      <c r="B91" s="49">
        <f>IF(B90&lt;&gt;0,B89/B90*1000,0)</f>
        <v/>
      </c>
      <c r="C91" s="50" t="n"/>
      <c r="D91" s="50" t="n"/>
      <c r="E91" s="50" t="n"/>
      <c r="F91" s="50" t="n"/>
      <c r="G91" s="50" t="n"/>
      <c r="H91" s="50" t="n"/>
      <c r="I91" s="50" t="n"/>
      <c r="J91" s="50" t="n"/>
    </row>
    <row r="94">
      <c r="A94" s="19" t="inlineStr">
        <is>
          <t>SENSITIVITY ANALYSIS</t>
        </is>
      </c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</row>
    <row r="96">
      <c r="A96" s="22" t="inlineStr">
        <is>
          <t>DCF (FCFF) - Implied Share Price</t>
        </is>
      </c>
    </row>
    <row r="97">
      <c r="A97" s="51" t="inlineStr">
        <is>
          <t>WACC \ Terminal Growth</t>
        </is>
      </c>
      <c r="B97" s="52" t="n">
        <v>0.01</v>
      </c>
      <c r="C97" s="52" t="n">
        <v>0.015</v>
      </c>
      <c r="D97" s="52" t="n">
        <v>0.02</v>
      </c>
      <c r="E97" s="52" t="n">
        <v>0.025</v>
      </c>
      <c r="F97" s="52" t="n">
        <v>0.03</v>
      </c>
      <c r="G97" s="52" t="n">
        <v>0.035</v>
      </c>
      <c r="H97" s="52" t="n">
        <v>0.04</v>
      </c>
    </row>
    <row r="98">
      <c r="A98" s="53" t="n">
        <v>0.07000000000000001</v>
      </c>
      <c r="B98" s="54">
        <f>('Forecast'!E59/(1+$A$98)^1+'Forecast'!F59/(1+$A$98)^2+'Forecast'!G59/(1+$A$98)^3+'Forecast'!H59/(1+$A$98)^4+'Forecast'!I59/(1+$A$98)^5+'Forecast'!J59/(1+$A$98)^6+'Forecast'!J59*(1+B97)/($A$98-B97)/(1+$A$98)^6-$B$15)/$B$20*1000</f>
        <v/>
      </c>
      <c r="C98" s="54">
        <f>('Forecast'!E59/(1+$A$98)^1+'Forecast'!F59/(1+$A$98)^2+'Forecast'!G59/(1+$A$98)^3+'Forecast'!H59/(1+$A$98)^4+'Forecast'!I59/(1+$A$98)^5+'Forecast'!J59/(1+$A$98)^6+'Forecast'!J59*(1+C97)/($A$98-C97)/(1+$A$98)^6-$B$15)/$B$20*1000</f>
        <v/>
      </c>
      <c r="D98" s="54">
        <f>('Forecast'!E59/(1+$A$98)^1+'Forecast'!F59/(1+$A$98)^2+'Forecast'!G59/(1+$A$98)^3+'Forecast'!H59/(1+$A$98)^4+'Forecast'!I59/(1+$A$98)^5+'Forecast'!J59/(1+$A$98)^6+'Forecast'!J59*(1+D97)/($A$98-D97)/(1+$A$98)^6-$B$15)/$B$20*1000</f>
        <v/>
      </c>
      <c r="E98" s="54">
        <f>('Forecast'!E59/(1+$A$98)^1+'Forecast'!F59/(1+$A$98)^2+'Forecast'!G59/(1+$A$98)^3+'Forecast'!H59/(1+$A$98)^4+'Forecast'!I59/(1+$A$98)^5+'Forecast'!J59/(1+$A$98)^6+'Forecast'!J59*(1+E97)/($A$98-E97)/(1+$A$98)^6-$B$15)/$B$20*1000</f>
        <v/>
      </c>
      <c r="F98" s="54">
        <f>('Forecast'!E59/(1+$A$98)^1+'Forecast'!F59/(1+$A$98)^2+'Forecast'!G59/(1+$A$98)^3+'Forecast'!H59/(1+$A$98)^4+'Forecast'!I59/(1+$A$98)^5+'Forecast'!J59/(1+$A$98)^6+'Forecast'!J59*(1+F97)/($A$98-F97)/(1+$A$98)^6-$B$15)/$B$20*1000</f>
        <v/>
      </c>
      <c r="G98" s="54">
        <f>('Forecast'!E59/(1+$A$98)^1+'Forecast'!F59/(1+$A$98)^2+'Forecast'!G59/(1+$A$98)^3+'Forecast'!H59/(1+$A$98)^4+'Forecast'!I59/(1+$A$98)^5+'Forecast'!J59/(1+$A$98)^6+'Forecast'!J59*(1+G97)/($A$98-G97)/(1+$A$98)^6-$B$15)/$B$20*1000</f>
        <v/>
      </c>
      <c r="H98" s="54">
        <f>('Forecast'!E59/(1+$A$98)^1+'Forecast'!F59/(1+$A$98)^2+'Forecast'!G59/(1+$A$98)^3+'Forecast'!H59/(1+$A$98)^4+'Forecast'!I59/(1+$A$98)^5+'Forecast'!J59/(1+$A$98)^6+'Forecast'!J59*(1+H97)/($A$98-H97)/(1+$A$98)^6-$B$15)/$B$20*1000</f>
        <v/>
      </c>
    </row>
    <row r="99">
      <c r="A99" s="53" t="n">
        <v>0.075</v>
      </c>
      <c r="B99" s="54">
        <f>('Forecast'!E59/(1+$A$99)^1+'Forecast'!F59/(1+$A$99)^2+'Forecast'!G59/(1+$A$99)^3+'Forecast'!H59/(1+$A$99)^4+'Forecast'!I59/(1+$A$99)^5+'Forecast'!J59/(1+$A$99)^6+'Forecast'!J59*(1+B97)/($A$99-B97)/(1+$A$99)^6-$B$15)/$B$20*1000</f>
        <v/>
      </c>
      <c r="C99" s="54">
        <f>('Forecast'!E59/(1+$A$99)^1+'Forecast'!F59/(1+$A$99)^2+'Forecast'!G59/(1+$A$99)^3+'Forecast'!H59/(1+$A$99)^4+'Forecast'!I59/(1+$A$99)^5+'Forecast'!J59/(1+$A$99)^6+'Forecast'!J59*(1+C97)/($A$99-C97)/(1+$A$99)^6-$B$15)/$B$20*1000</f>
        <v/>
      </c>
      <c r="D99" s="54">
        <f>('Forecast'!E59/(1+$A$99)^1+'Forecast'!F59/(1+$A$99)^2+'Forecast'!G59/(1+$A$99)^3+'Forecast'!H59/(1+$A$99)^4+'Forecast'!I59/(1+$A$99)^5+'Forecast'!J59/(1+$A$99)^6+'Forecast'!J59*(1+D97)/($A$99-D97)/(1+$A$99)^6-$B$15)/$B$20*1000</f>
        <v/>
      </c>
      <c r="E99" s="54">
        <f>('Forecast'!E59/(1+$A$99)^1+'Forecast'!F59/(1+$A$99)^2+'Forecast'!G59/(1+$A$99)^3+'Forecast'!H59/(1+$A$99)^4+'Forecast'!I59/(1+$A$99)^5+'Forecast'!J59/(1+$A$99)^6+'Forecast'!J59*(1+E97)/($A$99-E97)/(1+$A$99)^6-$B$15)/$B$20*1000</f>
        <v/>
      </c>
      <c r="F99" s="54">
        <f>('Forecast'!E59/(1+$A$99)^1+'Forecast'!F59/(1+$A$99)^2+'Forecast'!G59/(1+$A$99)^3+'Forecast'!H59/(1+$A$99)^4+'Forecast'!I59/(1+$A$99)^5+'Forecast'!J59/(1+$A$99)^6+'Forecast'!J59*(1+F97)/($A$99-F97)/(1+$A$99)^6-$B$15)/$B$20*1000</f>
        <v/>
      </c>
      <c r="G99" s="54">
        <f>('Forecast'!E59/(1+$A$99)^1+'Forecast'!F59/(1+$A$99)^2+'Forecast'!G59/(1+$A$99)^3+'Forecast'!H59/(1+$A$99)^4+'Forecast'!I59/(1+$A$99)^5+'Forecast'!J59/(1+$A$99)^6+'Forecast'!J59*(1+G97)/($A$99-G97)/(1+$A$99)^6-$B$15)/$B$20*1000</f>
        <v/>
      </c>
      <c r="H99" s="54">
        <f>('Forecast'!E59/(1+$A$99)^1+'Forecast'!F59/(1+$A$99)^2+'Forecast'!G59/(1+$A$99)^3+'Forecast'!H59/(1+$A$99)^4+'Forecast'!I59/(1+$A$99)^5+'Forecast'!J59/(1+$A$99)^6+'Forecast'!J59*(1+H97)/($A$99-H97)/(1+$A$99)^6-$B$15)/$B$20*1000</f>
        <v/>
      </c>
    </row>
    <row r="100">
      <c r="A100" s="53" t="n">
        <v>0.08</v>
      </c>
      <c r="B100" s="54">
        <f>('Forecast'!E59/(1+$A$100)^1+'Forecast'!F59/(1+$A$100)^2+'Forecast'!G59/(1+$A$100)^3+'Forecast'!H59/(1+$A$100)^4+'Forecast'!I59/(1+$A$100)^5+'Forecast'!J59/(1+$A$100)^6+'Forecast'!J59*(1+B97)/($A$100-B97)/(1+$A$100)^6-$B$15)/$B$20*1000</f>
        <v/>
      </c>
      <c r="C100" s="54">
        <f>('Forecast'!E59/(1+$A$100)^1+'Forecast'!F59/(1+$A$100)^2+'Forecast'!G59/(1+$A$100)^3+'Forecast'!H59/(1+$A$100)^4+'Forecast'!I59/(1+$A$100)^5+'Forecast'!J59/(1+$A$100)^6+'Forecast'!J59*(1+C97)/($A$100-C97)/(1+$A$100)^6-$B$15)/$B$20*1000</f>
        <v/>
      </c>
      <c r="D100" s="54">
        <f>('Forecast'!E59/(1+$A$100)^1+'Forecast'!F59/(1+$A$100)^2+'Forecast'!G59/(1+$A$100)^3+'Forecast'!H59/(1+$A$100)^4+'Forecast'!I59/(1+$A$100)^5+'Forecast'!J59/(1+$A$100)^6+'Forecast'!J59*(1+D97)/($A$100-D97)/(1+$A$100)^6-$B$15)/$B$20*1000</f>
        <v/>
      </c>
      <c r="E100" s="54">
        <f>('Forecast'!E59/(1+$A$100)^1+'Forecast'!F59/(1+$A$100)^2+'Forecast'!G59/(1+$A$100)^3+'Forecast'!H59/(1+$A$100)^4+'Forecast'!I59/(1+$A$100)^5+'Forecast'!J59/(1+$A$100)^6+'Forecast'!J59*(1+E97)/($A$100-E97)/(1+$A$100)^6-$B$15)/$B$20*1000</f>
        <v/>
      </c>
      <c r="F100" s="54">
        <f>('Forecast'!E59/(1+$A$100)^1+'Forecast'!F59/(1+$A$100)^2+'Forecast'!G59/(1+$A$100)^3+'Forecast'!H59/(1+$A$100)^4+'Forecast'!I59/(1+$A$100)^5+'Forecast'!J59/(1+$A$100)^6+'Forecast'!J59*(1+F97)/($A$100-F97)/(1+$A$100)^6-$B$15)/$B$20*1000</f>
        <v/>
      </c>
      <c r="G100" s="54">
        <f>('Forecast'!E59/(1+$A$100)^1+'Forecast'!F59/(1+$A$100)^2+'Forecast'!G59/(1+$A$100)^3+'Forecast'!H59/(1+$A$100)^4+'Forecast'!I59/(1+$A$100)^5+'Forecast'!J59/(1+$A$100)^6+'Forecast'!J59*(1+G97)/($A$100-G97)/(1+$A$100)^6-$B$15)/$B$20*1000</f>
        <v/>
      </c>
      <c r="H100" s="54">
        <f>('Forecast'!E59/(1+$A$100)^1+'Forecast'!F59/(1+$A$100)^2+'Forecast'!G59/(1+$A$100)^3+'Forecast'!H59/(1+$A$100)^4+'Forecast'!I59/(1+$A$100)^5+'Forecast'!J59/(1+$A$100)^6+'Forecast'!J59*(1+H97)/($A$100-H97)/(1+$A$100)^6-$B$15)/$B$20*1000</f>
        <v/>
      </c>
    </row>
    <row r="101">
      <c r="A101" s="53" t="n">
        <v>0.08500000000000001</v>
      </c>
      <c r="B101" s="54">
        <f>('Forecast'!E59/(1+$A$101)^1+'Forecast'!F59/(1+$A$101)^2+'Forecast'!G59/(1+$A$101)^3+'Forecast'!H59/(1+$A$101)^4+'Forecast'!I59/(1+$A$101)^5+'Forecast'!J59/(1+$A$101)^6+'Forecast'!J59*(1+B97)/($A$101-B97)/(1+$A$101)^6-$B$15)/$B$20*1000</f>
        <v/>
      </c>
      <c r="C101" s="54">
        <f>('Forecast'!E59/(1+$A$101)^1+'Forecast'!F59/(1+$A$101)^2+'Forecast'!G59/(1+$A$101)^3+'Forecast'!H59/(1+$A$101)^4+'Forecast'!I59/(1+$A$101)^5+'Forecast'!J59/(1+$A$101)^6+'Forecast'!J59*(1+C97)/($A$101-C97)/(1+$A$101)^6-$B$15)/$B$20*1000</f>
        <v/>
      </c>
      <c r="D101" s="54">
        <f>('Forecast'!E59/(1+$A$101)^1+'Forecast'!F59/(1+$A$101)^2+'Forecast'!G59/(1+$A$101)^3+'Forecast'!H59/(1+$A$101)^4+'Forecast'!I59/(1+$A$101)^5+'Forecast'!J59/(1+$A$101)^6+'Forecast'!J59*(1+D97)/($A$101-D97)/(1+$A$101)^6-$B$15)/$B$20*1000</f>
        <v/>
      </c>
      <c r="E101" s="54">
        <f>('Forecast'!E59/(1+$A$101)^1+'Forecast'!F59/(1+$A$101)^2+'Forecast'!G59/(1+$A$101)^3+'Forecast'!H59/(1+$A$101)^4+'Forecast'!I59/(1+$A$101)^5+'Forecast'!J59/(1+$A$101)^6+'Forecast'!J59*(1+E97)/($A$101-E97)/(1+$A$101)^6-$B$15)/$B$20*1000</f>
        <v/>
      </c>
      <c r="F101" s="54">
        <f>('Forecast'!E59/(1+$A$101)^1+'Forecast'!F59/(1+$A$101)^2+'Forecast'!G59/(1+$A$101)^3+'Forecast'!H59/(1+$A$101)^4+'Forecast'!I59/(1+$A$101)^5+'Forecast'!J59/(1+$A$101)^6+'Forecast'!J59*(1+F97)/($A$101-F97)/(1+$A$101)^6-$B$15)/$B$20*1000</f>
        <v/>
      </c>
      <c r="G101" s="54">
        <f>('Forecast'!E59/(1+$A$101)^1+'Forecast'!F59/(1+$A$101)^2+'Forecast'!G59/(1+$A$101)^3+'Forecast'!H59/(1+$A$101)^4+'Forecast'!I59/(1+$A$101)^5+'Forecast'!J59/(1+$A$101)^6+'Forecast'!J59*(1+G97)/($A$101-G97)/(1+$A$101)^6-$B$15)/$B$20*1000</f>
        <v/>
      </c>
      <c r="H101" s="54">
        <f>('Forecast'!E59/(1+$A$101)^1+'Forecast'!F59/(1+$A$101)^2+'Forecast'!G59/(1+$A$101)^3+'Forecast'!H59/(1+$A$101)^4+'Forecast'!I59/(1+$A$101)^5+'Forecast'!J59/(1+$A$101)^6+'Forecast'!J59*(1+H97)/($A$101-H97)/(1+$A$101)^6-$B$15)/$B$20*1000</f>
        <v/>
      </c>
    </row>
    <row r="102">
      <c r="A102" s="53" t="n">
        <v>0.09</v>
      </c>
      <c r="B102" s="54">
        <f>('Forecast'!E59/(1+$A$102)^1+'Forecast'!F59/(1+$A$102)^2+'Forecast'!G59/(1+$A$102)^3+'Forecast'!H59/(1+$A$102)^4+'Forecast'!I59/(1+$A$102)^5+'Forecast'!J59/(1+$A$102)^6+'Forecast'!J59*(1+B97)/($A$102-B97)/(1+$A$102)^6-$B$15)/$B$20*1000</f>
        <v/>
      </c>
      <c r="C102" s="54">
        <f>('Forecast'!E59/(1+$A$102)^1+'Forecast'!F59/(1+$A$102)^2+'Forecast'!G59/(1+$A$102)^3+'Forecast'!H59/(1+$A$102)^4+'Forecast'!I59/(1+$A$102)^5+'Forecast'!J59/(1+$A$102)^6+'Forecast'!J59*(1+C97)/($A$102-C97)/(1+$A$102)^6-$B$15)/$B$20*1000</f>
        <v/>
      </c>
      <c r="D102" s="54">
        <f>('Forecast'!E59/(1+$A$102)^1+'Forecast'!F59/(1+$A$102)^2+'Forecast'!G59/(1+$A$102)^3+'Forecast'!H59/(1+$A$102)^4+'Forecast'!I59/(1+$A$102)^5+'Forecast'!J59/(1+$A$102)^6+'Forecast'!J59*(1+D97)/($A$102-D97)/(1+$A$102)^6-$B$15)/$B$20*1000</f>
        <v/>
      </c>
      <c r="E102" s="54">
        <f>('Forecast'!E59/(1+$A$102)^1+'Forecast'!F59/(1+$A$102)^2+'Forecast'!G59/(1+$A$102)^3+'Forecast'!H59/(1+$A$102)^4+'Forecast'!I59/(1+$A$102)^5+'Forecast'!J59/(1+$A$102)^6+'Forecast'!J59*(1+E97)/($A$102-E97)/(1+$A$102)^6-$B$15)/$B$20*1000</f>
        <v/>
      </c>
      <c r="F102" s="54">
        <f>('Forecast'!E59/(1+$A$102)^1+'Forecast'!F59/(1+$A$102)^2+'Forecast'!G59/(1+$A$102)^3+'Forecast'!H59/(1+$A$102)^4+'Forecast'!I59/(1+$A$102)^5+'Forecast'!J59/(1+$A$102)^6+'Forecast'!J59*(1+F97)/($A$102-F97)/(1+$A$102)^6-$B$15)/$B$20*1000</f>
        <v/>
      </c>
      <c r="G102" s="54">
        <f>('Forecast'!E59/(1+$A$102)^1+'Forecast'!F59/(1+$A$102)^2+'Forecast'!G59/(1+$A$102)^3+'Forecast'!H59/(1+$A$102)^4+'Forecast'!I59/(1+$A$102)^5+'Forecast'!J59/(1+$A$102)^6+'Forecast'!J59*(1+G97)/($A$102-G97)/(1+$A$102)^6-$B$15)/$B$20*1000</f>
        <v/>
      </c>
      <c r="H102" s="54">
        <f>('Forecast'!E59/(1+$A$102)^1+'Forecast'!F59/(1+$A$102)^2+'Forecast'!G59/(1+$A$102)^3+'Forecast'!H59/(1+$A$102)^4+'Forecast'!I59/(1+$A$102)^5+'Forecast'!J59/(1+$A$102)^6+'Forecast'!J59*(1+H97)/($A$102-H97)/(1+$A$102)^6-$B$15)/$B$20*1000</f>
        <v/>
      </c>
    </row>
    <row r="103">
      <c r="A103" s="53" t="n">
        <v>0.095</v>
      </c>
      <c r="B103" s="54">
        <f>('Forecast'!E59/(1+$A$103)^1+'Forecast'!F59/(1+$A$103)^2+'Forecast'!G59/(1+$A$103)^3+'Forecast'!H59/(1+$A$103)^4+'Forecast'!I59/(1+$A$103)^5+'Forecast'!J59/(1+$A$103)^6+'Forecast'!J59*(1+B97)/($A$103-B97)/(1+$A$103)^6-$B$15)/$B$20*1000</f>
        <v/>
      </c>
      <c r="C103" s="54">
        <f>('Forecast'!E59/(1+$A$103)^1+'Forecast'!F59/(1+$A$103)^2+'Forecast'!G59/(1+$A$103)^3+'Forecast'!H59/(1+$A$103)^4+'Forecast'!I59/(1+$A$103)^5+'Forecast'!J59/(1+$A$103)^6+'Forecast'!J59*(1+C97)/($A$103-C97)/(1+$A$103)^6-$B$15)/$B$20*1000</f>
        <v/>
      </c>
      <c r="D103" s="54">
        <f>('Forecast'!E59/(1+$A$103)^1+'Forecast'!F59/(1+$A$103)^2+'Forecast'!G59/(1+$A$103)^3+'Forecast'!H59/(1+$A$103)^4+'Forecast'!I59/(1+$A$103)^5+'Forecast'!J59/(1+$A$103)^6+'Forecast'!J59*(1+D97)/($A$103-D97)/(1+$A$103)^6-$B$15)/$B$20*1000</f>
        <v/>
      </c>
      <c r="E103" s="54">
        <f>('Forecast'!E59/(1+$A$103)^1+'Forecast'!F59/(1+$A$103)^2+'Forecast'!G59/(1+$A$103)^3+'Forecast'!H59/(1+$A$103)^4+'Forecast'!I59/(1+$A$103)^5+'Forecast'!J59/(1+$A$103)^6+'Forecast'!J59*(1+E97)/($A$103-E97)/(1+$A$103)^6-$B$15)/$B$20*1000</f>
        <v/>
      </c>
      <c r="F103" s="54">
        <f>('Forecast'!E59/(1+$A$103)^1+'Forecast'!F59/(1+$A$103)^2+'Forecast'!G59/(1+$A$103)^3+'Forecast'!H59/(1+$A$103)^4+'Forecast'!I59/(1+$A$103)^5+'Forecast'!J59/(1+$A$103)^6+'Forecast'!J59*(1+F97)/($A$103-F97)/(1+$A$103)^6-$B$15)/$B$20*1000</f>
        <v/>
      </c>
      <c r="G103" s="54">
        <f>('Forecast'!E59/(1+$A$103)^1+'Forecast'!F59/(1+$A$103)^2+'Forecast'!G59/(1+$A$103)^3+'Forecast'!H59/(1+$A$103)^4+'Forecast'!I59/(1+$A$103)^5+'Forecast'!J59/(1+$A$103)^6+'Forecast'!J59*(1+G97)/($A$103-G97)/(1+$A$103)^6-$B$15)/$B$20*1000</f>
        <v/>
      </c>
      <c r="H103" s="54">
        <f>('Forecast'!E59/(1+$A$103)^1+'Forecast'!F59/(1+$A$103)^2+'Forecast'!G59/(1+$A$103)^3+'Forecast'!H59/(1+$A$103)^4+'Forecast'!I59/(1+$A$103)^5+'Forecast'!J59/(1+$A$103)^6+'Forecast'!J59*(1+H97)/($A$103-H97)/(1+$A$103)^6-$B$15)/$B$20*1000</f>
        <v/>
      </c>
    </row>
    <row r="104">
      <c r="A104" s="53" t="n">
        <v>0.1</v>
      </c>
      <c r="B104" s="54">
        <f>('Forecast'!E59/(1+$A$104)^1+'Forecast'!F59/(1+$A$104)^2+'Forecast'!G59/(1+$A$104)^3+'Forecast'!H59/(1+$A$104)^4+'Forecast'!I59/(1+$A$104)^5+'Forecast'!J59/(1+$A$104)^6+'Forecast'!J59*(1+B97)/($A$104-B97)/(1+$A$104)^6-$B$15)/$B$20*1000</f>
        <v/>
      </c>
      <c r="C104" s="54">
        <f>('Forecast'!E59/(1+$A$104)^1+'Forecast'!F59/(1+$A$104)^2+'Forecast'!G59/(1+$A$104)^3+'Forecast'!H59/(1+$A$104)^4+'Forecast'!I59/(1+$A$104)^5+'Forecast'!J59/(1+$A$104)^6+'Forecast'!J59*(1+C97)/($A$104-C97)/(1+$A$104)^6-$B$15)/$B$20*1000</f>
        <v/>
      </c>
      <c r="D104" s="54">
        <f>('Forecast'!E59/(1+$A$104)^1+'Forecast'!F59/(1+$A$104)^2+'Forecast'!G59/(1+$A$104)^3+'Forecast'!H59/(1+$A$104)^4+'Forecast'!I59/(1+$A$104)^5+'Forecast'!J59/(1+$A$104)^6+'Forecast'!J59*(1+D97)/($A$104-D97)/(1+$A$104)^6-$B$15)/$B$20*1000</f>
        <v/>
      </c>
      <c r="E104" s="54">
        <f>('Forecast'!E59/(1+$A$104)^1+'Forecast'!F59/(1+$A$104)^2+'Forecast'!G59/(1+$A$104)^3+'Forecast'!H59/(1+$A$104)^4+'Forecast'!I59/(1+$A$104)^5+'Forecast'!J59/(1+$A$104)^6+'Forecast'!J59*(1+E97)/($A$104-E97)/(1+$A$104)^6-$B$15)/$B$20*1000</f>
        <v/>
      </c>
      <c r="F104" s="54">
        <f>('Forecast'!E59/(1+$A$104)^1+'Forecast'!F59/(1+$A$104)^2+'Forecast'!G59/(1+$A$104)^3+'Forecast'!H59/(1+$A$104)^4+'Forecast'!I59/(1+$A$104)^5+'Forecast'!J59/(1+$A$104)^6+'Forecast'!J59*(1+F97)/($A$104-F97)/(1+$A$104)^6-$B$15)/$B$20*1000</f>
        <v/>
      </c>
      <c r="G104" s="54">
        <f>('Forecast'!E59/(1+$A$104)^1+'Forecast'!F59/(1+$A$104)^2+'Forecast'!G59/(1+$A$104)^3+'Forecast'!H59/(1+$A$104)^4+'Forecast'!I59/(1+$A$104)^5+'Forecast'!J59/(1+$A$104)^6+'Forecast'!J59*(1+G97)/($A$104-G97)/(1+$A$104)^6-$B$15)/$B$20*1000</f>
        <v/>
      </c>
      <c r="H104" s="54">
        <f>('Forecast'!E59/(1+$A$104)^1+'Forecast'!F59/(1+$A$104)^2+'Forecast'!G59/(1+$A$104)^3+'Forecast'!H59/(1+$A$104)^4+'Forecast'!I59/(1+$A$104)^5+'Forecast'!J59/(1+$A$104)^6+'Forecast'!J59*(1+H97)/($A$104-H97)/(1+$A$104)^6-$B$15)/$B$20*1000</f>
        <v/>
      </c>
    </row>
    <row r="105">
      <c r="A105" s="53" t="n">
        <v>0.105</v>
      </c>
      <c r="B105" s="54">
        <f>('Forecast'!E59/(1+$A$105)^1+'Forecast'!F59/(1+$A$105)^2+'Forecast'!G59/(1+$A$105)^3+'Forecast'!H59/(1+$A$105)^4+'Forecast'!I59/(1+$A$105)^5+'Forecast'!J59/(1+$A$105)^6+'Forecast'!J59*(1+B97)/($A$105-B97)/(1+$A$105)^6-$B$15)/$B$20*1000</f>
        <v/>
      </c>
      <c r="C105" s="54">
        <f>('Forecast'!E59/(1+$A$105)^1+'Forecast'!F59/(1+$A$105)^2+'Forecast'!G59/(1+$A$105)^3+'Forecast'!H59/(1+$A$105)^4+'Forecast'!I59/(1+$A$105)^5+'Forecast'!J59/(1+$A$105)^6+'Forecast'!J59*(1+C97)/($A$105-C97)/(1+$A$105)^6-$B$15)/$B$20*1000</f>
        <v/>
      </c>
      <c r="D105" s="54">
        <f>('Forecast'!E59/(1+$A$105)^1+'Forecast'!F59/(1+$A$105)^2+'Forecast'!G59/(1+$A$105)^3+'Forecast'!H59/(1+$A$105)^4+'Forecast'!I59/(1+$A$105)^5+'Forecast'!J59/(1+$A$105)^6+'Forecast'!J59*(1+D97)/($A$105-D97)/(1+$A$105)^6-$B$15)/$B$20*1000</f>
        <v/>
      </c>
      <c r="E105" s="54">
        <f>('Forecast'!E59/(1+$A$105)^1+'Forecast'!F59/(1+$A$105)^2+'Forecast'!G59/(1+$A$105)^3+'Forecast'!H59/(1+$A$105)^4+'Forecast'!I59/(1+$A$105)^5+'Forecast'!J59/(1+$A$105)^6+'Forecast'!J59*(1+E97)/($A$105-E97)/(1+$A$105)^6-$B$15)/$B$20*1000</f>
        <v/>
      </c>
      <c r="F105" s="54">
        <f>('Forecast'!E59/(1+$A$105)^1+'Forecast'!F59/(1+$A$105)^2+'Forecast'!G59/(1+$A$105)^3+'Forecast'!H59/(1+$A$105)^4+'Forecast'!I59/(1+$A$105)^5+'Forecast'!J59/(1+$A$105)^6+'Forecast'!J59*(1+F97)/($A$105-F97)/(1+$A$105)^6-$B$15)/$B$20*1000</f>
        <v/>
      </c>
      <c r="G105" s="54">
        <f>('Forecast'!E59/(1+$A$105)^1+'Forecast'!F59/(1+$A$105)^2+'Forecast'!G59/(1+$A$105)^3+'Forecast'!H59/(1+$A$105)^4+'Forecast'!I59/(1+$A$105)^5+'Forecast'!J59/(1+$A$105)^6+'Forecast'!J59*(1+G97)/($A$105-G97)/(1+$A$105)^6-$B$15)/$B$20*1000</f>
        <v/>
      </c>
      <c r="H105" s="54">
        <f>('Forecast'!E59/(1+$A$105)^1+'Forecast'!F59/(1+$A$105)^2+'Forecast'!G59/(1+$A$105)^3+'Forecast'!H59/(1+$A$105)^4+'Forecast'!I59/(1+$A$105)^5+'Forecast'!J59/(1+$A$105)^6+'Forecast'!J59*(1+H97)/($A$105-H97)/(1+$A$105)^6-$B$15)/$B$20*1000</f>
        <v/>
      </c>
    </row>
    <row r="106">
      <c r="A106" s="53" t="n">
        <v>0.11</v>
      </c>
      <c r="B106" s="54">
        <f>('Forecast'!E59/(1+$A$106)^1+'Forecast'!F59/(1+$A$106)^2+'Forecast'!G59/(1+$A$106)^3+'Forecast'!H59/(1+$A$106)^4+'Forecast'!I59/(1+$A$106)^5+'Forecast'!J59/(1+$A$106)^6+'Forecast'!J59*(1+B97)/($A$106-B97)/(1+$A$106)^6-$B$15)/$B$20*1000</f>
        <v/>
      </c>
      <c r="C106" s="54">
        <f>('Forecast'!E59/(1+$A$106)^1+'Forecast'!F59/(1+$A$106)^2+'Forecast'!G59/(1+$A$106)^3+'Forecast'!H59/(1+$A$106)^4+'Forecast'!I59/(1+$A$106)^5+'Forecast'!J59/(1+$A$106)^6+'Forecast'!J59*(1+C97)/($A$106-C97)/(1+$A$106)^6-$B$15)/$B$20*1000</f>
        <v/>
      </c>
      <c r="D106" s="54">
        <f>('Forecast'!E59/(1+$A$106)^1+'Forecast'!F59/(1+$A$106)^2+'Forecast'!G59/(1+$A$106)^3+'Forecast'!H59/(1+$A$106)^4+'Forecast'!I59/(1+$A$106)^5+'Forecast'!J59/(1+$A$106)^6+'Forecast'!J59*(1+D97)/($A$106-D97)/(1+$A$106)^6-$B$15)/$B$20*1000</f>
        <v/>
      </c>
      <c r="E106" s="54">
        <f>('Forecast'!E59/(1+$A$106)^1+'Forecast'!F59/(1+$A$106)^2+'Forecast'!G59/(1+$A$106)^3+'Forecast'!H59/(1+$A$106)^4+'Forecast'!I59/(1+$A$106)^5+'Forecast'!J59/(1+$A$106)^6+'Forecast'!J59*(1+E97)/($A$106-E97)/(1+$A$106)^6-$B$15)/$B$20*1000</f>
        <v/>
      </c>
      <c r="F106" s="54">
        <f>('Forecast'!E59/(1+$A$106)^1+'Forecast'!F59/(1+$A$106)^2+'Forecast'!G59/(1+$A$106)^3+'Forecast'!H59/(1+$A$106)^4+'Forecast'!I59/(1+$A$106)^5+'Forecast'!J59/(1+$A$106)^6+'Forecast'!J59*(1+F97)/($A$106-F97)/(1+$A$106)^6-$B$15)/$B$20*1000</f>
        <v/>
      </c>
      <c r="G106" s="54">
        <f>('Forecast'!E59/(1+$A$106)^1+'Forecast'!F59/(1+$A$106)^2+'Forecast'!G59/(1+$A$106)^3+'Forecast'!H59/(1+$A$106)^4+'Forecast'!I59/(1+$A$106)^5+'Forecast'!J59/(1+$A$106)^6+'Forecast'!J59*(1+G97)/($A$106-G97)/(1+$A$106)^6-$B$15)/$B$20*1000</f>
        <v/>
      </c>
      <c r="H106" s="54">
        <f>('Forecast'!E59/(1+$A$106)^1+'Forecast'!F59/(1+$A$106)^2+'Forecast'!G59/(1+$A$106)^3+'Forecast'!H59/(1+$A$106)^4+'Forecast'!I59/(1+$A$106)^5+'Forecast'!J59/(1+$A$106)^6+'Forecast'!J59*(1+H97)/($A$106-H97)/(1+$A$106)^6-$B$15)/$B$20*1000</f>
        <v/>
      </c>
    </row>
    <row r="107">
      <c r="A107" s="53" t="n">
        <v>0.115</v>
      </c>
      <c r="B107" s="54">
        <f>('Forecast'!E59/(1+$A$107)^1+'Forecast'!F59/(1+$A$107)^2+'Forecast'!G59/(1+$A$107)^3+'Forecast'!H59/(1+$A$107)^4+'Forecast'!I59/(1+$A$107)^5+'Forecast'!J59/(1+$A$107)^6+'Forecast'!J59*(1+B97)/($A$107-B97)/(1+$A$107)^6-$B$15)/$B$20*1000</f>
        <v/>
      </c>
      <c r="C107" s="54">
        <f>('Forecast'!E59/(1+$A$107)^1+'Forecast'!F59/(1+$A$107)^2+'Forecast'!G59/(1+$A$107)^3+'Forecast'!H59/(1+$A$107)^4+'Forecast'!I59/(1+$A$107)^5+'Forecast'!J59/(1+$A$107)^6+'Forecast'!J59*(1+C97)/($A$107-C97)/(1+$A$107)^6-$B$15)/$B$20*1000</f>
        <v/>
      </c>
      <c r="D107" s="54">
        <f>('Forecast'!E59/(1+$A$107)^1+'Forecast'!F59/(1+$A$107)^2+'Forecast'!G59/(1+$A$107)^3+'Forecast'!H59/(1+$A$107)^4+'Forecast'!I59/(1+$A$107)^5+'Forecast'!J59/(1+$A$107)^6+'Forecast'!J59*(1+D97)/($A$107-D97)/(1+$A$107)^6-$B$15)/$B$20*1000</f>
        <v/>
      </c>
      <c r="E107" s="54">
        <f>('Forecast'!E59/(1+$A$107)^1+'Forecast'!F59/(1+$A$107)^2+'Forecast'!G59/(1+$A$107)^3+'Forecast'!H59/(1+$A$107)^4+'Forecast'!I59/(1+$A$107)^5+'Forecast'!J59/(1+$A$107)^6+'Forecast'!J59*(1+E97)/($A$107-E97)/(1+$A$107)^6-$B$15)/$B$20*1000</f>
        <v/>
      </c>
      <c r="F107" s="54">
        <f>('Forecast'!E59/(1+$A$107)^1+'Forecast'!F59/(1+$A$107)^2+'Forecast'!G59/(1+$A$107)^3+'Forecast'!H59/(1+$A$107)^4+'Forecast'!I59/(1+$A$107)^5+'Forecast'!J59/(1+$A$107)^6+'Forecast'!J59*(1+F97)/($A$107-F97)/(1+$A$107)^6-$B$15)/$B$20*1000</f>
        <v/>
      </c>
      <c r="G107" s="54">
        <f>('Forecast'!E59/(1+$A$107)^1+'Forecast'!F59/(1+$A$107)^2+'Forecast'!G59/(1+$A$107)^3+'Forecast'!H59/(1+$A$107)^4+'Forecast'!I59/(1+$A$107)^5+'Forecast'!J59/(1+$A$107)^6+'Forecast'!J59*(1+G97)/($A$107-G97)/(1+$A$107)^6-$B$15)/$B$20*1000</f>
        <v/>
      </c>
      <c r="H107" s="54">
        <f>('Forecast'!E59/(1+$A$107)^1+'Forecast'!F59/(1+$A$107)^2+'Forecast'!G59/(1+$A$107)^3+'Forecast'!H59/(1+$A$107)^4+'Forecast'!I59/(1+$A$107)^5+'Forecast'!J59/(1+$A$107)^6+'Forecast'!J59*(1+H97)/($A$107-H97)/(1+$A$107)^6-$B$15)/$B$20*1000</f>
        <v/>
      </c>
    </row>
    <row r="108">
      <c r="A108" s="53" t="n">
        <v>0.12</v>
      </c>
      <c r="B108" s="54">
        <f>('Forecast'!E59/(1+$A$108)^1+'Forecast'!F59/(1+$A$108)^2+'Forecast'!G59/(1+$A$108)^3+'Forecast'!H59/(1+$A$108)^4+'Forecast'!I59/(1+$A$108)^5+'Forecast'!J59/(1+$A$108)^6+'Forecast'!J59*(1+B97)/($A$108-B97)/(1+$A$108)^6-$B$15)/$B$20*1000</f>
        <v/>
      </c>
      <c r="C108" s="54">
        <f>('Forecast'!E59/(1+$A$108)^1+'Forecast'!F59/(1+$A$108)^2+'Forecast'!G59/(1+$A$108)^3+'Forecast'!H59/(1+$A$108)^4+'Forecast'!I59/(1+$A$108)^5+'Forecast'!J59/(1+$A$108)^6+'Forecast'!J59*(1+C97)/($A$108-C97)/(1+$A$108)^6-$B$15)/$B$20*1000</f>
        <v/>
      </c>
      <c r="D108" s="54">
        <f>('Forecast'!E59/(1+$A$108)^1+'Forecast'!F59/(1+$A$108)^2+'Forecast'!G59/(1+$A$108)^3+'Forecast'!H59/(1+$A$108)^4+'Forecast'!I59/(1+$A$108)^5+'Forecast'!J59/(1+$A$108)^6+'Forecast'!J59*(1+D97)/($A$108-D97)/(1+$A$108)^6-$B$15)/$B$20*1000</f>
        <v/>
      </c>
      <c r="E108" s="54">
        <f>('Forecast'!E59/(1+$A$108)^1+'Forecast'!F59/(1+$A$108)^2+'Forecast'!G59/(1+$A$108)^3+'Forecast'!H59/(1+$A$108)^4+'Forecast'!I59/(1+$A$108)^5+'Forecast'!J59/(1+$A$108)^6+'Forecast'!J59*(1+E97)/($A$108-E97)/(1+$A$108)^6-$B$15)/$B$20*1000</f>
        <v/>
      </c>
      <c r="F108" s="54">
        <f>('Forecast'!E59/(1+$A$108)^1+'Forecast'!F59/(1+$A$108)^2+'Forecast'!G59/(1+$A$108)^3+'Forecast'!H59/(1+$A$108)^4+'Forecast'!I59/(1+$A$108)^5+'Forecast'!J59/(1+$A$108)^6+'Forecast'!J59*(1+F97)/($A$108-F97)/(1+$A$108)^6-$B$15)/$B$20*1000</f>
        <v/>
      </c>
      <c r="G108" s="54">
        <f>('Forecast'!E59/(1+$A$108)^1+'Forecast'!F59/(1+$A$108)^2+'Forecast'!G59/(1+$A$108)^3+'Forecast'!H59/(1+$A$108)^4+'Forecast'!I59/(1+$A$108)^5+'Forecast'!J59/(1+$A$108)^6+'Forecast'!J59*(1+G97)/($A$108-G97)/(1+$A$108)^6-$B$15)/$B$20*1000</f>
        <v/>
      </c>
      <c r="H108" s="54">
        <f>('Forecast'!E59/(1+$A$108)^1+'Forecast'!F59/(1+$A$108)^2+'Forecast'!G59/(1+$A$108)^3+'Forecast'!H59/(1+$A$108)^4+'Forecast'!I59/(1+$A$108)^5+'Forecast'!J59/(1+$A$108)^6+'Forecast'!J59*(1+H97)/($A$108-H97)/(1+$A$108)^6-$B$15)/$B$20*1000</f>
        <v/>
      </c>
    </row>
    <row r="111">
      <c r="A111" s="22" t="inlineStr">
        <is>
          <t>PVAOI - Implied Share Price</t>
        </is>
      </c>
    </row>
    <row r="112">
      <c r="A112" s="51" t="inlineStr">
        <is>
          <t>WACC \ Terminal Growth</t>
        </is>
      </c>
      <c r="B112" s="52" t="n">
        <v>0.01</v>
      </c>
      <c r="C112" s="52" t="n">
        <v>0.015</v>
      </c>
      <c r="D112" s="52" t="n">
        <v>0.02</v>
      </c>
      <c r="E112" s="52" t="n">
        <v>0.025</v>
      </c>
      <c r="F112" s="52" t="n">
        <v>0.03</v>
      </c>
      <c r="G112" s="52" t="n">
        <v>0.035</v>
      </c>
      <c r="H112" s="52" t="n">
        <v>0.04</v>
      </c>
    </row>
    <row r="113">
      <c r="A113" s="53" t="n">
        <v>0.07000000000000001</v>
      </c>
      <c r="B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B112)/($A$113-B112)/(1+$A$113)^6+'Forecast'!D40-$B$15)/$B$20*1000</f>
        <v/>
      </c>
      <c r="C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C112)/($A$113-C112)/(1+$A$113)^6+'Forecast'!D40-$B$15)/$B$20*1000</f>
        <v/>
      </c>
      <c r="D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D112)/($A$113-D112)/(1+$A$113)^6+'Forecast'!D40-$B$15)/$B$20*1000</f>
        <v/>
      </c>
      <c r="E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E112)/($A$113-E112)/(1+$A$113)^6+'Forecast'!D40-$B$15)/$B$20*1000</f>
        <v/>
      </c>
      <c r="F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F112)/($A$113-F112)/(1+$A$113)^6+'Forecast'!D40-$B$15)/$B$20*1000</f>
        <v/>
      </c>
      <c r="G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G112)/($A$113-G112)/(1+$A$113)^6+'Forecast'!D40-$B$15)/$B$20*1000</f>
        <v/>
      </c>
      <c r="H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H112)/($A$113-H112)/(1+$A$113)^6+'Forecast'!D40-$B$15)/$B$20*1000</f>
        <v/>
      </c>
    </row>
    <row r="114">
      <c r="A114" s="53" t="n">
        <v>0.075</v>
      </c>
      <c r="B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B112)/($A$114-B112)/(1+$A$114)^6+'Forecast'!D40-$B$15)/$B$20*1000</f>
        <v/>
      </c>
      <c r="C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C112)/($A$114-C112)/(1+$A$114)^6+'Forecast'!D40-$B$15)/$B$20*1000</f>
        <v/>
      </c>
      <c r="D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D112)/($A$114-D112)/(1+$A$114)^6+'Forecast'!D40-$B$15)/$B$20*1000</f>
        <v/>
      </c>
      <c r="E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E112)/($A$114-E112)/(1+$A$114)^6+'Forecast'!D40-$B$15)/$B$20*1000</f>
        <v/>
      </c>
      <c r="F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F112)/($A$114-F112)/(1+$A$114)^6+'Forecast'!D40-$B$15)/$B$20*1000</f>
        <v/>
      </c>
      <c r="G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G112)/($A$114-G112)/(1+$A$114)^6+'Forecast'!D40-$B$15)/$B$20*1000</f>
        <v/>
      </c>
      <c r="H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H112)/($A$114-H112)/(1+$A$114)^6+'Forecast'!D40-$B$15)/$B$20*1000</f>
        <v/>
      </c>
    </row>
    <row r="115">
      <c r="A115" s="53" t="n">
        <v>0.08</v>
      </c>
      <c r="B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B112)/($A$115-B112)/(1+$A$115)^6+'Forecast'!D40-$B$15)/$B$20*1000</f>
        <v/>
      </c>
      <c r="C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C112)/($A$115-C112)/(1+$A$115)^6+'Forecast'!D40-$B$15)/$B$20*1000</f>
        <v/>
      </c>
      <c r="D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D112)/($A$115-D112)/(1+$A$115)^6+'Forecast'!D40-$B$15)/$B$20*1000</f>
        <v/>
      </c>
      <c r="E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E112)/($A$115-E112)/(1+$A$115)^6+'Forecast'!D40-$B$15)/$B$20*1000</f>
        <v/>
      </c>
      <c r="F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F112)/($A$115-F112)/(1+$A$115)^6+'Forecast'!D40-$B$15)/$B$20*1000</f>
        <v/>
      </c>
      <c r="G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G112)/($A$115-G112)/(1+$A$115)^6+'Forecast'!D40-$B$15)/$B$20*1000</f>
        <v/>
      </c>
      <c r="H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H112)/($A$115-H112)/(1+$A$115)^6+'Forecast'!D40-$B$15)/$B$20*1000</f>
        <v/>
      </c>
    </row>
    <row r="116">
      <c r="A116" s="53" t="n">
        <v>0.08500000000000001</v>
      </c>
      <c r="B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B112)/($A$116-B112)/(1+$A$116)^6+'Forecast'!D40-$B$15)/$B$20*1000</f>
        <v/>
      </c>
      <c r="C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C112)/($A$116-C112)/(1+$A$116)^6+'Forecast'!D40-$B$15)/$B$20*1000</f>
        <v/>
      </c>
      <c r="D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D112)/($A$116-D112)/(1+$A$116)^6+'Forecast'!D40-$B$15)/$B$20*1000</f>
        <v/>
      </c>
      <c r="E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E112)/($A$116-E112)/(1+$A$116)^6+'Forecast'!D40-$B$15)/$B$20*1000</f>
        <v/>
      </c>
      <c r="F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F112)/($A$116-F112)/(1+$A$116)^6+'Forecast'!D40-$B$15)/$B$20*1000</f>
        <v/>
      </c>
      <c r="G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G112)/($A$116-G112)/(1+$A$116)^6+'Forecast'!D40-$B$15)/$B$20*1000</f>
        <v/>
      </c>
      <c r="H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H112)/($A$116-H112)/(1+$A$116)^6+'Forecast'!D40-$B$15)/$B$20*1000</f>
        <v/>
      </c>
    </row>
    <row r="117">
      <c r="A117" s="53" t="n">
        <v>0.09</v>
      </c>
      <c r="B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B112)/($A$117-B112)/(1+$A$117)^6+'Forecast'!D40-$B$15)/$B$20*1000</f>
        <v/>
      </c>
      <c r="C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C112)/($A$117-C112)/(1+$A$117)^6+'Forecast'!D40-$B$15)/$B$20*1000</f>
        <v/>
      </c>
      <c r="D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D112)/($A$117-D112)/(1+$A$117)^6+'Forecast'!D40-$B$15)/$B$20*1000</f>
        <v/>
      </c>
      <c r="E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E112)/($A$117-E112)/(1+$A$117)^6+'Forecast'!D40-$B$15)/$B$20*1000</f>
        <v/>
      </c>
      <c r="F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F112)/($A$117-F112)/(1+$A$117)^6+'Forecast'!D40-$B$15)/$B$20*1000</f>
        <v/>
      </c>
      <c r="G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G112)/($A$117-G112)/(1+$A$117)^6+'Forecast'!D40-$B$15)/$B$20*1000</f>
        <v/>
      </c>
      <c r="H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H112)/($A$117-H112)/(1+$A$117)^6+'Forecast'!D40-$B$15)/$B$20*1000</f>
        <v/>
      </c>
    </row>
    <row r="118">
      <c r="A118" s="53" t="n">
        <v>0.095</v>
      </c>
      <c r="B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B112)/($A$118-B112)/(1+$A$118)^6+'Forecast'!D40-$B$15)/$B$20*1000</f>
        <v/>
      </c>
      <c r="C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C112)/($A$118-C112)/(1+$A$118)^6+'Forecast'!D40-$B$15)/$B$20*1000</f>
        <v/>
      </c>
      <c r="D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D112)/($A$118-D112)/(1+$A$118)^6+'Forecast'!D40-$B$15)/$B$20*1000</f>
        <v/>
      </c>
      <c r="E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E112)/($A$118-E112)/(1+$A$118)^6+'Forecast'!D40-$B$15)/$B$20*1000</f>
        <v/>
      </c>
      <c r="F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F112)/($A$118-F112)/(1+$A$118)^6+'Forecast'!D40-$B$15)/$B$20*1000</f>
        <v/>
      </c>
      <c r="G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G112)/($A$118-G112)/(1+$A$118)^6+'Forecast'!D40-$B$15)/$B$20*1000</f>
        <v/>
      </c>
      <c r="H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H112)/($A$118-H112)/(1+$A$118)^6+'Forecast'!D40-$B$15)/$B$20*1000</f>
        <v/>
      </c>
    </row>
    <row r="119">
      <c r="A119" s="53" t="n">
        <v>0.1</v>
      </c>
      <c r="B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B112)/($A$119-B112)/(1+$A$119)^6+'Forecast'!D40-$B$15)/$B$20*1000</f>
        <v/>
      </c>
      <c r="C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C112)/($A$119-C112)/(1+$A$119)^6+'Forecast'!D40-$B$15)/$B$20*1000</f>
        <v/>
      </c>
      <c r="D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D112)/($A$119-D112)/(1+$A$119)^6+'Forecast'!D40-$B$15)/$B$20*1000</f>
        <v/>
      </c>
      <c r="E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E112)/($A$119-E112)/(1+$A$119)^6+'Forecast'!D40-$B$15)/$B$20*1000</f>
        <v/>
      </c>
      <c r="F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F112)/($A$119-F112)/(1+$A$119)^6+'Forecast'!D40-$B$15)/$B$20*1000</f>
        <v/>
      </c>
      <c r="G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G112)/($A$119-G112)/(1+$A$119)^6+'Forecast'!D40-$B$15)/$B$20*1000</f>
        <v/>
      </c>
      <c r="H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H112)/($A$119-H112)/(1+$A$119)^6+'Forecast'!D40-$B$15)/$B$20*1000</f>
        <v/>
      </c>
    </row>
    <row r="120">
      <c r="A120" s="53" t="n">
        <v>0.105</v>
      </c>
      <c r="B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B112)/($A$120-B112)/(1+$A$120)^6+'Forecast'!D40-$B$15)/$B$20*1000</f>
        <v/>
      </c>
      <c r="C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C112)/($A$120-C112)/(1+$A$120)^6+'Forecast'!D40-$B$15)/$B$20*1000</f>
        <v/>
      </c>
      <c r="D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D112)/($A$120-D112)/(1+$A$120)^6+'Forecast'!D40-$B$15)/$B$20*1000</f>
        <v/>
      </c>
      <c r="E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E112)/($A$120-E112)/(1+$A$120)^6+'Forecast'!D40-$B$15)/$B$20*1000</f>
        <v/>
      </c>
      <c r="F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F112)/($A$120-F112)/(1+$A$120)^6+'Forecast'!D40-$B$15)/$B$20*1000</f>
        <v/>
      </c>
      <c r="G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G112)/($A$120-G112)/(1+$A$120)^6+'Forecast'!D40-$B$15)/$B$20*1000</f>
        <v/>
      </c>
      <c r="H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H112)/($A$120-H112)/(1+$A$120)^6+'Forecast'!D40-$B$15)/$B$20*1000</f>
        <v/>
      </c>
    </row>
    <row r="121">
      <c r="A121" s="53" t="n">
        <v>0.11</v>
      </c>
      <c r="B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B112)/($A$121-B112)/(1+$A$121)^6+'Forecast'!D40-$B$15)/$B$20*1000</f>
        <v/>
      </c>
      <c r="C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C112)/($A$121-C112)/(1+$A$121)^6+'Forecast'!D40-$B$15)/$B$20*1000</f>
        <v/>
      </c>
      <c r="D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D112)/($A$121-D112)/(1+$A$121)^6+'Forecast'!D40-$B$15)/$B$20*1000</f>
        <v/>
      </c>
      <c r="E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E112)/($A$121-E112)/(1+$A$121)^6+'Forecast'!D40-$B$15)/$B$20*1000</f>
        <v/>
      </c>
      <c r="F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F112)/($A$121-F112)/(1+$A$121)^6+'Forecast'!D40-$B$15)/$B$20*1000</f>
        <v/>
      </c>
      <c r="G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G112)/($A$121-G112)/(1+$A$121)^6+'Forecast'!D40-$B$15)/$B$20*1000</f>
        <v/>
      </c>
      <c r="H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H112)/($A$121-H112)/(1+$A$121)^6+'Forecast'!D40-$B$15)/$B$20*1000</f>
        <v/>
      </c>
    </row>
    <row r="122">
      <c r="A122" s="53" t="n">
        <v>0.115</v>
      </c>
      <c r="B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B112)/($A$122-B112)/(1+$A$122)^6+'Forecast'!D40-$B$15)/$B$20*1000</f>
        <v/>
      </c>
      <c r="C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C112)/($A$122-C112)/(1+$A$122)^6+'Forecast'!D40-$B$15)/$B$20*1000</f>
        <v/>
      </c>
      <c r="D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D112)/($A$122-D112)/(1+$A$122)^6+'Forecast'!D40-$B$15)/$B$20*1000</f>
        <v/>
      </c>
      <c r="E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E112)/($A$122-E112)/(1+$A$122)^6+'Forecast'!D40-$B$15)/$B$20*1000</f>
        <v/>
      </c>
      <c r="F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F112)/($A$122-F112)/(1+$A$122)^6+'Forecast'!D40-$B$15)/$B$20*1000</f>
        <v/>
      </c>
      <c r="G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G112)/($A$122-G112)/(1+$A$122)^6+'Forecast'!D40-$B$15)/$B$20*1000</f>
        <v/>
      </c>
      <c r="H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H112)/($A$122-H112)/(1+$A$122)^6+'Forecast'!D40-$B$15)/$B$20*1000</f>
        <v/>
      </c>
    </row>
    <row r="123">
      <c r="A123" s="53" t="n">
        <v>0.12</v>
      </c>
      <c r="B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B112)/($A$123-B112)/(1+$A$123)^6+'Forecast'!D40-$B$15)/$B$20*1000</f>
        <v/>
      </c>
      <c r="C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C112)/($A$123-C112)/(1+$A$123)^6+'Forecast'!D40-$B$15)/$B$20*1000</f>
        <v/>
      </c>
      <c r="D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D112)/($A$123-D112)/(1+$A$123)^6+'Forecast'!D40-$B$15)/$B$20*1000</f>
        <v/>
      </c>
      <c r="E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E112)/($A$123-E112)/(1+$A$123)^6+'Forecast'!D40-$B$15)/$B$20*1000</f>
        <v/>
      </c>
      <c r="F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F112)/($A$123-F112)/(1+$A$123)^6+'Forecast'!D40-$B$15)/$B$20*1000</f>
        <v/>
      </c>
      <c r="G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G112)/($A$123-G112)/(1+$A$123)^6+'Forecast'!D40-$B$15)/$B$20*1000</f>
        <v/>
      </c>
      <c r="H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H112)/($A$123-H112)/(1+$A$123)^6+'Forecast'!D40-$B$15)/$B$20*1000</f>
        <v/>
      </c>
    </row>
    <row r="126">
      <c r="A126" s="19" t="inlineStr">
        <is>
          <t>COMPARABLE COMPANY ANALYSIS</t>
        </is>
      </c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</row>
    <row r="128">
      <c r="A128" s="51" t="inlineStr">
        <is>
          <t>Peer Company</t>
        </is>
      </c>
      <c r="B128" s="55" t="inlineStr">
        <is>
          <t>AIXTRON SE</t>
        </is>
      </c>
      <c r="C128" s="55" t="inlineStr">
        <is>
          <t>Applied Materials</t>
        </is>
      </c>
      <c r="D128" s="55" t="inlineStr">
        <is>
          <t>Lam Research</t>
        </is>
      </c>
    </row>
    <row r="129">
      <c r="A129" s="11" t="inlineStr">
        <is>
          <t>Enterprise Value (EUR 000)</t>
        </is>
      </c>
      <c r="B129" s="45" t="n">
        <v>3500000</v>
      </c>
      <c r="C129" s="45" t="n">
        <v>150000000</v>
      </c>
      <c r="D129" s="45" t="n">
        <v>95000000</v>
      </c>
    </row>
    <row r="130">
      <c r="A130" s="11" t="inlineStr">
        <is>
          <t>EBITDA (EUR 000)</t>
        </is>
      </c>
      <c r="B130" s="45" t="n">
        <v>120000</v>
      </c>
      <c r="C130" s="45" t="n">
        <v>9500000</v>
      </c>
      <c r="D130" s="45" t="n">
        <v>5800000</v>
      </c>
    </row>
    <row r="131">
      <c r="A131" s="11" t="inlineStr">
        <is>
          <t>EBIT (EUR 000)</t>
        </is>
      </c>
      <c r="B131" s="45" t="n">
        <v>85000</v>
      </c>
      <c r="C131" s="45" t="n">
        <v>8200000</v>
      </c>
      <c r="D131" s="45" t="n">
        <v>4900000</v>
      </c>
    </row>
    <row r="132">
      <c r="A132" s="11" t="inlineStr">
        <is>
          <t>EV/EBITDA</t>
        </is>
      </c>
      <c r="B132" s="56">
        <f>IF(B130&lt;&gt;0,B129/B130,0)</f>
        <v/>
      </c>
      <c r="C132" s="56">
        <f>IF(C130&lt;&gt;0,C129/C130,0)</f>
        <v/>
      </c>
      <c r="D132" s="56">
        <f>IF(D130&lt;&gt;0,D129/D130,0)</f>
        <v/>
      </c>
    </row>
    <row r="133">
      <c r="A133" s="11" t="inlineStr">
        <is>
          <t>EV/EBIT</t>
        </is>
      </c>
      <c r="B133" s="56">
        <f>IF(B131&lt;&gt;0,B129/B131,0)</f>
        <v/>
      </c>
      <c r="C133" s="56">
        <f>IF(C131&lt;&gt;0,C129/C131,0)</f>
        <v/>
      </c>
      <c r="D133" s="56">
        <f>IF(D131&lt;&gt;0,D129/D131,0)</f>
        <v/>
      </c>
    </row>
    <row r="135">
      <c r="A135" s="22" t="inlineStr">
        <is>
          <t>Median EV/EBITDA</t>
        </is>
      </c>
      <c r="B135" s="57">
        <f>MEDIAN(B132:D132)</f>
        <v/>
      </c>
    </row>
    <row r="136">
      <c r="A136" s="22" t="inlineStr">
        <is>
          <t>Median EV/EBIT</t>
        </is>
      </c>
      <c r="B136" s="57">
        <f>MEDIAN(B133:D133)</f>
        <v/>
      </c>
    </row>
    <row r="138">
      <c r="A138" s="22" t="inlineStr">
        <is>
          <t>ASM International - Implied Valuation</t>
        </is>
      </c>
    </row>
    <row r="139">
      <c r="A139" s="11" t="inlineStr">
        <is>
          <t>ASM EBITDA (2024, EUR 000)</t>
        </is>
      </c>
      <c r="B139" s="21">
        <f>'Adj ASM'!G25+'Adj ASM'!G14</f>
        <v/>
      </c>
    </row>
    <row r="140">
      <c r="A140" s="11" t="inlineStr">
        <is>
          <t>ASM EBIT (2024, EUR 000)</t>
        </is>
      </c>
      <c r="B140" s="21">
        <f>'Adj ASM'!G25</f>
        <v/>
      </c>
    </row>
    <row r="142">
      <c r="A142" s="11" t="inlineStr">
        <is>
          <t>Implied EV (EV/EBITDA)</t>
        </is>
      </c>
      <c r="B142" s="31">
        <f>B139*B135</f>
        <v/>
      </c>
    </row>
    <row r="143">
      <c r="A143" s="11" t="inlineStr">
        <is>
          <t>- Net Debt</t>
        </is>
      </c>
      <c r="B143" s="31">
        <f>B15</f>
        <v/>
      </c>
    </row>
    <row r="144">
      <c r="A144" s="22">
        <f> Equity Value (EV/EBITDA)</f>
        <v/>
      </c>
      <c r="B144" s="23">
        <f>B142-B143</f>
        <v/>
      </c>
    </row>
    <row r="145">
      <c r="A145" s="22" t="inlineStr">
        <is>
          <t>Implied Price (EV/EBITDA)</t>
        </is>
      </c>
      <c r="B145" s="58">
        <f>IF(B20&lt;&gt;0,B144/B20*1000,0)</f>
        <v/>
      </c>
    </row>
    <row r="147">
      <c r="A147" s="11" t="inlineStr">
        <is>
          <t>Implied EV (EV/EBIT)</t>
        </is>
      </c>
      <c r="B147" s="31">
        <f>B140*B136</f>
        <v/>
      </c>
    </row>
    <row r="148">
      <c r="A148" s="11" t="inlineStr">
        <is>
          <t>- Net Debt</t>
        </is>
      </c>
      <c r="B148" s="31">
        <f>B15</f>
        <v/>
      </c>
    </row>
    <row r="149">
      <c r="A149" s="22">
        <f> Equity Value (EV/EBIT)</f>
        <v/>
      </c>
      <c r="B149" s="23">
        <f>B147-B148</f>
        <v/>
      </c>
    </row>
    <row r="150">
      <c r="A150" s="26" t="inlineStr">
        <is>
          <t>Implied Price (EV/EBIT)</t>
        </is>
      </c>
      <c r="B150" s="49">
        <f>IF(B20&lt;&gt;0,B149/B20*1000,0)</f>
        <v/>
      </c>
      <c r="C150" s="50" t="n"/>
      <c r="D150" s="50" t="n"/>
      <c r="E150" s="50" t="n"/>
      <c r="F150" s="50" t="n"/>
      <c r="G150" s="50" t="n"/>
      <c r="H150" s="50" t="n"/>
      <c r="I150" s="50" t="n"/>
      <c r="J150" s="50" t="n"/>
    </row>
    <row r="152">
      <c r="A152" s="19" t="inlineStr">
        <is>
          <t>FOOTBALL FIELD SUMMARY</t>
        </is>
      </c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</row>
    <row r="154">
      <c r="A154" s="51" t="inlineStr">
        <is>
          <t>Valuation Method</t>
        </is>
      </c>
      <c r="B154" s="55" t="inlineStr">
        <is>
          <t>Implied Price (EUR)</t>
        </is>
      </c>
    </row>
    <row r="155">
      <c r="A155" s="11" t="inlineStr">
        <is>
          <t>DCF (FCFF)</t>
        </is>
      </c>
      <c r="B155" s="54">
        <f>B39</f>
        <v/>
      </c>
    </row>
    <row r="156">
      <c r="A156" s="11" t="inlineStr">
        <is>
          <t>DCF (FCFE)</t>
        </is>
      </c>
      <c r="B156" s="54">
        <f>B53</f>
        <v/>
      </c>
    </row>
    <row r="157">
      <c r="A157" s="11" t="inlineStr">
        <is>
          <t>PVAOI</t>
        </is>
      </c>
      <c r="B157" s="54">
        <f>B73</f>
        <v/>
      </c>
    </row>
    <row r="158">
      <c r="A158" s="11" t="inlineStr">
        <is>
          <t>PVAE</t>
        </is>
      </c>
      <c r="B158" s="54">
        <f>B91</f>
        <v/>
      </c>
    </row>
    <row r="159">
      <c r="A159" s="11" t="inlineStr">
        <is>
          <t>Comps (EV/EBITDA)</t>
        </is>
      </c>
      <c r="B159" s="54">
        <f>B145</f>
        <v/>
      </c>
    </row>
    <row r="160">
      <c r="A160" s="11" t="inlineStr">
        <is>
          <t>Comps (EV/EBIT)</t>
        </is>
      </c>
      <c r="B160" s="54">
        <f>B150</f>
        <v/>
      </c>
    </row>
    <row r="161">
      <c r="A161" s="11" t="inlineStr">
        <is>
          <t>Current Share Price</t>
        </is>
      </c>
      <c r="B161" s="54">
        <f>B21</f>
        <v/>
      </c>
    </row>
    <row r="162">
      <c r="A162" s="24" t="n"/>
      <c r="B162" s="24" t="n"/>
    </row>
    <row r="163">
      <c r="A163" s="22" t="inlineStr">
        <is>
          <t>Average Implied Price</t>
        </is>
      </c>
      <c r="B163" s="58">
        <f>AVERAGE(B155:B160)</f>
        <v/>
      </c>
    </row>
    <row r="164">
      <c r="A164" s="26" t="inlineStr">
        <is>
          <t>Recommendation</t>
        </is>
      </c>
      <c r="B164" s="59">
        <f>IF(B163&gt;B161,"BUY","SELL")</f>
        <v/>
      </c>
      <c r="C164" s="50" t="n"/>
      <c r="D164" s="50" t="n"/>
      <c r="E164" s="50" t="n"/>
      <c r="F164" s="50" t="n"/>
      <c r="G164" s="50" t="n"/>
      <c r="H164" s="50" t="n"/>
      <c r="I164" s="50" t="n"/>
      <c r="J164" s="5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2026-03-26T03:08:10Z</dcterms:created>
  <dcterms:modified xmlns:dcterms="http://purl.org/dc/terms/" xmlns:xsi="http://www.w3.org/2001/XMLSchema-instance" xsi:type="dcterms:W3CDTF">2026-03-26T03:08:11Z</dcterms:modified>
</cp:coreProperties>
</file>